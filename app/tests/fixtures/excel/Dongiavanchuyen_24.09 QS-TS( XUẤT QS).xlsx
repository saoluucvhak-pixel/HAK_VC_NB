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H:\My Drive\HẸN\VC DĂM\T9.2026\"/>
    </mc:Choice>
  </mc:AlternateContent>
  <xr:revisionPtr revIDLastSave="0" documentId="13_ncr:1_{359563EE-9B19-442E-8065-8520AC204972}" xr6:coauthVersionLast="47" xr6:coauthVersionMax="47" xr10:uidLastSave="{00000000-0000-0000-0000-000000000000}"/>
  <bookViews>
    <workbookView xWindow="-120" yWindow="-120" windowWidth="20730" windowHeight="11040" firstSheet="8" activeTab="8" xr2:uid="{00000000-000D-0000-FFFF-FFFF00000000}"/>
  </bookViews>
  <sheets>
    <sheet name="BK" sheetId="15" state="hidden" r:id="rId1"/>
    <sheet name="Sheet2" sheetId="19" state="hidden" r:id="rId2"/>
    <sheet name="Sheet1" sheetId="18" state="hidden" r:id="rId3"/>
    <sheet name="BKCT (2)" sheetId="21" state="hidden" r:id="rId4"/>
    <sheet name="NL_GIAONHANDAU (2)" sheetId="24" state="hidden" r:id="rId5"/>
    <sheet name="BKCT" sheetId="23" state="hidden" r:id="rId6"/>
    <sheet name="NL_GIAONHANDAU (3)" sheetId="26" state="hidden" r:id="rId7"/>
    <sheet name="BKCT (3)" sheetId="25" state="hidden" r:id="rId8"/>
    <sheet name="BKVC" sheetId="17" r:id="rId9"/>
    <sheet name="QR_DGVC (2)" sheetId="16" r:id="rId10"/>
    <sheet name="NL_VC" sheetId="2" r:id="rId11"/>
    <sheet name="NL_GIAONHANDAU" sheetId="1" r:id="rId12"/>
    <sheet name="CAN" sheetId="13" state="hidden" r:id="rId13"/>
    <sheet name="Sheet6" sheetId="22" state="hidden" r:id="rId14"/>
    <sheet name="Sheet3" sheetId="14" state="hidden" r:id="rId15"/>
  </sheets>
  <externalReferences>
    <externalReference r:id="rId16"/>
  </externalReferences>
  <definedNames>
    <definedName name="ExternalData_1" localSheetId="9" hidden="1">'QR_DGVC (2)'!$A$5:$Q$6</definedName>
    <definedName name="_xlnm.Print_Area" localSheetId="8">BKVC!$A$1:$J$33</definedName>
    <definedName name="_xlnm.Print_Area" localSheetId="4">'NL_GIAONHANDAU (2)'!$A$1:$H$33</definedName>
    <definedName name="_xlnm.Print_Area" localSheetId="6">'NL_GIAONHANDAU (3)'!$A$1:$G$38</definedName>
  </definedNames>
  <calcPr calcId="181029"/>
  <pivotCaches>
    <pivotCache cacheId="30" r:id="rId1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" i="17" l="1"/>
  <c r="E24" i="17"/>
  <c r="I24" i="17"/>
  <c r="H24" i="17"/>
  <c r="G24" i="17"/>
  <c r="D30" i="26"/>
  <c r="J379" i="25"/>
  <c r="C24" i="17" l="1"/>
  <c r="E8" i="17"/>
  <c r="G8" i="17" s="1"/>
  <c r="E9" i="17"/>
  <c r="G9" i="17" s="1"/>
  <c r="E10" i="17"/>
  <c r="G10" i="17" s="1"/>
  <c r="E11" i="17"/>
  <c r="G11" i="17" s="1"/>
  <c r="E12" i="17"/>
  <c r="G12" i="17" s="1"/>
  <c r="E13" i="17"/>
  <c r="E14" i="17"/>
  <c r="G14" i="17" s="1"/>
  <c r="E15" i="17"/>
  <c r="G15" i="17" s="1"/>
  <c r="E16" i="17"/>
  <c r="G16" i="17" s="1"/>
  <c r="E17" i="17"/>
  <c r="G17" i="17" s="1"/>
  <c r="E18" i="17"/>
  <c r="G18" i="17" s="1"/>
  <c r="E19" i="17"/>
  <c r="G19" i="17" s="1"/>
  <c r="H19" i="17" s="1"/>
  <c r="E20" i="17"/>
  <c r="G20" i="17" s="1"/>
  <c r="E21" i="17"/>
  <c r="G21" i="17" s="1"/>
  <c r="E22" i="17"/>
  <c r="G22" i="17" s="1"/>
  <c r="E23" i="17"/>
  <c r="G23" i="17" s="1"/>
  <c r="H20" i="17" l="1"/>
  <c r="I20" i="17"/>
  <c r="H21" i="17"/>
  <c r="I21" i="17" s="1"/>
  <c r="H22" i="17"/>
  <c r="I22" i="17"/>
  <c r="H23" i="17"/>
  <c r="I23" i="17"/>
  <c r="G13" i="17"/>
  <c r="D25" i="24"/>
  <c r="J327" i="23"/>
  <c r="J766" i="21"/>
  <c r="H13" i="17" l="1"/>
  <c r="H18" i="17"/>
  <c r="I18" i="17" s="1"/>
  <c r="H11" i="17"/>
  <c r="I11" i="17" s="1"/>
  <c r="I19" i="17"/>
  <c r="H17" i="17"/>
  <c r="I17" i="17" s="1"/>
  <c r="H8" i="17"/>
  <c r="I8" i="17" s="1"/>
  <c r="H9" i="17"/>
  <c r="I9" i="17" s="1"/>
  <c r="H14" i="17"/>
  <c r="I14" i="17" s="1"/>
  <c r="H16" i="17"/>
  <c r="I16" i="17" s="1"/>
  <c r="H15" i="17"/>
  <c r="I15" i="17" s="1"/>
  <c r="H12" i="17"/>
  <c r="I12" i="17" s="1"/>
  <c r="H10" i="17"/>
  <c r="I10" i="17" s="1"/>
  <c r="E43" i="19"/>
  <c r="J405" i="18"/>
  <c r="I13" i="17" l="1"/>
  <c r="E7" i="17"/>
  <c r="G7" i="17" l="1"/>
  <c r="Q3" i="14"/>
  <c r="Q69" i="13"/>
  <c r="B69" i="13"/>
  <c r="Q68" i="13"/>
  <c r="B68" i="13"/>
  <c r="Q67" i="13"/>
  <c r="B67" i="13"/>
  <c r="Q66" i="13"/>
  <c r="B66" i="13"/>
  <c r="Q65" i="13"/>
  <c r="B65" i="13"/>
  <c r="Q64" i="13"/>
  <c r="B64" i="13"/>
  <c r="Q63" i="13"/>
  <c r="B63" i="13"/>
  <c r="Q62" i="13"/>
  <c r="B62" i="13"/>
  <c r="Q61" i="13"/>
  <c r="B61" i="13"/>
  <c r="Q60" i="13"/>
  <c r="B60" i="13"/>
  <c r="Q59" i="13"/>
  <c r="B59" i="13"/>
  <c r="Q58" i="13"/>
  <c r="B58" i="13"/>
  <c r="Q57" i="13"/>
  <c r="B57" i="13"/>
  <c r="Q56" i="13"/>
  <c r="B56" i="13"/>
  <c r="Q55" i="13"/>
  <c r="B55" i="13"/>
  <c r="Q54" i="13"/>
  <c r="B54" i="13"/>
  <c r="Q53" i="13"/>
  <c r="B53" i="13"/>
  <c r="Q52" i="13"/>
  <c r="B52" i="13"/>
  <c r="Q51" i="13"/>
  <c r="B51" i="13"/>
  <c r="Q50" i="13"/>
  <c r="B50" i="13"/>
  <c r="Q49" i="13"/>
  <c r="B49" i="13"/>
  <c r="Q48" i="13"/>
  <c r="B48" i="13"/>
  <c r="Q47" i="13"/>
  <c r="B47" i="13"/>
  <c r="Q46" i="13"/>
  <c r="B46" i="13"/>
  <c r="Q45" i="13"/>
  <c r="B45" i="13"/>
  <c r="Q44" i="13"/>
  <c r="B44" i="13"/>
  <c r="Q43" i="13"/>
  <c r="B43" i="13"/>
  <c r="Q42" i="13"/>
  <c r="B42" i="13"/>
  <c r="Q41" i="13"/>
  <c r="B41" i="13"/>
  <c r="Q40" i="13"/>
  <c r="B40" i="13"/>
  <c r="Q39" i="13"/>
  <c r="B39" i="13"/>
  <c r="Q38" i="13"/>
  <c r="B38" i="13"/>
  <c r="Q37" i="13"/>
  <c r="B37" i="13"/>
  <c r="Q36" i="13"/>
  <c r="B36" i="13"/>
  <c r="Q35" i="13"/>
  <c r="B35" i="13"/>
  <c r="Q34" i="13"/>
  <c r="B34" i="13"/>
  <c r="Q33" i="13"/>
  <c r="B33" i="13"/>
  <c r="Q32" i="13"/>
  <c r="B32" i="13"/>
  <c r="Q31" i="13"/>
  <c r="B31" i="13"/>
  <c r="Q30" i="13"/>
  <c r="B30" i="13"/>
  <c r="Q29" i="13"/>
  <c r="B29" i="13"/>
  <c r="Q28" i="13"/>
  <c r="B28" i="13"/>
  <c r="Q27" i="13"/>
  <c r="B27" i="13"/>
  <c r="Q26" i="13"/>
  <c r="B26" i="13"/>
  <c r="Q25" i="13"/>
  <c r="B25" i="13"/>
  <c r="Q24" i="13"/>
  <c r="B24" i="13"/>
  <c r="Q23" i="13"/>
  <c r="B23" i="13"/>
  <c r="Q22" i="13"/>
  <c r="B22" i="13"/>
  <c r="Q21" i="13"/>
  <c r="B21" i="13"/>
  <c r="Q20" i="13"/>
  <c r="B20" i="13"/>
  <c r="Q19" i="13"/>
  <c r="B19" i="13"/>
  <c r="Q18" i="13"/>
  <c r="B18" i="13"/>
  <c r="Q17" i="13"/>
  <c r="B17" i="13"/>
  <c r="Q16" i="13"/>
  <c r="B16" i="13"/>
  <c r="Q15" i="13"/>
  <c r="B15" i="13"/>
  <c r="Q14" i="13"/>
  <c r="B14" i="13"/>
  <c r="Q13" i="13"/>
  <c r="B13" i="13"/>
  <c r="Q12" i="13"/>
  <c r="B12" i="13"/>
  <c r="Q11" i="13"/>
  <c r="B11" i="13"/>
  <c r="Q10" i="13"/>
  <c r="B10" i="13"/>
  <c r="Q9" i="13"/>
  <c r="B9" i="13"/>
  <c r="Q8" i="13"/>
  <c r="B8" i="13"/>
  <c r="Q7" i="13"/>
  <c r="Q5" i="13"/>
  <c r="J5" i="13"/>
  <c r="G5" i="13"/>
  <c r="I10" i="15"/>
  <c r="H10" i="15"/>
  <c r="G10" i="15"/>
  <c r="E10" i="15"/>
  <c r="D10" i="15"/>
  <c r="C10" i="15"/>
  <c r="I9" i="15"/>
  <c r="G9" i="15"/>
  <c r="E9" i="15"/>
  <c r="I8" i="15"/>
  <c r="G8" i="15"/>
  <c r="E8" i="15"/>
  <c r="I7" i="15"/>
  <c r="G7" i="15"/>
  <c r="E7" i="15"/>
  <c r="C11" i="15"/>
  <c r="K25" i="17" l="1"/>
  <c r="H7" i="17"/>
  <c r="K24" i="17" s="1"/>
  <c r="I7" i="1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QR_DATA" description="Connection to the 'QR_DATA' query in the workbook." type="5" refreshedVersion="8" background="1" saveData="1">
    <dbPr connection="Provider=Microsoft.Mashup.OleDb.1;Data Source=$Workbook$;Location=QR_DATA;Extended Properties=&quot;&quot;" command="SELECT * FROM [QR_DATA]"/>
  </connection>
  <connection id="2" xr16:uid="{FBD92176-3A3A-4D5B-9016-26896F850341}" keepAlive="1" name="Query - QR_DATA (2)" description="Connection to the 'QR_DATA (2)' query in the workbook." type="5" refreshedVersion="0" background="1">
    <dbPr connection="Provider=Microsoft.Mashup.OleDb.1;Data Source=$Workbook$;Location=&quot;QR_DATA (2)&quot;;Extended Properties=&quot;&quot;" command="SELECT * FROM [QR_DATA (2)]"/>
  </connection>
  <connection id="3" xr16:uid="{00000000-0015-0000-FFFF-FFFF01000000}" keepAlive="1" name="Query - QR_DGVC" description="Connection to the 'QR_DGVC' query in the workbook." type="5" refreshedVersion="8" background="1" saveData="1">
    <dbPr connection="Provider=Microsoft.Mashup.OleDb.1;Data Source=$Workbook$;Location=QR_DGVC;Extended Properties=&quot;&quot;" command="SELECT * FROM [QR_DGVC]"/>
  </connection>
  <connection id="4" xr16:uid="{ABF68E7B-DEDC-45F7-9CF2-85436A02B4A8}" keepAlive="1" name="Query - QR_DGVC (2)" description="Connection to the 'QR_DGVC (2)' query in the workbook." type="5" refreshedVersion="8" background="1" saveData="1">
    <dbPr connection="Provider=Microsoft.Mashup.OleDb.1;Data Source=$Workbook$;Location=&quot;QR_DGVC (2)&quot;;Extended Properties=&quot;&quot;" command="SELECT * FROM [QR_DGVC (2)]"/>
  </connection>
  <connection id="5" xr16:uid="{00000000-0015-0000-FFFF-FFFF02000000}" keepAlive="1" name="Query - TBL_DATA" description="Connection to the 'TBL_DATA' query in the workbook." type="5" refreshedVersion="8" background="1" saveData="1">
    <dbPr connection="Provider=Microsoft.Mashup.OleDb.1;Data Source=$Workbook$;Location=TBL_DATA;Extended Properties=&quot;&quot;" command="SELECT * FROM [TBL_DATA]"/>
  </connection>
  <connection id="6" xr16:uid="{28C3BD81-CB27-4480-9168-084740B63BA8}" keepAlive="1" name="Query - TBL_DATA (2)" description="Connection to the 'TBL_DATA (2)' query in the workbook." type="5" refreshedVersion="0" background="1">
    <dbPr connection="Provider=Microsoft.Mashup.OleDb.1;Data Source=$Workbook$;Location=&quot;TBL_DATA (2)&quot;;Extended Properties=&quot;&quot;" command="SELECT * FROM [TBL_DATA (2)]"/>
  </connection>
  <connection id="7" xr16:uid="{00000000-0015-0000-FFFF-FFFF03000000}" keepAlive="1" name="Query - TBL_GIAONHANDAU" description="Connection to the 'TBL_GIAONHANDAU' query in the workbook." type="5" refreshedVersion="8" background="1" saveData="1">
    <dbPr connection="Provider=Microsoft.Mashup.OleDb.1;Data Source=$Workbook$;Location=TBL_GIAONHANDAU;Extended Properties=&quot;&quot;" command="SELECT * FROM [TBL_GIAONHANDAU]"/>
  </connection>
  <connection id="8" xr16:uid="{F91AE7E6-360A-4F65-A768-3A67CC2828A7}" keepAlive="1" name="Query - TBL_GIAONHANDAU (2)" description="Connection to the 'TBL_GIAONHANDAU (2)' query in the workbook." type="5" refreshedVersion="0" background="1">
    <dbPr connection="Provider=Microsoft.Mashup.OleDb.1;Data Source=$Workbook$;Location=&quot;TBL_GIAONHANDAU (2)&quot;;Extended Properties=&quot;&quot;" command="SELECT * FROM [TBL_GIAONHANDAU (2)]"/>
  </connection>
  <connection id="9" xr16:uid="{00000000-0015-0000-FFFF-FFFF04000000}" keepAlive="1" name="Query - TBL_VC" description="Connection to the 'TBL_VC' query in the workbook." type="5" refreshedVersion="8" background="1" saveData="1">
    <dbPr connection="Provider=Microsoft.Mashup.OleDb.1;Data Source=$Workbook$;Location=TBL_VC;Extended Properties=&quot;&quot;" command="SELECT * FROM [TBL_VC]"/>
  </connection>
  <connection id="10" xr16:uid="{6CCCED55-DEB3-4029-A2AF-BE65C41B8890}" keepAlive="1" name="Query - TBL_VC (2)" description="Connection to the 'TBL_VC (2)' query in the workbook." type="5" refreshedVersion="0" background="1">
    <dbPr connection="Provider=Microsoft.Mashup.OleDb.1;Data Source=$Workbook$;Location=&quot;TBL_VC (2)&quot;;Extended Properties=&quot;&quot;" command="SELECT * FROM [TBL_VC (2)]"/>
  </connection>
</connections>
</file>

<file path=xl/sharedStrings.xml><?xml version="1.0" encoding="utf-8"?>
<sst xmlns="http://schemas.openxmlformats.org/spreadsheetml/2006/main" count="11279" uniqueCount="5908">
  <si>
    <t>Stt</t>
  </si>
  <si>
    <t>Số
 phiếu</t>
  </si>
  <si>
    <t>Ngày cân 1</t>
  </si>
  <si>
    <t>Giờ cân 1</t>
  </si>
  <si>
    <t>Ngày cân 2</t>
  </si>
  <si>
    <t>Giờ cân 2</t>
  </si>
  <si>
    <t>Biển số 1</t>
  </si>
  <si>
    <t>Cân lần 1</t>
  </si>
  <si>
    <t>Cân lần 2</t>
  </si>
  <si>
    <t>KL hàng (KG)</t>
  </si>
  <si>
    <t>Nguồn gốc</t>
  </si>
  <si>
    <t>Khách hàng</t>
  </si>
  <si>
    <t>LDĐ</t>
  </si>
  <si>
    <t>Kiểu cân</t>
  </si>
  <si>
    <t>ĐN</t>
  </si>
  <si>
    <t>Ngày nhận dầu</t>
  </si>
  <si>
    <t>ĐVT</t>
  </si>
  <si>
    <t>Lít</t>
  </si>
  <si>
    <t>Số lượng (lít)</t>
  </si>
  <si>
    <t>Đơn giá dầu</t>
  </si>
  <si>
    <t>Ngày mua dầu</t>
  </si>
  <si>
    <t>Mã cự ly VC</t>
  </si>
  <si>
    <t>Biển số xe</t>
  </si>
  <si>
    <t>Đơn vị VC</t>
  </si>
  <si>
    <t>Đơn vị</t>
  </si>
  <si>
    <t>Ngày bắt đầu</t>
  </si>
  <si>
    <t>Ngày kết thúc</t>
  </si>
  <si>
    <t>Số chuyến</t>
  </si>
  <si>
    <t>Dầu Diezel thực nhận</t>
  </si>
  <si>
    <t xml:space="preserve">CL Tiêu hao Diezel </t>
  </si>
  <si>
    <t>Đơn giá CL Diezel</t>
  </si>
  <si>
    <t>Đơn giá vận chuyển</t>
  </si>
  <si>
    <t>BẢNG TÍNH ĐƠN GIÁ VẬN CHUYỂN</t>
  </si>
  <si>
    <t>Tuyến</t>
  </si>
  <si>
    <t>STT</t>
  </si>
  <si>
    <t>Cự ly tuyến</t>
  </si>
  <si>
    <t>Đơn giá theo hợp đồng (chưa bao gồm nhiên liệu)</t>
  </si>
  <si>
    <t>Tổng KL (Tấn)</t>
  </si>
  <si>
    <t>Định mức dầu Diezel</t>
  </si>
  <si>
    <t>Nhiên liệu dầu Diezel tiêu hao theo định mức (lít)</t>
  </si>
  <si>
    <t>Ngày nhập dầu</t>
  </si>
  <si>
    <t>Mã tuyến</t>
  </si>
  <si>
    <t>05</t>
  </si>
  <si>
    <t>43H-01055</t>
  </si>
  <si>
    <t>Column1</t>
  </si>
  <si>
    <t>CN CÔNG TY TNHH HOÀNG ANH KHÔI</t>
  </si>
  <si>
    <t>CNN ĐÔNG PHÚ - QUẾ SƠN - QUẢNG NAM</t>
  </si>
  <si>
    <t>BÁO CÁO DANH SÁCH CÁC LƯỢT XE ĐÃ CÂN</t>
  </si>
  <si>
    <t>LĐĐ</t>
  </si>
  <si>
    <t>Cty VC</t>
  </si>
  <si>
    <t>Số HĐVC</t>
  </si>
  <si>
    <t>01</t>
  </si>
  <si>
    <t>08/11/2025</t>
  </si>
  <si>
    <t>02:00:04</t>
  </si>
  <si>
    <t>02:08:04</t>
  </si>
  <si>
    <t>92H-00834</t>
  </si>
  <si>
    <t>NGUYỄN VĂN TÂN</t>
  </si>
  <si>
    <t>LDD92</t>
  </si>
  <si>
    <t>Trung Chuyển</t>
  </si>
  <si>
    <t>Công ty TNHH Hoàng Anh Khôi Quảng Nam</t>
  </si>
  <si>
    <t>02.2025/HĐKT</t>
  </si>
  <si>
    <t>02</t>
  </si>
  <si>
    <t>02:00:41</t>
  </si>
  <si>
    <t>02:18:11</t>
  </si>
  <si>
    <t>92H-00192</t>
  </si>
  <si>
    <t>LÊ VĂN PHÁT</t>
  </si>
  <si>
    <t>Công ty TNHH SX TM DV Đại Hiệp</t>
  </si>
  <si>
    <t>01.06.2025/HĐKT/ĐH-CNHAK</t>
  </si>
  <si>
    <t>03</t>
  </si>
  <si>
    <t>02:01:18</t>
  </si>
  <si>
    <t>02:13:16</t>
  </si>
  <si>
    <t>92H-00979</t>
  </si>
  <si>
    <t xml:space="preserve"> PHAN DUY THƯƠNG</t>
  </si>
  <si>
    <t>04</t>
  </si>
  <si>
    <t>02:01:46</t>
  </si>
  <si>
    <t>02:23:27</t>
  </si>
  <si>
    <t>92H-00195</t>
  </si>
  <si>
    <t>NGUYỄN THANH ĐỨC</t>
  </si>
  <si>
    <t>02:02:23</t>
  </si>
  <si>
    <t>02:29:01</t>
  </si>
  <si>
    <t>92H-00057</t>
  </si>
  <si>
    <t>NGUYỄN PHƯỚC VIỆT</t>
  </si>
  <si>
    <t>06</t>
  </si>
  <si>
    <t>02:03:13</t>
  </si>
  <si>
    <t>04:42:15</t>
  </si>
  <si>
    <t>92H-00141</t>
  </si>
  <si>
    <t>NGUYỄN HOÀNG</t>
  </si>
  <si>
    <t>07</t>
  </si>
  <si>
    <t>02:04:50</t>
  </si>
  <si>
    <t>02:34:46</t>
  </si>
  <si>
    <t>92H-00133</t>
  </si>
  <si>
    <t>HOÀNG VĂN TUẤN SINH</t>
  </si>
  <si>
    <t>08</t>
  </si>
  <si>
    <t>04:18:58</t>
  </si>
  <si>
    <t>04:28:33</t>
  </si>
  <si>
    <t>09</t>
  </si>
  <si>
    <t>04:42:23</t>
  </si>
  <si>
    <t>04:51:16</t>
  </si>
  <si>
    <t>10</t>
  </si>
  <si>
    <t>04:43:54</t>
  </si>
  <si>
    <t>04:56:40</t>
  </si>
  <si>
    <t>11</t>
  </si>
  <si>
    <t>04:55:58</t>
  </si>
  <si>
    <t>05:04:08</t>
  </si>
  <si>
    <t>12</t>
  </si>
  <si>
    <t>05:06:35</t>
  </si>
  <si>
    <t>05:15:21</t>
  </si>
  <si>
    <t>13</t>
  </si>
  <si>
    <t>05:19:49</t>
  </si>
  <si>
    <t>10:03:23</t>
  </si>
  <si>
    <t xml:space="preserve"> NGUYỄN THANH HÙNG</t>
  </si>
  <si>
    <t>Công ty TNHH Hoàng Anh Khôi</t>
  </si>
  <si>
    <t>28.03.25/QĐ-HAK</t>
  </si>
  <si>
    <t>14</t>
  </si>
  <si>
    <t>05:25:28</t>
  </si>
  <si>
    <t>05:34:35</t>
  </si>
  <si>
    <t>15</t>
  </si>
  <si>
    <t>05:33:04</t>
  </si>
  <si>
    <t>05:40:59</t>
  </si>
  <si>
    <t>16</t>
  </si>
  <si>
    <t>07:04:35</t>
  </si>
  <si>
    <t>07:14:56</t>
  </si>
  <si>
    <t>17</t>
  </si>
  <si>
    <t>07:51:18</t>
  </si>
  <si>
    <t>08:01:15</t>
  </si>
  <si>
    <t>18</t>
  </si>
  <si>
    <t>07:55:51</t>
  </si>
  <si>
    <t>08:20:36</t>
  </si>
  <si>
    <t>19</t>
  </si>
  <si>
    <t>07:58:34</t>
  </si>
  <si>
    <t>08:08:41</t>
  </si>
  <si>
    <t>20</t>
  </si>
  <si>
    <t>08:01:55</t>
  </si>
  <si>
    <t>08:15:16</t>
  </si>
  <si>
    <t>21</t>
  </si>
  <si>
    <t>08:31:04</t>
  </si>
  <si>
    <t>08:41:22</t>
  </si>
  <si>
    <t>22</t>
  </si>
  <si>
    <t>09:02:25</t>
  </si>
  <si>
    <t>09:10:41</t>
  </si>
  <si>
    <t>23</t>
  </si>
  <si>
    <t>09:23:55</t>
  </si>
  <si>
    <t>14:54:37</t>
  </si>
  <si>
    <t>92H-00865</t>
  </si>
  <si>
    <t>PHAN VĂN DUY</t>
  </si>
  <si>
    <t>24</t>
  </si>
  <si>
    <t>10:17:14</t>
  </si>
  <si>
    <t>10:26:28</t>
  </si>
  <si>
    <t>25</t>
  </si>
  <si>
    <t>10:53:49</t>
  </si>
  <si>
    <t>11:14:25</t>
  </si>
  <si>
    <t>26</t>
  </si>
  <si>
    <t>11:02:01</t>
  </si>
  <si>
    <t>11:13:48</t>
  </si>
  <si>
    <t>27</t>
  </si>
  <si>
    <t>11:06:59</t>
  </si>
  <si>
    <t>11:29:25</t>
  </si>
  <si>
    <t>28</t>
  </si>
  <si>
    <t>11:35:41</t>
  </si>
  <si>
    <t>11:58:50</t>
  </si>
  <si>
    <t>29</t>
  </si>
  <si>
    <t>12:07:06</t>
  </si>
  <si>
    <t>12:15:36</t>
  </si>
  <si>
    <t>30</t>
  </si>
  <si>
    <t>13:16:27</t>
  </si>
  <si>
    <t>13:27:58</t>
  </si>
  <si>
    <t>31</t>
  </si>
  <si>
    <t>13:35:07</t>
  </si>
  <si>
    <t>13:44:30</t>
  </si>
  <si>
    <t>32</t>
  </si>
  <si>
    <t>14:03:18</t>
  </si>
  <si>
    <t>14:12:17</t>
  </si>
  <si>
    <t>33</t>
  </si>
  <si>
    <t>14:04:52</t>
  </si>
  <si>
    <t>14:18:13</t>
  </si>
  <si>
    <t>34</t>
  </si>
  <si>
    <t>14:25:10</t>
  </si>
  <si>
    <t>14:33:29</t>
  </si>
  <si>
    <t>35</t>
  </si>
  <si>
    <t>14:45:52</t>
  </si>
  <si>
    <t>14:55:53</t>
  </si>
  <si>
    <t>36</t>
  </si>
  <si>
    <t>15:02:41</t>
  </si>
  <si>
    <t>15:12:14</t>
  </si>
  <si>
    <t>37</t>
  </si>
  <si>
    <t>16:17:24</t>
  </si>
  <si>
    <t>16:27:01</t>
  </si>
  <si>
    <t>38</t>
  </si>
  <si>
    <t>16:49:36</t>
  </si>
  <si>
    <t>17:10:43</t>
  </si>
  <si>
    <t>39</t>
  </si>
  <si>
    <t>16:59:17</t>
  </si>
  <si>
    <t>17:13:10</t>
  </si>
  <si>
    <t>40</t>
  </si>
  <si>
    <t>17:05:20</t>
  </si>
  <si>
    <t>17:18:20</t>
  </si>
  <si>
    <t>41</t>
  </si>
  <si>
    <t>17:33:07</t>
  </si>
  <si>
    <t>17:58:33</t>
  </si>
  <si>
    <t>42</t>
  </si>
  <si>
    <t>17:59:27</t>
  </si>
  <si>
    <t>18:08:35</t>
  </si>
  <si>
    <t>43</t>
  </si>
  <si>
    <t>18:17:02</t>
  </si>
  <si>
    <t>18:27:29</t>
  </si>
  <si>
    <t>44</t>
  </si>
  <si>
    <t>09/11/2025</t>
  </si>
  <si>
    <t>02:00:11</t>
  </si>
  <si>
    <t>02:08:31</t>
  </si>
  <si>
    <t>LÊ QUANG TRƯỜNG</t>
  </si>
  <si>
    <t>LDD93</t>
  </si>
  <si>
    <t>45</t>
  </si>
  <si>
    <t>02:00:59</t>
  </si>
  <si>
    <t>02:14:12</t>
  </si>
  <si>
    <t>ĐẶNG DUY PHƯƠNG</t>
  </si>
  <si>
    <t>46</t>
  </si>
  <si>
    <t>02:11:53</t>
  </si>
  <si>
    <t>02:22:21</t>
  </si>
  <si>
    <t>NGÔ BẢO THIÊM</t>
  </si>
  <si>
    <t>47</t>
  </si>
  <si>
    <t>02:17:14</t>
  </si>
  <si>
    <t>02:29:52</t>
  </si>
  <si>
    <t>PHẠM NGỌC HIỆP</t>
  </si>
  <si>
    <t>48</t>
  </si>
  <si>
    <t>02:19:44</t>
  </si>
  <si>
    <t>02:34:27</t>
  </si>
  <si>
    <t xml:space="preserve"> NGUYỄN MẬU PHƯƠNG</t>
  </si>
  <si>
    <t>49</t>
  </si>
  <si>
    <t>02:31:11</t>
  </si>
  <si>
    <t>02:41:58</t>
  </si>
  <si>
    <t>VÕ VĂN TRAI</t>
  </si>
  <si>
    <t>50</t>
  </si>
  <si>
    <t>03:11:24</t>
  </si>
  <si>
    <t>03:21:15</t>
  </si>
  <si>
    <t>TRẦN VĂN LONG</t>
  </si>
  <si>
    <t>51</t>
  </si>
  <si>
    <t>04:29:28</t>
  </si>
  <si>
    <t>04:38:27</t>
  </si>
  <si>
    <t>52</t>
  </si>
  <si>
    <t>04:54:25</t>
  </si>
  <si>
    <t>05:04:22</t>
  </si>
  <si>
    <t>53</t>
  </si>
  <si>
    <t>04:57:49</t>
  </si>
  <si>
    <t>05:12:09</t>
  </si>
  <si>
    <t>54</t>
  </si>
  <si>
    <t>05:20:44</t>
  </si>
  <si>
    <t>05:29:58</t>
  </si>
  <si>
    <t>55</t>
  </si>
  <si>
    <t>05:22:59</t>
  </si>
  <si>
    <t>05:36:14</t>
  </si>
  <si>
    <t>56</t>
  </si>
  <si>
    <t>05:33:58</t>
  </si>
  <si>
    <t>05:43:50</t>
  </si>
  <si>
    <t>57</t>
  </si>
  <si>
    <t>07:04:41</t>
  </si>
  <si>
    <t>07:14:18</t>
  </si>
  <si>
    <t>58</t>
  </si>
  <si>
    <t>07:18:49</t>
  </si>
  <si>
    <t>07:30:08</t>
  </si>
  <si>
    <t>59</t>
  </si>
  <si>
    <t>07:58:19</t>
  </si>
  <si>
    <t>08:09:22</t>
  </si>
  <si>
    <t>60</t>
  </si>
  <si>
    <t>08:44:32</t>
  </si>
  <si>
    <t>08:57:15</t>
  </si>
  <si>
    <t>61</t>
  </si>
  <si>
    <t>08:50:38</t>
  </si>
  <si>
    <t>09:03:33</t>
  </si>
  <si>
    <t>62</t>
  </si>
  <si>
    <t>09:02:29</t>
  </si>
  <si>
    <t>09:15:52</t>
  </si>
  <si>
    <t>63</t>
  </si>
  <si>
    <t>19:29:58</t>
  </si>
  <si>
    <t>19:43:34</t>
  </si>
  <si>
    <t>SỔ CHI TIẾT VẬT TƯ HÀNG HÓA</t>
  </si>
  <si>
    <t>Chi nhánh: CN Công ty TNHH Hoàng Anh Khôi Quế Sơn Quảng Nam; Kho: Kho NVL; Mặt hàng: Dầu Diezel; Từ ngày 08/11/2025 đến ngày 09/11/2025</t>
  </si>
  <si>
    <t>Mã kho</t>
  </si>
  <si>
    <t>Mã hàng</t>
  </si>
  <si>
    <t>Tên kho</t>
  </si>
  <si>
    <t>Tên hàng</t>
  </si>
  <si>
    <t>Ngày hạch toán</t>
  </si>
  <si>
    <t>Ngày chứng từ</t>
  </si>
  <si>
    <t>Số chứng từ</t>
  </si>
  <si>
    <t>Diễn giải</t>
  </si>
  <si>
    <t>Đơn giá</t>
  </si>
  <si>
    <t>Đơn giá theo ĐVC</t>
  </si>
  <si>
    <t>Nhập</t>
  </si>
  <si>
    <t>Xuất</t>
  </si>
  <si>
    <t>Mã thống kê</t>
  </si>
  <si>
    <t>Số lượng</t>
  </si>
  <si>
    <t>Số lượng theo ĐVC</t>
  </si>
  <si>
    <t>Giá trị</t>
  </si>
  <si>
    <t>152.001</t>
  </si>
  <si>
    <t>152QS.001</t>
  </si>
  <si>
    <t>Kho NVL</t>
  </si>
  <si>
    <t>Dầu Diezel</t>
  </si>
  <si>
    <t>XNL5/11</t>
  </si>
  <si>
    <t>TCDN - Xuất dùng cho QC_92H00865</t>
  </si>
  <si>
    <t>QC_92H00865</t>
  </si>
  <si>
    <t>XNL6/11</t>
  </si>
  <si>
    <t>TCDN - Xuất dùng cho DN_43H01055</t>
  </si>
  <si>
    <t>DN_43H01055</t>
  </si>
  <si>
    <t>XNL7/11</t>
  </si>
  <si>
    <t>TCDN - Xuất dùng cho DH_92H00133</t>
  </si>
  <si>
    <t>DH_92H00133</t>
  </si>
  <si>
    <t>XNL8/11</t>
  </si>
  <si>
    <t>TCDN - Xuất dùng cho QC_92H00979</t>
  </si>
  <si>
    <t>QC_92H00979</t>
  </si>
  <si>
    <t>XNL9/11</t>
  </si>
  <si>
    <t>TCDN - Xuất dùng cho DH_92H00141</t>
  </si>
  <si>
    <t>DH_92H00141</t>
  </si>
  <si>
    <t>Số dòng = 6</t>
  </si>
  <si>
    <t xml:space="preserve">CÔNG TY TNHH HOÀNG ANH KHÔI QUẢNG NAM </t>
  </si>
  <si>
    <t>Cụm CN Quế Cường, xã Quế Sơn Trung, TP Đà Nẵng</t>
  </si>
  <si>
    <t xml:space="preserve">BẢNG XÁC NHẬN KHỐI LƯỢNG VẬN CHUYỂN DĂM </t>
  </si>
  <si>
    <t>Khối lượng (KG)</t>
  </si>
  <si>
    <t>Khối lượng (Tấn)</t>
  </si>
  <si>
    <t>Thành tiền</t>
  </si>
  <si>
    <t>VAT (8%)</t>
  </si>
  <si>
    <t>Ghi chú</t>
  </si>
  <si>
    <t>TỔNG CỘNG</t>
  </si>
  <si>
    <t>Viết bằng chữ:</t>
  </si>
  <si>
    <t>Quế Sơn Trung , ngày 11 tháng 11 năm 2025</t>
  </si>
  <si>
    <t>CÔNG TY TNHH HOÀNG ANH KHÔI</t>
  </si>
  <si>
    <t xml:space="preserve">   P Giám Đốc</t>
  </si>
  <si>
    <t>Kế Toán</t>
  </si>
  <si>
    <t>Giám Đốc</t>
  </si>
  <si>
    <t xml:space="preserve">VÕ THỊ NHƯ NGỌC </t>
  </si>
  <si>
    <t>BÙI VĂN HẬU</t>
  </si>
  <si>
    <t xml:space="preserve">VÕ VĂN PHỤNG </t>
  </si>
  <si>
    <t>PHAN XUÂN HƯƠNG</t>
  </si>
  <si>
    <t>Cước vận chuyển dăm gỗ từ NM dăm gỗ _Cụm Công Nghiệp Đông Phú, Xã Quế Sơn, TP Đà Nẵng đến NM dăm gỗ_Thửa đất số 1182, tờ bản đồ số 38, thôn Thạch Nham Tây, Xã Bà Nà, TP Đà Nẵng bằng xe thùng BKS : 92H-00834</t>
  </si>
  <si>
    <t>( Vận chuyển từ ngày 08/11/2025 đến ngày 09/11/2025)</t>
  </si>
  <si>
    <t>CÔNG TY TNHH HOÀNG ANH KHÔI QUẢNG NAM</t>
  </si>
  <si>
    <t>LÍT</t>
  </si>
  <si>
    <t>43H-01098</t>
  </si>
  <si>
    <t>43H-01080</t>
  </si>
  <si>
    <t>43H-01021</t>
  </si>
  <si>
    <t>16:27:00</t>
  </si>
  <si>
    <t>16:33:59</t>
  </si>
  <si>
    <t>16:56:28</t>
  </si>
  <si>
    <t>17:08:24</t>
  </si>
  <si>
    <t>17:24:25</t>
  </si>
  <si>
    <t>17:44:33</t>
  </si>
  <si>
    <t>18:12:19</t>
  </si>
  <si>
    <t>18:26:47</t>
  </si>
  <si>
    <t>20:19:22</t>
  </si>
  <si>
    <t>20:30:24</t>
  </si>
  <si>
    <t>21:16:39</t>
  </si>
  <si>
    <t>21:31:26</t>
  </si>
  <si>
    <t>17:56:04</t>
  </si>
  <si>
    <t>18:05:19</t>
  </si>
  <si>
    <t>18:54:58</t>
  </si>
  <si>
    <t>19:05:16</t>
  </si>
  <si>
    <t>01:01:11</t>
  </si>
  <si>
    <t>01:38:40</t>
  </si>
  <si>
    <t>01:06:02</t>
  </si>
  <si>
    <t>01:51:13</t>
  </si>
  <si>
    <t>01:28:44</t>
  </si>
  <si>
    <t>01:56:54</t>
  </si>
  <si>
    <t>04:08:48</t>
  </si>
  <si>
    <t>04:22:44</t>
  </si>
  <si>
    <t>04:23:18</t>
  </si>
  <si>
    <t>04:31:35</t>
  </si>
  <si>
    <t>04:30:10</t>
  </si>
  <si>
    <t>04:41:37</t>
  </si>
  <si>
    <t>05:00:14</t>
  </si>
  <si>
    <t>05:14:42</t>
  </si>
  <si>
    <t>07:21:38</t>
  </si>
  <si>
    <t>07:30:59</t>
  </si>
  <si>
    <t>07:29:18</t>
  </si>
  <si>
    <t>07:36:56</t>
  </si>
  <si>
    <t>07:47:06</t>
  </si>
  <si>
    <t>07:53:53</t>
  </si>
  <si>
    <t>08:41:11</t>
  </si>
  <si>
    <t>08:48:51</t>
  </si>
  <si>
    <t>10:24:37</t>
  </si>
  <si>
    <t>10:31:31</t>
  </si>
  <si>
    <t>10:41:08</t>
  </si>
  <si>
    <t>10:48:06</t>
  </si>
  <si>
    <t>10:47:08</t>
  </si>
  <si>
    <t>11:14:19</t>
  </si>
  <si>
    <t>11:44:29</t>
  </si>
  <si>
    <t>11:51:08</t>
  </si>
  <si>
    <t>13:10:23</t>
  </si>
  <si>
    <t>13:17:20</t>
  </si>
  <si>
    <t>14:03:50</t>
  </si>
  <si>
    <t>14:11:00</t>
  </si>
  <si>
    <t>14:04:11</t>
  </si>
  <si>
    <t>14:16:13</t>
  </si>
  <si>
    <t>15:22:35</t>
  </si>
  <si>
    <t>15:33:20</t>
  </si>
  <si>
    <t>16:06:33</t>
  </si>
  <si>
    <t>16:16:03</t>
  </si>
  <si>
    <t>00:59:35</t>
  </si>
  <si>
    <t>01:24:17</t>
  </si>
  <si>
    <t>01:29:00</t>
  </si>
  <si>
    <t>01:55:32</t>
  </si>
  <si>
    <t>01:38:59</t>
  </si>
  <si>
    <t>02:12:27</t>
  </si>
  <si>
    <t>02:17:05</t>
  </si>
  <si>
    <t>02:26:41</t>
  </si>
  <si>
    <t>03:55:31</t>
  </si>
  <si>
    <t>04:05:50</t>
  </si>
  <si>
    <t>04:42:01</t>
  </si>
  <si>
    <t>04:50:54</t>
  </si>
  <si>
    <t>05:09:03</t>
  </si>
  <si>
    <t>05:19:44</t>
  </si>
  <si>
    <t>05:24:09</t>
  </si>
  <si>
    <t>05:33:00</t>
  </si>
  <si>
    <t>06:44:58</t>
  </si>
  <si>
    <t>06:53:25</t>
  </si>
  <si>
    <t>07:46:42</t>
  </si>
  <si>
    <t>07:54:46</t>
  </si>
  <si>
    <t>08:25:30</t>
  </si>
  <si>
    <t>08:35:56</t>
  </si>
  <si>
    <t>08:27:24</t>
  </si>
  <si>
    <t>08:39:22</t>
  </si>
  <si>
    <t>10:03:39</t>
  </si>
  <si>
    <t>10:12:19</t>
  </si>
  <si>
    <t>10:49:26</t>
  </si>
  <si>
    <t>11:11:33</t>
  </si>
  <si>
    <t>11:35:14</t>
  </si>
  <si>
    <t>11:58:42</t>
  </si>
  <si>
    <t>11:59:20</t>
  </si>
  <si>
    <t>12:07:09</t>
  </si>
  <si>
    <t>13:05:55</t>
  </si>
  <si>
    <t>13:13:15</t>
  </si>
  <si>
    <t>13:37:57</t>
  </si>
  <si>
    <t>13:45:13</t>
  </si>
  <si>
    <t>14:32:03</t>
  </si>
  <si>
    <t>14:38:14</t>
  </si>
  <si>
    <t>14:55:26</t>
  </si>
  <si>
    <t>15:01:29</t>
  </si>
  <si>
    <t>16:27:31</t>
  </si>
  <si>
    <t>16:40:36</t>
  </si>
  <si>
    <t>17:00:24</t>
  </si>
  <si>
    <t>17:11:27</t>
  </si>
  <si>
    <t>17:57:12</t>
  </si>
  <si>
    <t>18:08:11</t>
  </si>
  <si>
    <t>18:29:05</t>
  </si>
  <si>
    <t>18:39:01</t>
  </si>
  <si>
    <t>06:02:37</t>
  </si>
  <si>
    <t>06:27:03</t>
  </si>
  <si>
    <t>06:03:14</t>
  </si>
  <si>
    <t>06:34:45</t>
  </si>
  <si>
    <t>06:05:28</t>
  </si>
  <si>
    <t>06:57:37</t>
  </si>
  <si>
    <t>06:08:07</t>
  </si>
  <si>
    <t>07:08:30</t>
  </si>
  <si>
    <t>09:27:38</t>
  </si>
  <si>
    <t>09:35:53</t>
  </si>
  <si>
    <t>09:42:12</t>
  </si>
  <si>
    <t>09:49:38</t>
  </si>
  <si>
    <t>10:26:50</t>
  </si>
  <si>
    <t>10:42:39</t>
  </si>
  <si>
    <t>11:00:10</t>
  </si>
  <si>
    <t>11:16:27</t>
  </si>
  <si>
    <t>12:53:09</t>
  </si>
  <si>
    <t>12:59:56</t>
  </si>
  <si>
    <t>13:04:29</t>
  </si>
  <si>
    <t>13:16:42</t>
  </si>
  <si>
    <t>13:30:09</t>
  </si>
  <si>
    <t>13:37:43</t>
  </si>
  <si>
    <t>14:20:57</t>
  </si>
  <si>
    <t>14:27:20</t>
  </si>
  <si>
    <t>15:45:16</t>
  </si>
  <si>
    <t>15:52:53</t>
  </si>
  <si>
    <t>16:12:21</t>
  </si>
  <si>
    <t>16:20:38</t>
  </si>
  <si>
    <t>16:34:49</t>
  </si>
  <si>
    <t>16:43:52</t>
  </si>
  <si>
    <t>17:34:34</t>
  </si>
  <si>
    <t>17:44:42</t>
  </si>
  <si>
    <t>01:01:10</t>
  </si>
  <si>
    <t>01:18:16</t>
  </si>
  <si>
    <t>01:01:46</t>
  </si>
  <si>
    <t>01:26:04</t>
  </si>
  <si>
    <t>01:03:37</t>
  </si>
  <si>
    <t>01:50:57</t>
  </si>
  <si>
    <t>02:22:12</t>
  </si>
  <si>
    <t>02:34:21</t>
  </si>
  <si>
    <t>03:45:20</t>
  </si>
  <si>
    <t>04:03:52</t>
  </si>
  <si>
    <t>04:03:06</t>
  </si>
  <si>
    <t>04:11:01</t>
  </si>
  <si>
    <t>05:32:44</t>
  </si>
  <si>
    <t>05:43:53</t>
  </si>
  <si>
    <t>05:58:13</t>
  </si>
  <si>
    <t>06:08:12</t>
  </si>
  <si>
    <t>06:36:22</t>
  </si>
  <si>
    <t>06:46:17</t>
  </si>
  <si>
    <t>06:43:21</t>
  </si>
  <si>
    <t>06:51:47</t>
  </si>
  <si>
    <t>08:56:02</t>
  </si>
  <si>
    <t>09:19:28</t>
  </si>
  <si>
    <t>09:27:04</t>
  </si>
  <si>
    <t>09:37:54</t>
  </si>
  <si>
    <t>09:48:15</t>
  </si>
  <si>
    <t>10:05:32</t>
  </si>
  <si>
    <t>09:55:36</t>
  </si>
  <si>
    <t>10:18:43</t>
  </si>
  <si>
    <t>12:32:14</t>
  </si>
  <si>
    <t>15:29:51</t>
  </si>
  <si>
    <t>12:54:39</t>
  </si>
  <si>
    <t>13:06:39</t>
  </si>
  <si>
    <t>13:17:29</t>
  </si>
  <si>
    <t>13:28:00</t>
  </si>
  <si>
    <t>15:03:48</t>
  </si>
  <si>
    <t>15:15:20</t>
  </si>
  <si>
    <t>15:18:13</t>
  </si>
  <si>
    <t>15:48:52</t>
  </si>
  <si>
    <t>15:49:42</t>
  </si>
  <si>
    <t>16:04:09</t>
  </si>
  <si>
    <t>16:15:41</t>
  </si>
  <si>
    <t>16:32:29</t>
  </si>
  <si>
    <t>16:34:32</t>
  </si>
  <si>
    <t>16:45:00</t>
  </si>
  <si>
    <t>18:35:17</t>
  </si>
  <si>
    <t>18:50:15</t>
  </si>
  <si>
    <t>VC.010</t>
  </si>
  <si>
    <t>19:22:50</t>
  </si>
  <si>
    <t>19:33:53</t>
  </si>
  <si>
    <t>43H01055</t>
  </si>
  <si>
    <t>43H01021</t>
  </si>
  <si>
    <t>43H01098</t>
  </si>
  <si>
    <t>43H01080</t>
  </si>
  <si>
    <t>CNHAK</t>
  </si>
  <si>
    <t>1</t>
  </si>
  <si>
    <t>09:38:48</t>
  </si>
  <si>
    <t>10:14:07</t>
  </si>
  <si>
    <t>16:56:31</t>
  </si>
  <si>
    <t>17:12:17</t>
  </si>
  <si>
    <t>16:37:37</t>
  </si>
  <si>
    <t>16:52:21</t>
  </si>
  <si>
    <t>16:12:57</t>
  </si>
  <si>
    <t>16:26:27</t>
  </si>
  <si>
    <t>92H-00903</t>
  </si>
  <si>
    <t>15:54:14</t>
  </si>
  <si>
    <t>16:15:16</t>
  </si>
  <si>
    <t>92H-00994</t>
  </si>
  <si>
    <t>13:50:40</t>
  </si>
  <si>
    <t>14:05:35</t>
  </si>
  <si>
    <t>13:32:21</t>
  </si>
  <si>
    <t>13:43:45</t>
  </si>
  <si>
    <t>12:57:14</t>
  </si>
  <si>
    <t>13:15:31</t>
  </si>
  <si>
    <t>12:50:04</t>
  </si>
  <si>
    <t>13:10:58</t>
  </si>
  <si>
    <t>12:29:03</t>
  </si>
  <si>
    <t>12:41:33</t>
  </si>
  <si>
    <t>10:58:58</t>
  </si>
  <si>
    <t>11:09:25</t>
  </si>
  <si>
    <t>10:24:25</t>
  </si>
  <si>
    <t>10:35:09</t>
  </si>
  <si>
    <t>10:14:13</t>
  </si>
  <si>
    <t>10:26:16</t>
  </si>
  <si>
    <t>09:46:57</t>
  </si>
  <si>
    <t>09:58:13</t>
  </si>
  <si>
    <t>09:20:04</t>
  </si>
  <si>
    <t>09:30:45</t>
  </si>
  <si>
    <t>08:00:19</t>
  </si>
  <si>
    <t>08:10:03</t>
  </si>
  <si>
    <t>07:36:12</t>
  </si>
  <si>
    <t>07:45:20</t>
  </si>
  <si>
    <t>07:09:39</t>
  </si>
  <si>
    <t>07:20:03</t>
  </si>
  <si>
    <t>06:16:36</t>
  </si>
  <si>
    <t>06:26:04</t>
  </si>
  <si>
    <t>06:00:19</t>
  </si>
  <si>
    <t>06:15:31</t>
  </si>
  <si>
    <t>04:58:42</t>
  </si>
  <si>
    <t>05:12:01</t>
  </si>
  <si>
    <t>04:43:47</t>
  </si>
  <si>
    <t>04:53:14</t>
  </si>
  <si>
    <t>04:09:54</t>
  </si>
  <si>
    <t>04:18:08</t>
  </si>
  <si>
    <t>03:37:46</t>
  </si>
  <si>
    <t>03:46:49</t>
  </si>
  <si>
    <t>03:20:12</t>
  </si>
  <si>
    <t>03:29:54</t>
  </si>
  <si>
    <t>01:20:00</t>
  </si>
  <si>
    <t>02:08:44</t>
  </si>
  <si>
    <t>01:04:17</t>
  </si>
  <si>
    <t>01:59:55</t>
  </si>
  <si>
    <t>01:03:00</t>
  </si>
  <si>
    <t>01:42:21</t>
  </si>
  <si>
    <t>01:00:48</t>
  </si>
  <si>
    <t>01:10:23</t>
  </si>
  <si>
    <t>17:23:30</t>
  </si>
  <si>
    <t>17:35:25</t>
  </si>
  <si>
    <t>16:59:26</t>
  </si>
  <si>
    <t>17:09:50</t>
  </si>
  <si>
    <t>15:35:17</t>
  </si>
  <si>
    <t>15:44:23</t>
  </si>
  <si>
    <t>15:28:42</t>
  </si>
  <si>
    <t>15:36:11</t>
  </si>
  <si>
    <t>14:15:05</t>
  </si>
  <si>
    <t>14:23:47</t>
  </si>
  <si>
    <t>12:32:47</t>
  </si>
  <si>
    <t>12:40:37</t>
  </si>
  <si>
    <t>12:23:56</t>
  </si>
  <si>
    <t>12:36:11</t>
  </si>
  <si>
    <t>10:50:08</t>
  </si>
  <si>
    <t>10:58:55</t>
  </si>
  <si>
    <t>06:24:19</t>
  </si>
  <si>
    <t>07:22:35</t>
  </si>
  <si>
    <t>06:11:32</t>
  </si>
  <si>
    <t>07:13:53</t>
  </si>
  <si>
    <t>06:06:01</t>
  </si>
  <si>
    <t>07:03:48</t>
  </si>
  <si>
    <t>06:01:53</t>
  </si>
  <si>
    <t>06:20:02</t>
  </si>
  <si>
    <t>16:48:48</t>
  </si>
  <si>
    <t>16:56:48</t>
  </si>
  <si>
    <t>16:23:07</t>
  </si>
  <si>
    <t>16:34:16</t>
  </si>
  <si>
    <t>16:18:08</t>
  </si>
  <si>
    <t>16:26:33</t>
  </si>
  <si>
    <t>15:35:50</t>
  </si>
  <si>
    <t>15:43:26</t>
  </si>
  <si>
    <t>13:15:43</t>
  </si>
  <si>
    <t>16:34:00</t>
  </si>
  <si>
    <t>12:59:30</t>
  </si>
  <si>
    <t>13:07:27</t>
  </si>
  <si>
    <t>10:28:54</t>
  </si>
  <si>
    <t>10:45:24</t>
  </si>
  <si>
    <t>10:05:23</t>
  </si>
  <si>
    <t>10:16:46</t>
  </si>
  <si>
    <t>09:38:35</t>
  </si>
  <si>
    <t>09:47:43</t>
  </si>
  <si>
    <t>07:27:49</t>
  </si>
  <si>
    <t>07:35:55</t>
  </si>
  <si>
    <t>07:08:57</t>
  </si>
  <si>
    <t>07:16:12</t>
  </si>
  <si>
    <t>06:25:10</t>
  </si>
  <si>
    <t>06:35:41</t>
  </si>
  <si>
    <t>04:29:56</t>
  </si>
  <si>
    <t>04:38:52</t>
  </si>
  <si>
    <t>04:14:10</t>
  </si>
  <si>
    <t>04:24:56</t>
  </si>
  <si>
    <t>03:41:31</t>
  </si>
  <si>
    <t>03:50:35</t>
  </si>
  <si>
    <t>01:05:05</t>
  </si>
  <si>
    <t>01:47:55</t>
  </si>
  <si>
    <t>01:00:39</t>
  </si>
  <si>
    <t>01:39:59</t>
  </si>
  <si>
    <t>00:58:54</t>
  </si>
  <si>
    <t>01:16:31</t>
  </si>
  <si>
    <t>15:00:44</t>
  </si>
  <si>
    <t>15:16:03</t>
  </si>
  <si>
    <t>14:59:12</t>
  </si>
  <si>
    <t>15:09:46</t>
  </si>
  <si>
    <t>12:36:18</t>
  </si>
  <si>
    <t>12:43:48</t>
  </si>
  <si>
    <t>11:30:58</t>
  </si>
  <si>
    <t>11:42:14</t>
  </si>
  <si>
    <t>11:18:27</t>
  </si>
  <si>
    <t>11:28:10</t>
  </si>
  <si>
    <t>09:40:25</t>
  </si>
  <si>
    <t>09:47:30</t>
  </si>
  <si>
    <t>08:25:53</t>
  </si>
  <si>
    <t>08:34:44</t>
  </si>
  <si>
    <t>08:15:17</t>
  </si>
  <si>
    <t>08:22:49</t>
  </si>
  <si>
    <t>06:21:08</t>
  </si>
  <si>
    <t>06:34:31</t>
  </si>
  <si>
    <t>05:15:33</t>
  </si>
  <si>
    <t>05:24:37</t>
  </si>
  <si>
    <t>04:57:02</t>
  </si>
  <si>
    <t>05:07:35</t>
  </si>
  <si>
    <t>03:55:11</t>
  </si>
  <si>
    <t>02:06:36</t>
  </si>
  <si>
    <t>02:15:23</t>
  </si>
  <si>
    <t>01:01:43</t>
  </si>
  <si>
    <t>01:45:01</t>
  </si>
  <si>
    <t>00:59:26</t>
  </si>
  <si>
    <t>01:25:54</t>
  </si>
  <si>
    <t>17:02:12</t>
  </si>
  <si>
    <t>17:10:17</t>
  </si>
  <si>
    <t>16:28:52</t>
  </si>
  <si>
    <t>16:53:48</t>
  </si>
  <si>
    <t>17:18:53</t>
  </si>
  <si>
    <t>17:30:47</t>
  </si>
  <si>
    <t>18:06:12</t>
  </si>
  <si>
    <t>18:17:12</t>
  </si>
  <si>
    <t>20:02:47</t>
  </si>
  <si>
    <t>20:15:56</t>
  </si>
  <si>
    <t>09:47:14</t>
  </si>
  <si>
    <t>10:18:05</t>
  </si>
  <si>
    <t>16:54:33</t>
  </si>
  <si>
    <t>17:01:38</t>
  </si>
  <si>
    <t>19:10:26</t>
  </si>
  <si>
    <t>16:52:56</t>
  </si>
  <si>
    <t>17:03:12</t>
  </si>
  <si>
    <t>00:58:21</t>
  </si>
  <si>
    <t>01:07:07</t>
  </si>
  <si>
    <t>01:14:02</t>
  </si>
  <si>
    <t>01:00:06</t>
  </si>
  <si>
    <t>01:20:30</t>
  </si>
  <si>
    <t>01:00:38</t>
  </si>
  <si>
    <t>01:32:03</t>
  </si>
  <si>
    <t>03:20:36</t>
  </si>
  <si>
    <t>03:37:36</t>
  </si>
  <si>
    <t>03:56:49</t>
  </si>
  <si>
    <t>04:05:20</t>
  </si>
  <si>
    <t>04:01:46</t>
  </si>
  <si>
    <t>04:13:51</t>
  </si>
  <si>
    <t>06:15:56</t>
  </si>
  <si>
    <t>06:26:16</t>
  </si>
  <si>
    <t>06:44:03</t>
  </si>
  <si>
    <t>06:53:23</t>
  </si>
  <si>
    <t>07:14:10</t>
  </si>
  <si>
    <t>07:23:31</t>
  </si>
  <si>
    <t>09:46:32</t>
  </si>
  <si>
    <t>09:54:35</t>
  </si>
  <si>
    <t>09:53:42</t>
  </si>
  <si>
    <t>10:00:51</t>
  </si>
  <si>
    <t>10:28:32</t>
  </si>
  <si>
    <t>10:37:52</t>
  </si>
  <si>
    <t>12:52:48</t>
  </si>
  <si>
    <t>13:01:10</t>
  </si>
  <si>
    <t>13:00:24</t>
  </si>
  <si>
    <t>13:08:33</t>
  </si>
  <si>
    <t>13:45:59</t>
  </si>
  <si>
    <t>13:53:23</t>
  </si>
  <si>
    <t>00:58:04</t>
  </si>
  <si>
    <t>01:08:33</t>
  </si>
  <si>
    <t>01:00:10</t>
  </si>
  <si>
    <t>01:31:59</t>
  </si>
  <si>
    <t>01:34:17</t>
  </si>
  <si>
    <t>02:03:33</t>
  </si>
  <si>
    <t>03:27:41</t>
  </si>
  <si>
    <t>03:38:15</t>
  </si>
  <si>
    <t>04:08:52</t>
  </si>
  <si>
    <t>04:18:13</t>
  </si>
  <si>
    <t>04:56:27</t>
  </si>
  <si>
    <t>05:05:29</t>
  </si>
  <si>
    <t>06:05:22</t>
  </si>
  <si>
    <t>06:16:38</t>
  </si>
  <si>
    <t>07:20:27</t>
  </si>
  <si>
    <t>07:29:04</t>
  </si>
  <si>
    <t>08:07:18</t>
  </si>
  <si>
    <t>08:20:25</t>
  </si>
  <si>
    <t>09:34:55</t>
  </si>
  <si>
    <t>09:42:30</t>
  </si>
  <si>
    <t>10:32:39</t>
  </si>
  <si>
    <t>10:41:45</t>
  </si>
  <si>
    <t>11:15:06</t>
  </si>
  <si>
    <t>11:32:24</t>
  </si>
  <si>
    <t>12:30:26</t>
  </si>
  <si>
    <t>12:38:46</t>
  </si>
  <si>
    <t>13:25:59</t>
  </si>
  <si>
    <t>13:33:43</t>
  </si>
  <si>
    <t>14:01:25</t>
  </si>
  <si>
    <t>14:07:59</t>
  </si>
  <si>
    <t>15:07:11</t>
  </si>
  <si>
    <t>15:15:28</t>
  </si>
  <si>
    <t>16:50:52</t>
  </si>
  <si>
    <t>17:03:58</t>
  </si>
  <si>
    <t>17:41:37</t>
  </si>
  <si>
    <t>17:54:24</t>
  </si>
  <si>
    <t>06:03:37</t>
  </si>
  <si>
    <t>06:42:27</t>
  </si>
  <si>
    <t>06:04:47</t>
  </si>
  <si>
    <t>10:03:05</t>
  </si>
  <si>
    <t>09:46:42</t>
  </si>
  <si>
    <t>09:55:30</t>
  </si>
  <si>
    <t>09:50:27</t>
  </si>
  <si>
    <t>10:04:34</t>
  </si>
  <si>
    <t>10:19:14</t>
  </si>
  <si>
    <t>10:28:28</t>
  </si>
  <si>
    <t>10:19:56</t>
  </si>
  <si>
    <t>10:34:53</t>
  </si>
  <si>
    <t>13:03:16</t>
  </si>
  <si>
    <t>13:11:34</t>
  </si>
  <si>
    <t>13:40:12</t>
  </si>
  <si>
    <t>13:47:46</t>
  </si>
  <si>
    <t>13:43:49</t>
  </si>
  <si>
    <t>13:53:54</t>
  </si>
  <si>
    <t>16:35:53</t>
  </si>
  <si>
    <t>16:55:50</t>
  </si>
  <si>
    <t>16:51:31</t>
  </si>
  <si>
    <t>17:02:43</t>
  </si>
  <si>
    <t>17:06:44</t>
  </si>
  <si>
    <t>17:17:48</t>
  </si>
  <si>
    <t>01:02:22</t>
  </si>
  <si>
    <t>01:34:07</t>
  </si>
  <si>
    <t>01:46:15</t>
  </si>
  <si>
    <t>02:17:15</t>
  </si>
  <si>
    <t>02:07:30</t>
  </si>
  <si>
    <t>02:26:06</t>
  </si>
  <si>
    <t>04:54:50</t>
  </si>
  <si>
    <t>05:05:14</t>
  </si>
  <si>
    <t>05:12:39</t>
  </si>
  <si>
    <t>05:22:18</t>
  </si>
  <si>
    <t>05:26:00</t>
  </si>
  <si>
    <t>05:35:24</t>
  </si>
  <si>
    <t>08:12:16</t>
  </si>
  <si>
    <t>08:22:50</t>
  </si>
  <si>
    <t>08:24:38</t>
  </si>
  <si>
    <t>08:46:20</t>
  </si>
  <si>
    <t>08:47:04</t>
  </si>
  <si>
    <t>08:57:52</t>
  </si>
  <si>
    <t>11:06:14</t>
  </si>
  <si>
    <t>11:27:10</t>
  </si>
  <si>
    <t>12:00:44</t>
  </si>
  <si>
    <t>12:11:16</t>
  </si>
  <si>
    <t>12:04:07</t>
  </si>
  <si>
    <t>12:19:19</t>
  </si>
  <si>
    <t>13:55:12</t>
  </si>
  <si>
    <t>14:08:00</t>
  </si>
  <si>
    <t>14:11:10</t>
  </si>
  <si>
    <t>14:22:02</t>
  </si>
  <si>
    <t>15:30:00</t>
  </si>
  <si>
    <t>15:40:30</t>
  </si>
  <si>
    <t>17:23:02</t>
  </si>
  <si>
    <t>17:34:37</t>
  </si>
  <si>
    <t>18:31:01</t>
  </si>
  <si>
    <t>18:42:10</t>
  </si>
  <si>
    <t>19:14:11</t>
  </si>
  <si>
    <t>19:26:07</t>
  </si>
  <si>
    <t>92H00903</t>
  </si>
  <si>
    <t>92H00141</t>
  </si>
  <si>
    <t>92H00057</t>
  </si>
  <si>
    <t>92H00192</t>
  </si>
  <si>
    <t>92H00979</t>
  </si>
  <si>
    <t>92H00865</t>
  </si>
  <si>
    <t>92H00994</t>
  </si>
  <si>
    <t>BẢNG XÁC NHẬN KHỐI LƯỢNG VẬN CHUYỂN DĂM</t>
  </si>
  <si>
    <t xml:space="preserve">   Giám Đốc</t>
  </si>
  <si>
    <t>P.Giám Đốc</t>
  </si>
  <si>
    <t>DƯƠNG THỊ THANH NGA</t>
  </si>
  <si>
    <t>VÕ VĂN PHỤNG</t>
  </si>
  <si>
    <t>VÕ THỊ NHƯ NGỌC</t>
  </si>
  <si>
    <t>Cụm CN Quế Cường - Xã Quế Sơn Trung - TP Đà Nẵng</t>
  </si>
  <si>
    <t>Quế Sơn Trung, ngày 05 tháng 05 năm 2026</t>
  </si>
  <si>
    <t>TRẦN THỊ HẸN</t>
  </si>
  <si>
    <t xml:space="preserve">BẢNG KÊ CHI TIẾT KHỐI LƯỢNG VẬN CHUYỂN DĂM GỖ
( Vận chuyển từ ngày 20/04/2026 đến ngày 28/04/2026 )
 </t>
  </si>
  <si>
    <t xml:space="preserve">BẢNG KÊ GIAO NHẬN DẦU TẠI KHO NM QUẾ CƯỜNG </t>
  </si>
  <si>
    <t>92H-00893</t>
  </si>
  <si>
    <t>01:03:19</t>
  </si>
  <si>
    <t>92H-00844</t>
  </si>
  <si>
    <t>43H-01068</t>
  </si>
  <si>
    <t>02:39:30</t>
  </si>
  <si>
    <t>92H-00815</t>
  </si>
  <si>
    <t>09:52:21</t>
  </si>
  <si>
    <t>10:25:42</t>
  </si>
  <si>
    <t>17:55:07</t>
  </si>
  <si>
    <t>01:01:03</t>
  </si>
  <si>
    <t>01:01:57</t>
  </si>
  <si>
    <t>10:27:33</t>
  </si>
  <si>
    <t>16:09:01</t>
  </si>
  <si>
    <t>02:06:16</t>
  </si>
  <si>
    <t>01:01:59</t>
  </si>
  <si>
    <t>04:24:58</t>
  </si>
  <si>
    <t>12:11:20</t>
  </si>
  <si>
    <t>12:24:27</t>
  </si>
  <si>
    <t>17:53:45</t>
  </si>
  <si>
    <t>04:24:55</t>
  </si>
  <si>
    <t>04:43:14</t>
  </si>
  <si>
    <t>05:02:53</t>
  </si>
  <si>
    <t>05:43:26</t>
  </si>
  <si>
    <t>06:52:51</t>
  </si>
  <si>
    <t>09:10:07</t>
  </si>
  <si>
    <t>10:52:11</t>
  </si>
  <si>
    <t>15:28:00</t>
  </si>
  <si>
    <t>03:33:21</t>
  </si>
  <si>
    <t>05:25:06</t>
  </si>
  <si>
    <t>11:35:42</t>
  </si>
  <si>
    <t>02:09:15</t>
  </si>
  <si>
    <t>05:32:50</t>
  </si>
  <si>
    <t>01:21:22</t>
  </si>
  <si>
    <t>01:06:36</t>
  </si>
  <si>
    <t>05:35:42</t>
  </si>
  <si>
    <t>08:33:06</t>
  </si>
  <si>
    <t>06:23:30</t>
  </si>
  <si>
    <t>03:40:02</t>
  </si>
  <si>
    <t>06:16:54</t>
  </si>
  <si>
    <t>13:07:25</t>
  </si>
  <si>
    <t>01:13:41</t>
  </si>
  <si>
    <t>01:00:52</t>
  </si>
  <si>
    <t>01:05:27</t>
  </si>
  <si>
    <t>03:31:35</t>
  </si>
  <si>
    <t>04:58:40</t>
  </si>
  <si>
    <t>06:28:30</t>
  </si>
  <si>
    <t>07:41:15</t>
  </si>
  <si>
    <t>01:54:55</t>
  </si>
  <si>
    <t>04:19:29</t>
  </si>
  <si>
    <t>15:41:51</t>
  </si>
  <si>
    <t>01:29:10</t>
  </si>
  <si>
    <t>02:13:28</t>
  </si>
  <si>
    <t>05:32:19</t>
  </si>
  <si>
    <t>18:19:28</t>
  </si>
  <si>
    <t>05:38:55</t>
  </si>
  <si>
    <t>01:02:08</t>
  </si>
  <si>
    <t>01:02:42</t>
  </si>
  <si>
    <t>05:43:07</t>
  </si>
  <si>
    <t>06:32:29</t>
  </si>
  <si>
    <t>01:56:28</t>
  </si>
  <si>
    <t>08:17:10</t>
  </si>
  <si>
    <t>08:47:57</t>
  </si>
  <si>
    <t>14:38:51</t>
  </si>
  <si>
    <t>02:14:04</t>
  </si>
  <si>
    <t>92H00844</t>
  </si>
  <si>
    <t>92H00133</t>
  </si>
  <si>
    <t>92H00834</t>
  </si>
  <si>
    <t>92H00815</t>
  </si>
  <si>
    <t>43H01068</t>
  </si>
  <si>
    <t>92H00195</t>
  </si>
  <si>
    <t>92H00893</t>
  </si>
  <si>
    <t>23:25:53</t>
  </si>
  <si>
    <t>00:01:41</t>
  </si>
  <si>
    <t>23:37:26</t>
  </si>
  <si>
    <t>00:20:08</t>
  </si>
  <si>
    <t>23:58:56</t>
  </si>
  <si>
    <t>00:25:07</t>
  </si>
  <si>
    <t>00:05:52</t>
  </si>
  <si>
    <t>00:33:43</t>
  </si>
  <si>
    <t>00:50:48</t>
  </si>
  <si>
    <t>01:03:07</t>
  </si>
  <si>
    <t>01:07:43</t>
  </si>
  <si>
    <t>01:11:10</t>
  </si>
  <si>
    <t>01:30:01</t>
  </si>
  <si>
    <t>01:32:14</t>
  </si>
  <si>
    <t>01:46:02</t>
  </si>
  <si>
    <t>2321</t>
  </si>
  <si>
    <t>04:58:16</t>
  </si>
  <si>
    <t>05:09:56</t>
  </si>
  <si>
    <t>2322</t>
  </si>
  <si>
    <t>04:59:01</t>
  </si>
  <si>
    <t>05:16:13</t>
  </si>
  <si>
    <t>2323</t>
  </si>
  <si>
    <t>04:59:36</t>
  </si>
  <si>
    <t>05:21:38</t>
  </si>
  <si>
    <t>2324</t>
  </si>
  <si>
    <t>05:34:55</t>
  </si>
  <si>
    <t>2325</t>
  </si>
  <si>
    <t>05:01:10</t>
  </si>
  <si>
    <t>05:27:56</t>
  </si>
  <si>
    <t>2326</t>
  </si>
  <si>
    <t>05:12:57</t>
  </si>
  <si>
    <t>05:41:46</t>
  </si>
  <si>
    <t>2327</t>
  </si>
  <si>
    <t>05:14:23</t>
  </si>
  <si>
    <t>05:47:00</t>
  </si>
  <si>
    <t>2328</t>
  </si>
  <si>
    <t>05:28:30</t>
  </si>
  <si>
    <t>05:53:16</t>
  </si>
  <si>
    <t>2329</t>
  </si>
  <si>
    <t>05:31:35</t>
  </si>
  <si>
    <t>05:59:05</t>
  </si>
  <si>
    <t>2330</t>
  </si>
  <si>
    <t>05:42:14</t>
  </si>
  <si>
    <t>06:06:35</t>
  </si>
  <si>
    <t>2331</t>
  </si>
  <si>
    <t>05:53:53</t>
  </si>
  <si>
    <t>06:16:32</t>
  </si>
  <si>
    <t>2332</t>
  </si>
  <si>
    <t>05:54:41</t>
  </si>
  <si>
    <t>06:19:56</t>
  </si>
  <si>
    <t>2333</t>
  </si>
  <si>
    <t>05:57:28</t>
  </si>
  <si>
    <t>06:26:21</t>
  </si>
  <si>
    <t>2334</t>
  </si>
  <si>
    <t>05:59:56</t>
  </si>
  <si>
    <t>2335</t>
  </si>
  <si>
    <t>06:49:41</t>
  </si>
  <si>
    <t>2336</t>
  </si>
  <si>
    <t>07:53:13</t>
  </si>
  <si>
    <t>08:01:58</t>
  </si>
  <si>
    <t>2337</t>
  </si>
  <si>
    <t>07:54:13</t>
  </si>
  <si>
    <t>08:10:19</t>
  </si>
  <si>
    <t>2338</t>
  </si>
  <si>
    <t>08:05:02</t>
  </si>
  <si>
    <t>08:18:32</t>
  </si>
  <si>
    <t>2339</t>
  </si>
  <si>
    <t>08:14:40</t>
  </si>
  <si>
    <t>08:25:35</t>
  </si>
  <si>
    <t>2340</t>
  </si>
  <si>
    <t>08:19:35</t>
  </si>
  <si>
    <t>08:32:02</t>
  </si>
  <si>
    <t>2341</t>
  </si>
  <si>
    <t>08:46:07</t>
  </si>
  <si>
    <t>2342</t>
  </si>
  <si>
    <t>08:46:54</t>
  </si>
  <si>
    <t>08:56:24</t>
  </si>
  <si>
    <t>2343</t>
  </si>
  <si>
    <t>09:06:53</t>
  </si>
  <si>
    <t>09:18:59</t>
  </si>
  <si>
    <t>2344</t>
  </si>
  <si>
    <t>09:12:58</t>
  </si>
  <si>
    <t>09:24:05</t>
  </si>
  <si>
    <t>2345</t>
  </si>
  <si>
    <t>09:15:29</t>
  </si>
  <si>
    <t>09:30:52</t>
  </si>
  <si>
    <t>2346</t>
  </si>
  <si>
    <t>09:19:21</t>
  </si>
  <si>
    <t>09:37:17</t>
  </si>
  <si>
    <t>2347</t>
  </si>
  <si>
    <t>09:31:44</t>
  </si>
  <si>
    <t>09:44:50</t>
  </si>
  <si>
    <t>2348</t>
  </si>
  <si>
    <t>09:42:18</t>
  </si>
  <si>
    <t>09:51:17</t>
  </si>
  <si>
    <t>2349</t>
  </si>
  <si>
    <t>10:00:21</t>
  </si>
  <si>
    <t>10:11:09</t>
  </si>
  <si>
    <t>2350</t>
  </si>
  <si>
    <t>10:01:12</t>
  </si>
  <si>
    <t>10:25:45</t>
  </si>
  <si>
    <t>2351</t>
  </si>
  <si>
    <t>10:45:39</t>
  </si>
  <si>
    <t>10:58:20</t>
  </si>
  <si>
    <t>2352</t>
  </si>
  <si>
    <t>10:59:00</t>
  </si>
  <si>
    <t>11:26:50</t>
  </si>
  <si>
    <t>2353</t>
  </si>
  <si>
    <t>11:06:47</t>
  </si>
  <si>
    <t>11:33:38</t>
  </si>
  <si>
    <t>2354</t>
  </si>
  <si>
    <t>11:11:05</t>
  </si>
  <si>
    <t>11:40:27</t>
  </si>
  <si>
    <t>2355</t>
  </si>
  <si>
    <t>11:21:15</t>
  </si>
  <si>
    <t>11:46:59</t>
  </si>
  <si>
    <t>2356</t>
  </si>
  <si>
    <t>11:34:56</t>
  </si>
  <si>
    <t>12:07:17</t>
  </si>
  <si>
    <t>2357</t>
  </si>
  <si>
    <t>12:01:38</t>
  </si>
  <si>
    <t>12:11:32</t>
  </si>
  <si>
    <t>2358</t>
  </si>
  <si>
    <t>12:12:43</t>
  </si>
  <si>
    <t>12:23:11</t>
  </si>
  <si>
    <t>2359</t>
  </si>
  <si>
    <t>12:16:21</t>
  </si>
  <si>
    <t>12:30:01</t>
  </si>
  <si>
    <t>2360</t>
  </si>
  <si>
    <t>12:20:47</t>
  </si>
  <si>
    <t>12:37:46</t>
  </si>
  <si>
    <t>2361</t>
  </si>
  <si>
    <t>12:46:18</t>
  </si>
  <si>
    <t>12:56:28</t>
  </si>
  <si>
    <t>2362</t>
  </si>
  <si>
    <t>12:48:38</t>
  </si>
  <si>
    <t>13:01:22</t>
  </si>
  <si>
    <t>2363</t>
  </si>
  <si>
    <t>12:49:50</t>
  </si>
  <si>
    <t>2364</t>
  </si>
  <si>
    <t>13:12:42</t>
  </si>
  <si>
    <t>13:22:33</t>
  </si>
  <si>
    <t>2365</t>
  </si>
  <si>
    <t>13:41:52</t>
  </si>
  <si>
    <t>13:50:39</t>
  </si>
  <si>
    <t>2366</t>
  </si>
  <si>
    <t>14:00:18</t>
  </si>
  <si>
    <t>14:08:59</t>
  </si>
  <si>
    <t>2367</t>
  </si>
  <si>
    <t>14:06:50</t>
  </si>
  <si>
    <t>01:22:51</t>
  </si>
  <si>
    <t>2368</t>
  </si>
  <si>
    <t>14:41:11</t>
  </si>
  <si>
    <t>14:52:29</t>
  </si>
  <si>
    <t>2369</t>
  </si>
  <si>
    <t>14:44:35</t>
  </si>
  <si>
    <t>17:33:35</t>
  </si>
  <si>
    <t>2370</t>
  </si>
  <si>
    <t>14:55:08</t>
  </si>
  <si>
    <t>15:10:25</t>
  </si>
  <si>
    <t>2371</t>
  </si>
  <si>
    <t>15:11:04</t>
  </si>
  <si>
    <t>15:22:58</t>
  </si>
  <si>
    <t>2372</t>
  </si>
  <si>
    <t>15:18:24</t>
  </si>
  <si>
    <t>15:40:56</t>
  </si>
  <si>
    <t>2373</t>
  </si>
  <si>
    <t>15:26:10</t>
  </si>
  <si>
    <t>15:41:15</t>
  </si>
  <si>
    <t>2374</t>
  </si>
  <si>
    <t>15:27:17</t>
  </si>
  <si>
    <t>15:45:32</t>
  </si>
  <si>
    <t>2375</t>
  </si>
  <si>
    <t>15:50:38</t>
  </si>
  <si>
    <t>2376</t>
  </si>
  <si>
    <t>15:48:46</t>
  </si>
  <si>
    <t>16:02:01</t>
  </si>
  <si>
    <t>2377</t>
  </si>
  <si>
    <t>16:03:29</t>
  </si>
  <si>
    <t>16:13:36</t>
  </si>
  <si>
    <t>2378</t>
  </si>
  <si>
    <t>17:22:30</t>
  </si>
  <si>
    <t>17:34:42</t>
  </si>
  <si>
    <t>2379</t>
  </si>
  <si>
    <t>01:00:21</t>
  </si>
  <si>
    <t>01:15:44</t>
  </si>
  <si>
    <t>2380</t>
  </si>
  <si>
    <t>01:02:00</t>
  </si>
  <si>
    <t>01:23:11</t>
  </si>
  <si>
    <t>2381</t>
  </si>
  <si>
    <t>01:03:38</t>
  </si>
  <si>
    <t>01:39:47</t>
  </si>
  <si>
    <t>2382</t>
  </si>
  <si>
    <t>01:04:13</t>
  </si>
  <si>
    <t>01:29:04</t>
  </si>
  <si>
    <t>2383</t>
  </si>
  <si>
    <t>01:04:55</t>
  </si>
  <si>
    <t>01:33:24</t>
  </si>
  <si>
    <t>2384</t>
  </si>
  <si>
    <t>01:05:43</t>
  </si>
  <si>
    <t>01:44:31</t>
  </si>
  <si>
    <t>2385</t>
  </si>
  <si>
    <t>01:06:13</t>
  </si>
  <si>
    <t>01:49:22</t>
  </si>
  <si>
    <t>2386</t>
  </si>
  <si>
    <t>01:10:02</t>
  </si>
  <si>
    <t>02:05:32</t>
  </si>
  <si>
    <t>2387</t>
  </si>
  <si>
    <t>01:14:01</t>
  </si>
  <si>
    <t>2388</t>
  </si>
  <si>
    <t>01:17:07</t>
  </si>
  <si>
    <t>02:01:07</t>
  </si>
  <si>
    <t>2389</t>
  </si>
  <si>
    <t>01:19:50</t>
  </si>
  <si>
    <t>02:11:26</t>
  </si>
  <si>
    <t>2390</t>
  </si>
  <si>
    <t>02:17:28</t>
  </si>
  <si>
    <t>2391</t>
  </si>
  <si>
    <t>02:07:20</t>
  </si>
  <si>
    <t>02:23:34</t>
  </si>
  <si>
    <t>2392</t>
  </si>
  <si>
    <t>02:18:14</t>
  </si>
  <si>
    <t>2393</t>
  </si>
  <si>
    <t>02:27:58</t>
  </si>
  <si>
    <t>02:39:01</t>
  </si>
  <si>
    <t>2394</t>
  </si>
  <si>
    <t>03:28:18</t>
  </si>
  <si>
    <t>03:40:22</t>
  </si>
  <si>
    <t>2395</t>
  </si>
  <si>
    <t>03:36:55</t>
  </si>
  <si>
    <t>03:50:33</t>
  </si>
  <si>
    <t>2396</t>
  </si>
  <si>
    <t>03:48:54</t>
  </si>
  <si>
    <t>04:00:08</t>
  </si>
  <si>
    <t>2397</t>
  </si>
  <si>
    <t>03:57:56</t>
  </si>
  <si>
    <t>04:09:10</t>
  </si>
  <si>
    <t>2398</t>
  </si>
  <si>
    <t>04:02:52</t>
  </si>
  <si>
    <t>04:17:51</t>
  </si>
  <si>
    <t>2399</t>
  </si>
  <si>
    <t>04:15:52</t>
  </si>
  <si>
    <t>04:27:18</t>
  </si>
  <si>
    <t>2400</t>
  </si>
  <si>
    <t>04:24:48</t>
  </si>
  <si>
    <t>04:35:48</t>
  </si>
  <si>
    <t>2401</t>
  </si>
  <si>
    <t>04:30:12</t>
  </si>
  <si>
    <t>04:44:04</t>
  </si>
  <si>
    <t>2402</t>
  </si>
  <si>
    <t>04:49:33</t>
  </si>
  <si>
    <t>05:02:08</t>
  </si>
  <si>
    <t>2403</t>
  </si>
  <si>
    <t>04:57:35</t>
  </si>
  <si>
    <t>05:10:30</t>
  </si>
  <si>
    <t>2404</t>
  </si>
  <si>
    <t>05:00:18</t>
  </si>
  <si>
    <t>05:22:07</t>
  </si>
  <si>
    <t>2405</t>
  </si>
  <si>
    <t>05:08:09</t>
  </si>
  <si>
    <t>08:40:11</t>
  </si>
  <si>
    <t>2406</t>
  </si>
  <si>
    <t>05:23:12</t>
  </si>
  <si>
    <t>05:37:28</t>
  </si>
  <si>
    <t>2407</t>
  </si>
  <si>
    <t>05:30:00</t>
  </si>
  <si>
    <t>05:43:59</t>
  </si>
  <si>
    <t>2408</t>
  </si>
  <si>
    <t>05:39:53</t>
  </si>
  <si>
    <t>2409</t>
  </si>
  <si>
    <t>06:02:25</t>
  </si>
  <si>
    <t>06:12:44</t>
  </si>
  <si>
    <t>2410</t>
  </si>
  <si>
    <t>06:08:11</t>
  </si>
  <si>
    <t>06:20:29</t>
  </si>
  <si>
    <t>2411</t>
  </si>
  <si>
    <t>06:38:35</t>
  </si>
  <si>
    <t>2412</t>
  </si>
  <si>
    <t>06:41:18</t>
  </si>
  <si>
    <t>06:51:28</t>
  </si>
  <si>
    <t>2413</t>
  </si>
  <si>
    <t>07:18:47</t>
  </si>
  <si>
    <t>07:46:46</t>
  </si>
  <si>
    <t>2414</t>
  </si>
  <si>
    <t>07:19:59</t>
  </si>
  <si>
    <t>07:36:33</t>
  </si>
  <si>
    <t>2415</t>
  </si>
  <si>
    <t>07:41:12</t>
  </si>
  <si>
    <t>08:05:20</t>
  </si>
  <si>
    <t>2416</t>
  </si>
  <si>
    <t>07:48:16</t>
  </si>
  <si>
    <t>07:57:53</t>
  </si>
  <si>
    <t>2417</t>
  </si>
  <si>
    <t>07:54:43</t>
  </si>
  <si>
    <t>08:12:30</t>
  </si>
  <si>
    <t>2418</t>
  </si>
  <si>
    <t>08:14:06</t>
  </si>
  <si>
    <t>08:24:15</t>
  </si>
  <si>
    <t>2419</t>
  </si>
  <si>
    <t>08:21:59</t>
  </si>
  <si>
    <t>08:32:51</t>
  </si>
  <si>
    <t>2420</t>
  </si>
  <si>
    <t>08:28:17</t>
  </si>
  <si>
    <t>08:40:26</t>
  </si>
  <si>
    <t>2421</t>
  </si>
  <si>
    <t>08:38:52</t>
  </si>
  <si>
    <t>08:58:51</t>
  </si>
  <si>
    <t>2422</t>
  </si>
  <si>
    <t>08:59:27</t>
  </si>
  <si>
    <t>09:08:36</t>
  </si>
  <si>
    <t>2423</t>
  </si>
  <si>
    <t>09:06:57</t>
  </si>
  <si>
    <t>09:14:28</t>
  </si>
  <si>
    <t>2424</t>
  </si>
  <si>
    <t>09:21:33</t>
  </si>
  <si>
    <t>09:31:56</t>
  </si>
  <si>
    <t>2425</t>
  </si>
  <si>
    <t>09:58:36</t>
  </si>
  <si>
    <t>10:08:01</t>
  </si>
  <si>
    <t>2426</t>
  </si>
  <si>
    <t>10:04:44</t>
  </si>
  <si>
    <t>10:16:31</t>
  </si>
  <si>
    <t>2427</t>
  </si>
  <si>
    <t>10:28:33</t>
  </si>
  <si>
    <t>10:41:36</t>
  </si>
  <si>
    <t>2428</t>
  </si>
  <si>
    <t>10:38:19</t>
  </si>
  <si>
    <t>10:48:00</t>
  </si>
  <si>
    <t>2429</t>
  </si>
  <si>
    <t>10:50:54</t>
  </si>
  <si>
    <t>11:24:49</t>
  </si>
  <si>
    <t>2430</t>
  </si>
  <si>
    <t>11:06:16</t>
  </si>
  <si>
    <t>11:29:52</t>
  </si>
  <si>
    <t>2431</t>
  </si>
  <si>
    <t>11:25:03</t>
  </si>
  <si>
    <t>11:47:39</t>
  </si>
  <si>
    <t>2432</t>
  </si>
  <si>
    <t>11:26:32</t>
  </si>
  <si>
    <t>11:35:58</t>
  </si>
  <si>
    <t>2433</t>
  </si>
  <si>
    <t>11:30:59</t>
  </si>
  <si>
    <t>11:41:48</t>
  </si>
  <si>
    <t>2434</t>
  </si>
  <si>
    <t>11:33:36</t>
  </si>
  <si>
    <t>11:58:13</t>
  </si>
  <si>
    <t>2435</t>
  </si>
  <si>
    <t>11:38:31</t>
  </si>
  <si>
    <t>11:53:13</t>
  </si>
  <si>
    <t>2436</t>
  </si>
  <si>
    <t>11:41:06</t>
  </si>
  <si>
    <t>14:56:27</t>
  </si>
  <si>
    <t>2437</t>
  </si>
  <si>
    <t>11:48:37</t>
  </si>
  <si>
    <t>12:14:54</t>
  </si>
  <si>
    <t>2438</t>
  </si>
  <si>
    <t>11:59:11</t>
  </si>
  <si>
    <t>12:09:27</t>
  </si>
  <si>
    <t>2439</t>
  </si>
  <si>
    <t>12:28:12</t>
  </si>
  <si>
    <t>12:37:26</t>
  </si>
  <si>
    <t>2440</t>
  </si>
  <si>
    <t>12:32:45</t>
  </si>
  <si>
    <t>12:44:53</t>
  </si>
  <si>
    <t>2441</t>
  </si>
  <si>
    <t>13:06:41</t>
  </si>
  <si>
    <t>13:15:06</t>
  </si>
  <si>
    <t>2442</t>
  </si>
  <si>
    <t>13:09:57</t>
  </si>
  <si>
    <t>13:29:47</t>
  </si>
  <si>
    <t>2443</t>
  </si>
  <si>
    <t>13:26:21</t>
  </si>
  <si>
    <t>13:35:20</t>
  </si>
  <si>
    <t>2444</t>
  </si>
  <si>
    <t>13:54:37</t>
  </si>
  <si>
    <t>14:03:39</t>
  </si>
  <si>
    <t>2445</t>
  </si>
  <si>
    <t>14:19:22</t>
  </si>
  <si>
    <t>14:29:28</t>
  </si>
  <si>
    <t>2446</t>
  </si>
  <si>
    <t>14:20:45</t>
  </si>
  <si>
    <t>14:33:35</t>
  </si>
  <si>
    <t>2447</t>
  </si>
  <si>
    <t>14:26:33</t>
  </si>
  <si>
    <t>14:39:26</t>
  </si>
  <si>
    <t>2448</t>
  </si>
  <si>
    <t>14:46:32</t>
  </si>
  <si>
    <t>14:57:49</t>
  </si>
  <si>
    <t>2449</t>
  </si>
  <si>
    <t>14:53:02</t>
  </si>
  <si>
    <t>15:04:44</t>
  </si>
  <si>
    <t>2450</t>
  </si>
  <si>
    <t>15:03:08</t>
  </si>
  <si>
    <t>15:17:12</t>
  </si>
  <si>
    <t>2451</t>
  </si>
  <si>
    <t>15:17:45</t>
  </si>
  <si>
    <t>15:26:53</t>
  </si>
  <si>
    <t>2452</t>
  </si>
  <si>
    <t>15:24:32</t>
  </si>
  <si>
    <t>15:34:19</t>
  </si>
  <si>
    <t>2453</t>
  </si>
  <si>
    <t>15:34:57</t>
  </si>
  <si>
    <t>15:44:00</t>
  </si>
  <si>
    <t>2454</t>
  </si>
  <si>
    <t>15:41:28</t>
  </si>
  <si>
    <t>15:50:50</t>
  </si>
  <si>
    <t>2455</t>
  </si>
  <si>
    <t>15:51:45</t>
  </si>
  <si>
    <t>16:00:47</t>
  </si>
  <si>
    <t>2456</t>
  </si>
  <si>
    <t>16:20:23</t>
  </si>
  <si>
    <t>16:29:11</t>
  </si>
  <si>
    <t>2457</t>
  </si>
  <si>
    <t>17:14:14</t>
  </si>
  <si>
    <t>2458</t>
  </si>
  <si>
    <t>17:09:05</t>
  </si>
  <si>
    <t>17:21:54</t>
  </si>
  <si>
    <t>2459</t>
  </si>
  <si>
    <t>17:29:46</t>
  </si>
  <si>
    <t>17:40:03</t>
  </si>
  <si>
    <t>2460</t>
  </si>
  <si>
    <t>17:31:13</t>
  </si>
  <si>
    <t>17:45:43</t>
  </si>
  <si>
    <t>2461</t>
  </si>
  <si>
    <t>17:46:02</t>
  </si>
  <si>
    <t>2462</t>
  </si>
  <si>
    <t>18:08:43</t>
  </si>
  <si>
    <t>18:19:02</t>
  </si>
  <si>
    <t>2463</t>
  </si>
  <si>
    <t>18:33:00</t>
  </si>
  <si>
    <t>18:46:02</t>
  </si>
  <si>
    <t>2464</t>
  </si>
  <si>
    <t>18:34:26</t>
  </si>
  <si>
    <t>18:52:58</t>
  </si>
  <si>
    <t>2465</t>
  </si>
  <si>
    <t>18:38:31</t>
  </si>
  <si>
    <t>18:55:58</t>
  </si>
  <si>
    <t>2466</t>
  </si>
  <si>
    <t>19:03:15</t>
  </si>
  <si>
    <t>19:15:22</t>
  </si>
  <si>
    <t>2467</t>
  </si>
  <si>
    <t>01:13:16</t>
  </si>
  <si>
    <t>2468</t>
  </si>
  <si>
    <t>01:02:24</t>
  </si>
  <si>
    <t>01:17:13</t>
  </si>
  <si>
    <t>2469</t>
  </si>
  <si>
    <t>01:03:39</t>
  </si>
  <si>
    <t>01:23:03</t>
  </si>
  <si>
    <t>2470</t>
  </si>
  <si>
    <t>01:04:41</t>
  </si>
  <si>
    <t>01:27:54</t>
  </si>
  <si>
    <t>2471</t>
  </si>
  <si>
    <t>01:05:57</t>
  </si>
  <si>
    <t>01:33:50</t>
  </si>
  <si>
    <t>2472</t>
  </si>
  <si>
    <t>01:07:13</t>
  </si>
  <si>
    <t>01:38:23</t>
  </si>
  <si>
    <t>2473</t>
  </si>
  <si>
    <t>01:08:58</t>
  </si>
  <si>
    <t>01:44:00</t>
  </si>
  <si>
    <t>2474</t>
  </si>
  <si>
    <t>01:09:54</t>
  </si>
  <si>
    <t>01:50:51</t>
  </si>
  <si>
    <t>2475</t>
  </si>
  <si>
    <t>01:10:41</t>
  </si>
  <si>
    <t>01:55:39</t>
  </si>
  <si>
    <t>2476</t>
  </si>
  <si>
    <t>01:11:53</t>
  </si>
  <si>
    <t>02:02:06</t>
  </si>
  <si>
    <t>2477</t>
  </si>
  <si>
    <t>01:14:12</t>
  </si>
  <si>
    <t>02:07:27</t>
  </si>
  <si>
    <t>2478</t>
  </si>
  <si>
    <t>01:31:24</t>
  </si>
  <si>
    <t>2479</t>
  </si>
  <si>
    <t>01:39:45</t>
  </si>
  <si>
    <t>02:19:36</t>
  </si>
  <si>
    <t>2480</t>
  </si>
  <si>
    <t>02:24:38</t>
  </si>
  <si>
    <t>02:37:56</t>
  </si>
  <si>
    <t>2481</t>
  </si>
  <si>
    <t>02:30:26</t>
  </si>
  <si>
    <t>02:42:36</t>
  </si>
  <si>
    <t>2482</t>
  </si>
  <si>
    <t>03:20:47</t>
  </si>
  <si>
    <t>2483</t>
  </si>
  <si>
    <t>03:32:46</t>
  </si>
  <si>
    <t>03:44:23</t>
  </si>
  <si>
    <t>2484</t>
  </si>
  <si>
    <t>03:44:57</t>
  </si>
  <si>
    <t>2485</t>
  </si>
  <si>
    <t>03:55:50</t>
  </si>
  <si>
    <t>04:06:26</t>
  </si>
  <si>
    <t>2486</t>
  </si>
  <si>
    <t>04:02:34</t>
  </si>
  <si>
    <t>04:14:58</t>
  </si>
  <si>
    <t>2487</t>
  </si>
  <si>
    <t>04:08:20</t>
  </si>
  <si>
    <t>04:22:47</t>
  </si>
  <si>
    <t>2488</t>
  </si>
  <si>
    <t>04:17:23</t>
  </si>
  <si>
    <t>04:31:03</t>
  </si>
  <si>
    <t>2489</t>
  </si>
  <si>
    <t>04:25:30</t>
  </si>
  <si>
    <t>07:37:38</t>
  </si>
  <si>
    <t>2490</t>
  </si>
  <si>
    <t>04:39:25</t>
  </si>
  <si>
    <t>04:51:02</t>
  </si>
  <si>
    <t>2491</t>
  </si>
  <si>
    <t>04:52:15</t>
  </si>
  <si>
    <t>05:03:54</t>
  </si>
  <si>
    <t>2492</t>
  </si>
  <si>
    <t>05:05:20</t>
  </si>
  <si>
    <t>05:19:31</t>
  </si>
  <si>
    <t>2493</t>
  </si>
  <si>
    <t>05:06:29</t>
  </si>
  <si>
    <t>05:23:35</t>
  </si>
  <si>
    <t>2494</t>
  </si>
  <si>
    <t>05:24:38</t>
  </si>
  <si>
    <t>05:36:25</t>
  </si>
  <si>
    <t>2495</t>
  </si>
  <si>
    <t>05:33:38</t>
  </si>
  <si>
    <t>05:45:50</t>
  </si>
  <si>
    <t>2496</t>
  </si>
  <si>
    <t>05:54:39</t>
  </si>
  <si>
    <t>2497</t>
  </si>
  <si>
    <t>05:44:49</t>
  </si>
  <si>
    <t>06:00:55</t>
  </si>
  <si>
    <t>2498</t>
  </si>
  <si>
    <t>06:04:20</t>
  </si>
  <si>
    <t>06:13:54</t>
  </si>
  <si>
    <t>2499</t>
  </si>
  <si>
    <t>06:25:38</t>
  </si>
  <si>
    <t>06:37:08</t>
  </si>
  <si>
    <t>2500</t>
  </si>
  <si>
    <t>06:41:06</t>
  </si>
  <si>
    <t>06:54:30</t>
  </si>
  <si>
    <t>2501</t>
  </si>
  <si>
    <t>06:46:16</t>
  </si>
  <si>
    <t>07:00:38</t>
  </si>
  <si>
    <t>2502</t>
  </si>
  <si>
    <t>07:03:00</t>
  </si>
  <si>
    <t>07:15:06</t>
  </si>
  <si>
    <t>2503</t>
  </si>
  <si>
    <t>07:27:22</t>
  </si>
  <si>
    <t>07:38:02</t>
  </si>
  <si>
    <t>2504</t>
  </si>
  <si>
    <t>07:32:48</t>
  </si>
  <si>
    <t>07:49:28</t>
  </si>
  <si>
    <t>2505</t>
  </si>
  <si>
    <t>07:52:36</t>
  </si>
  <si>
    <t>08:03:46</t>
  </si>
  <si>
    <t>2506</t>
  </si>
  <si>
    <t>08:01:57</t>
  </si>
  <si>
    <t>08:30:07</t>
  </si>
  <si>
    <t>2507</t>
  </si>
  <si>
    <t>08:07:47</t>
  </si>
  <si>
    <t>08:19:42</t>
  </si>
  <si>
    <t>2508</t>
  </si>
  <si>
    <t>08:27:46</t>
  </si>
  <si>
    <t>08:39:29</t>
  </si>
  <si>
    <t>2509</t>
  </si>
  <si>
    <t>08:53:30</t>
  </si>
  <si>
    <t>09:05:21</t>
  </si>
  <si>
    <t>2510</t>
  </si>
  <si>
    <t>09:01:19</t>
  </si>
  <si>
    <t>09:15:39</t>
  </si>
  <si>
    <t>2511</t>
  </si>
  <si>
    <t>09:13:44</t>
  </si>
  <si>
    <t>09:23:46</t>
  </si>
  <si>
    <t>2512</t>
  </si>
  <si>
    <t>09:18:56</t>
  </si>
  <si>
    <t>09:32:34</t>
  </si>
  <si>
    <t>2513</t>
  </si>
  <si>
    <t>09:43:41</t>
  </si>
  <si>
    <t>10:12:54</t>
  </si>
  <si>
    <t>2514</t>
  </si>
  <si>
    <t>09:57:04</t>
  </si>
  <si>
    <t>10:07:08</t>
  </si>
  <si>
    <t>2515</t>
  </si>
  <si>
    <t>10:02:19</t>
  </si>
  <si>
    <t>10:23:39</t>
  </si>
  <si>
    <t>2516</t>
  </si>
  <si>
    <t>10:05:42</t>
  </si>
  <si>
    <t>10:28:43</t>
  </si>
  <si>
    <t>2517</t>
  </si>
  <si>
    <t>10:27:59</t>
  </si>
  <si>
    <t>10:42:11</t>
  </si>
  <si>
    <t>2518</t>
  </si>
  <si>
    <t>10:41:37</t>
  </si>
  <si>
    <t>10:51:01</t>
  </si>
  <si>
    <t>2519</t>
  </si>
  <si>
    <t>10:55:31</t>
  </si>
  <si>
    <t>11:38:34</t>
  </si>
  <si>
    <t>2520</t>
  </si>
  <si>
    <t>11:01:32</t>
  </si>
  <si>
    <t>11:21:43</t>
  </si>
  <si>
    <t>2521</t>
  </si>
  <si>
    <t>11:11:38</t>
  </si>
  <si>
    <t>11:53:12</t>
  </si>
  <si>
    <t>2522</t>
  </si>
  <si>
    <t>11:22:23</t>
  </si>
  <si>
    <t>11:32:15</t>
  </si>
  <si>
    <t>2523</t>
  </si>
  <si>
    <t>11:29:16</t>
  </si>
  <si>
    <t>11:46:05</t>
  </si>
  <si>
    <t>2524</t>
  </si>
  <si>
    <t>11:51:11</t>
  </si>
  <si>
    <t>12:01:04</t>
  </si>
  <si>
    <t>2525</t>
  </si>
  <si>
    <t>12:02:22</t>
  </si>
  <si>
    <t>12:12:05</t>
  </si>
  <si>
    <t>2526</t>
  </si>
  <si>
    <t>12:15:20</t>
  </si>
  <si>
    <t>12:24:01</t>
  </si>
  <si>
    <t>2527</t>
  </si>
  <si>
    <t>12:17:59</t>
  </si>
  <si>
    <t>2528</t>
  </si>
  <si>
    <t>12:58:59</t>
  </si>
  <si>
    <t>13:07:04</t>
  </si>
  <si>
    <t>2529</t>
  </si>
  <si>
    <t>13:05:22</t>
  </si>
  <si>
    <t>13:13:59</t>
  </si>
  <si>
    <t>2530</t>
  </si>
  <si>
    <t>13:19:45</t>
  </si>
  <si>
    <t>13:28:15</t>
  </si>
  <si>
    <t>2531</t>
  </si>
  <si>
    <t>13:26:36</t>
  </si>
  <si>
    <t>13:38:18</t>
  </si>
  <si>
    <t>2532</t>
  </si>
  <si>
    <t>13:42:06</t>
  </si>
  <si>
    <t>13:54:51</t>
  </si>
  <si>
    <t>2533</t>
  </si>
  <si>
    <t>13:44:40</t>
  </si>
  <si>
    <t>14:01:23</t>
  </si>
  <si>
    <t>2534</t>
  </si>
  <si>
    <t>14:11:34</t>
  </si>
  <si>
    <t>14:22:05</t>
  </si>
  <si>
    <t>2535</t>
  </si>
  <si>
    <t>14:16:41</t>
  </si>
  <si>
    <t>14:45:48</t>
  </si>
  <si>
    <t>2536</t>
  </si>
  <si>
    <t>14:30:40</t>
  </si>
  <si>
    <t>14:42:24</t>
  </si>
  <si>
    <t>2537</t>
  </si>
  <si>
    <t>14:40:32</t>
  </si>
  <si>
    <t>15:07:14</t>
  </si>
  <si>
    <t>2538</t>
  </si>
  <si>
    <t>15:00:04</t>
  </si>
  <si>
    <t>15:32:14</t>
  </si>
  <si>
    <t>2539</t>
  </si>
  <si>
    <t>15:09:56</t>
  </si>
  <si>
    <t>15:19:46</t>
  </si>
  <si>
    <t>2540</t>
  </si>
  <si>
    <t>16:08:05</t>
  </si>
  <si>
    <t>16:20:42</t>
  </si>
  <si>
    <t>2541</t>
  </si>
  <si>
    <t>16:19:06</t>
  </si>
  <si>
    <t>16:44:00</t>
  </si>
  <si>
    <t>2542</t>
  </si>
  <si>
    <t>16:58:38</t>
  </si>
  <si>
    <t>17:10:33</t>
  </si>
  <si>
    <t>2543</t>
  </si>
  <si>
    <t>17:06:06</t>
  </si>
  <si>
    <t>17:19:05</t>
  </si>
  <si>
    <t>2544</t>
  </si>
  <si>
    <t>17:41:23</t>
  </si>
  <si>
    <t>17:53:03</t>
  </si>
  <si>
    <t>2545</t>
  </si>
  <si>
    <t>17:50:58</t>
  </si>
  <si>
    <t>18:02:21</t>
  </si>
  <si>
    <t>2546</t>
  </si>
  <si>
    <t>17:57:27</t>
  </si>
  <si>
    <t>18:10:27</t>
  </si>
  <si>
    <t>2547</t>
  </si>
  <si>
    <t>18:13:30</t>
  </si>
  <si>
    <t>18:43:21</t>
  </si>
  <si>
    <t>2548</t>
  </si>
  <si>
    <t>01:16:44</t>
  </si>
  <si>
    <t>2549</t>
  </si>
  <si>
    <t>01:01:41</t>
  </si>
  <si>
    <t>01:23:29</t>
  </si>
  <si>
    <t>2550</t>
  </si>
  <si>
    <t>01:02:12</t>
  </si>
  <si>
    <t>01:28:06</t>
  </si>
  <si>
    <t>2551</t>
  </si>
  <si>
    <t>01:02:44</t>
  </si>
  <si>
    <t>01:34:44</t>
  </si>
  <si>
    <t>2552</t>
  </si>
  <si>
    <t>01:03:21</t>
  </si>
  <si>
    <t>01:40:20</t>
  </si>
  <si>
    <t>2553</t>
  </si>
  <si>
    <t>01:03:54</t>
  </si>
  <si>
    <t>01:46:04</t>
  </si>
  <si>
    <t>2554</t>
  </si>
  <si>
    <t>01:07:33</t>
  </si>
  <si>
    <t>01:53:22</t>
  </si>
  <si>
    <t>2555</t>
  </si>
  <si>
    <t>01:41:15</t>
  </si>
  <si>
    <t>01:58:52</t>
  </si>
  <si>
    <t>2556</t>
  </si>
  <si>
    <t>01:50:41</t>
  </si>
  <si>
    <t>02:04:07</t>
  </si>
  <si>
    <t>2557</t>
  </si>
  <si>
    <t>01:57:21</t>
  </si>
  <si>
    <t>02:11:34</t>
  </si>
  <si>
    <t>2558</t>
  </si>
  <si>
    <t>02:06:17</t>
  </si>
  <si>
    <t>02:18:17</t>
  </si>
  <si>
    <t>2559</t>
  </si>
  <si>
    <t>02:12:06</t>
  </si>
  <si>
    <t>02:24:17</t>
  </si>
  <si>
    <t>2560</t>
  </si>
  <si>
    <t>02:30:44</t>
  </si>
  <si>
    <t>2561</t>
  </si>
  <si>
    <t>02:18:52</t>
  </si>
  <si>
    <t>02:36:47</t>
  </si>
  <si>
    <t>2562</t>
  </si>
  <si>
    <t>02:27:08</t>
  </si>
  <si>
    <t>02:43:05</t>
  </si>
  <si>
    <t>2563</t>
  </si>
  <si>
    <t>03:36:45</t>
  </si>
  <si>
    <t>03:49:48</t>
  </si>
  <si>
    <t>2564</t>
  </si>
  <si>
    <t>03:54:00</t>
  </si>
  <si>
    <t>04:09:37</t>
  </si>
  <si>
    <t>2565</t>
  </si>
  <si>
    <t>04:07:56</t>
  </si>
  <si>
    <t>04:19:02</t>
  </si>
  <si>
    <t>2566</t>
  </si>
  <si>
    <t>04:13:31</t>
  </si>
  <si>
    <t>2567</t>
  </si>
  <si>
    <t>04:21:30</t>
  </si>
  <si>
    <t>04:33:21</t>
  </si>
  <si>
    <t>2568</t>
  </si>
  <si>
    <t>04:31:20</t>
  </si>
  <si>
    <t>04:43:30</t>
  </si>
  <si>
    <t>2569</t>
  </si>
  <si>
    <t>04:39:06</t>
  </si>
  <si>
    <t>04:51:48</t>
  </si>
  <si>
    <t>2570</t>
  </si>
  <si>
    <t>04:56:32</t>
  </si>
  <si>
    <t>05:11:10</t>
  </si>
  <si>
    <t>2571</t>
  </si>
  <si>
    <t>04:58:05</t>
  </si>
  <si>
    <t>05:12:31</t>
  </si>
  <si>
    <t>2572</t>
  </si>
  <si>
    <t>05:13:05</t>
  </si>
  <si>
    <t>05:24:11</t>
  </si>
  <si>
    <t>2573</t>
  </si>
  <si>
    <t>05:17:29</t>
  </si>
  <si>
    <t>2574</t>
  </si>
  <si>
    <t>05:35:13</t>
  </si>
  <si>
    <t>05:51:22</t>
  </si>
  <si>
    <t>2575</t>
  </si>
  <si>
    <t>05:36:47</t>
  </si>
  <si>
    <t>05:53:28</t>
  </si>
  <si>
    <t>2576</t>
  </si>
  <si>
    <t>06:00:14</t>
  </si>
  <si>
    <t>06:11:37</t>
  </si>
  <si>
    <t>2577</t>
  </si>
  <si>
    <t>06:03:45</t>
  </si>
  <si>
    <t>06:17:48</t>
  </si>
  <si>
    <t>2578</t>
  </si>
  <si>
    <t>06:24:23</t>
  </si>
  <si>
    <t>06:39:08</t>
  </si>
  <si>
    <t>2579</t>
  </si>
  <si>
    <t>06:46:00</t>
  </si>
  <si>
    <t>06:56:43</t>
  </si>
  <si>
    <t>2580</t>
  </si>
  <si>
    <t>07:00:07</t>
  </si>
  <si>
    <t>07:10:20</t>
  </si>
  <si>
    <t>2581</t>
  </si>
  <si>
    <t>07:25:06</t>
  </si>
  <si>
    <t>2582</t>
  </si>
  <si>
    <t>07:21:25</t>
  </si>
  <si>
    <t>07:33:37</t>
  </si>
  <si>
    <t>2583</t>
  </si>
  <si>
    <t>07:43:30</t>
  </si>
  <si>
    <t>07:54:39</t>
  </si>
  <si>
    <t>2584</t>
  </si>
  <si>
    <t>07:44:43</t>
  </si>
  <si>
    <t>07:59:57</t>
  </si>
  <si>
    <t>2585</t>
  </si>
  <si>
    <t>08:25:32</t>
  </si>
  <si>
    <t>08:52:37</t>
  </si>
  <si>
    <t>2586</t>
  </si>
  <si>
    <t>08:29:05</t>
  </si>
  <si>
    <t>08:43:42</t>
  </si>
  <si>
    <t>2587</t>
  </si>
  <si>
    <t>08:44:40</t>
  </si>
  <si>
    <t>08:59:16</t>
  </si>
  <si>
    <t>2588</t>
  </si>
  <si>
    <t>08:55:57</t>
  </si>
  <si>
    <t>2589</t>
  </si>
  <si>
    <t>09:11:46</t>
  </si>
  <si>
    <t>09:25:19</t>
  </si>
  <si>
    <t>2590</t>
  </si>
  <si>
    <t>09:20:00</t>
  </si>
  <si>
    <t>09:32:32</t>
  </si>
  <si>
    <t>2591</t>
  </si>
  <si>
    <t>09:27:51</t>
  </si>
  <si>
    <t>09:40:38</t>
  </si>
  <si>
    <t>2592</t>
  </si>
  <si>
    <t>09:38:00</t>
  </si>
  <si>
    <t>09:49:45</t>
  </si>
  <si>
    <t>2593</t>
  </si>
  <si>
    <t>10:18:10</t>
  </si>
  <si>
    <t>10:32:21</t>
  </si>
  <si>
    <t>2594</t>
  </si>
  <si>
    <t>10:21:12</t>
  </si>
  <si>
    <t>10:38:04</t>
  </si>
  <si>
    <t>2595</t>
  </si>
  <si>
    <t>10:46:34</t>
  </si>
  <si>
    <t>2596</t>
  </si>
  <si>
    <t>10:49:04</t>
  </si>
  <si>
    <t>11:18:07</t>
  </si>
  <si>
    <t>2597</t>
  </si>
  <si>
    <t>10:58:11</t>
  </si>
  <si>
    <t>11:24:37</t>
  </si>
  <si>
    <t>2598</t>
  </si>
  <si>
    <t>11:02:57</t>
  </si>
  <si>
    <t>2599</t>
  </si>
  <si>
    <t>11:11:09</t>
  </si>
  <si>
    <t>11:30:38</t>
  </si>
  <si>
    <t>2600</t>
  </si>
  <si>
    <t>11:36:48</t>
  </si>
  <si>
    <t>11:47:18</t>
  </si>
  <si>
    <t>2601</t>
  </si>
  <si>
    <t>11:48:41</t>
  </si>
  <si>
    <t>12:02:11</t>
  </si>
  <si>
    <t>2602</t>
  </si>
  <si>
    <t>12:00:15</t>
  </si>
  <si>
    <t>12:14:56</t>
  </si>
  <si>
    <t>2603</t>
  </si>
  <si>
    <t>12:06:28</t>
  </si>
  <si>
    <t>12:21:10</t>
  </si>
  <si>
    <t>2604</t>
  </si>
  <si>
    <t>12:22:25</t>
  </si>
  <si>
    <t>17:26:54</t>
  </si>
  <si>
    <t>2605</t>
  </si>
  <si>
    <t>12:43:32</t>
  </si>
  <si>
    <t>2606</t>
  </si>
  <si>
    <t>12:37:02</t>
  </si>
  <si>
    <t>12:48:41</t>
  </si>
  <si>
    <t>2607</t>
  </si>
  <si>
    <t>12:40:13</t>
  </si>
  <si>
    <t>13:08:25</t>
  </si>
  <si>
    <t>2608</t>
  </si>
  <si>
    <t>13:11:41</t>
  </si>
  <si>
    <t>13:23:47</t>
  </si>
  <si>
    <t>2609</t>
  </si>
  <si>
    <t>13:21:46</t>
  </si>
  <si>
    <t>13:31:56</t>
  </si>
  <si>
    <t>2610</t>
  </si>
  <si>
    <t>14:08:29</t>
  </si>
  <si>
    <t>2611</t>
  </si>
  <si>
    <t>13:59:54</t>
  </si>
  <si>
    <t>14:42:23</t>
  </si>
  <si>
    <t>2612</t>
  </si>
  <si>
    <t>14:31:37</t>
  </si>
  <si>
    <t>2613</t>
  </si>
  <si>
    <t>14:16:38</t>
  </si>
  <si>
    <t>14:40:13</t>
  </si>
  <si>
    <t>2614</t>
  </si>
  <si>
    <t>14:38:30</t>
  </si>
  <si>
    <t>14:49:25</t>
  </si>
  <si>
    <t>2615</t>
  </si>
  <si>
    <t>14:47:29</t>
  </si>
  <si>
    <t>15:06:19</t>
  </si>
  <si>
    <t>2616</t>
  </si>
  <si>
    <t>14:58:14</t>
  </si>
  <si>
    <t>15:13:30</t>
  </si>
  <si>
    <t>2617</t>
  </si>
  <si>
    <t>15:08:44</t>
  </si>
  <si>
    <t>15:23:27</t>
  </si>
  <si>
    <t>2618</t>
  </si>
  <si>
    <t>15:16:23</t>
  </si>
  <si>
    <t>15:30:25</t>
  </si>
  <si>
    <t>2619</t>
  </si>
  <si>
    <t>15:28:32</t>
  </si>
  <si>
    <t>15:39:33</t>
  </si>
  <si>
    <t>2620</t>
  </si>
  <si>
    <t>15:40:36</t>
  </si>
  <si>
    <t>16:10:37</t>
  </si>
  <si>
    <t>2621</t>
  </si>
  <si>
    <t>15:52:35</t>
  </si>
  <si>
    <t>2622</t>
  </si>
  <si>
    <t>16:06:34</t>
  </si>
  <si>
    <t>16:21:43</t>
  </si>
  <si>
    <t>2623</t>
  </si>
  <si>
    <t>16:42:00</t>
  </si>
  <si>
    <t>16:52:10</t>
  </si>
  <si>
    <t>2624</t>
  </si>
  <si>
    <t>17:14:54</t>
  </si>
  <si>
    <t>17:27:06</t>
  </si>
  <si>
    <t>2625</t>
  </si>
  <si>
    <t>17:27:50</t>
  </si>
  <si>
    <t>17:45:12</t>
  </si>
  <si>
    <t>2626</t>
  </si>
  <si>
    <t>17:29:31</t>
  </si>
  <si>
    <t>17:46:17</t>
  </si>
  <si>
    <t>2627</t>
  </si>
  <si>
    <t>17:41:18</t>
  </si>
  <si>
    <t>17:53:26</t>
  </si>
  <si>
    <t>2628</t>
  </si>
  <si>
    <t>17:51:39</t>
  </si>
  <si>
    <t>18:03:07</t>
  </si>
  <si>
    <t>2629</t>
  </si>
  <si>
    <t>18:01:20</t>
  </si>
  <si>
    <t>18:30:56</t>
  </si>
  <si>
    <t>2630</t>
  </si>
  <si>
    <t>18:07:14</t>
  </si>
  <si>
    <t>18:37:44</t>
  </si>
  <si>
    <t>2631</t>
  </si>
  <si>
    <t>18:41:45</t>
  </si>
  <si>
    <t>18:53:32</t>
  </si>
  <si>
    <t>2632</t>
  </si>
  <si>
    <t>19:11:36</t>
  </si>
  <si>
    <t>19:22:46</t>
  </si>
  <si>
    <t>2633</t>
  </si>
  <si>
    <t>01:02:04</t>
  </si>
  <si>
    <t>01:14:28</t>
  </si>
  <si>
    <t>2634</t>
  </si>
  <si>
    <t>01:02:37</t>
  </si>
  <si>
    <t>01:20:39</t>
  </si>
  <si>
    <t>2635</t>
  </si>
  <si>
    <t>01:03:41</t>
  </si>
  <si>
    <t>01:27:09</t>
  </si>
  <si>
    <t>2636</t>
  </si>
  <si>
    <t>01:04:35</t>
  </si>
  <si>
    <t>01:32:52</t>
  </si>
  <si>
    <t>2637</t>
  </si>
  <si>
    <t>01:39:46</t>
  </si>
  <si>
    <t>2638</t>
  </si>
  <si>
    <t>01:07:08</t>
  </si>
  <si>
    <t>01:45:50</t>
  </si>
  <si>
    <t>2639</t>
  </si>
  <si>
    <t>01:09:28</t>
  </si>
  <si>
    <t>02:16:38</t>
  </si>
  <si>
    <t>2640</t>
  </si>
  <si>
    <t>01:15:18</t>
  </si>
  <si>
    <t>02:10:01</t>
  </si>
  <si>
    <t>2641</t>
  </si>
  <si>
    <t>01:17:30</t>
  </si>
  <si>
    <t>01:57:10</t>
  </si>
  <si>
    <t>2642</t>
  </si>
  <si>
    <t>01:19:02</t>
  </si>
  <si>
    <t>01:52:36</t>
  </si>
  <si>
    <t>2643</t>
  </si>
  <si>
    <t>01:21:34</t>
  </si>
  <si>
    <t>2644</t>
  </si>
  <si>
    <t>01:53:29</t>
  </si>
  <si>
    <t>02:24:32</t>
  </si>
  <si>
    <t>2645</t>
  </si>
  <si>
    <t>01:56:02</t>
  </si>
  <si>
    <t>02:28:34</t>
  </si>
  <si>
    <t>2646</t>
  </si>
  <si>
    <t>02:26:19</t>
  </si>
  <si>
    <t>02:39:08</t>
  </si>
  <si>
    <t>2647</t>
  </si>
  <si>
    <t>02:31:33</t>
  </si>
  <si>
    <t>02:46:32</t>
  </si>
  <si>
    <t>2648</t>
  </si>
  <si>
    <t>03:22:41</t>
  </si>
  <si>
    <t>2649</t>
  </si>
  <si>
    <t>03:37:19</t>
  </si>
  <si>
    <t>03:47:01</t>
  </si>
  <si>
    <t>2650</t>
  </si>
  <si>
    <t>03:49:33</t>
  </si>
  <si>
    <t>03:58:40</t>
  </si>
  <si>
    <t>2651</t>
  </si>
  <si>
    <t>03:54:36</t>
  </si>
  <si>
    <t>04:05:47</t>
  </si>
  <si>
    <t>2652</t>
  </si>
  <si>
    <t>04:03:47</t>
  </si>
  <si>
    <t>04:15:47</t>
  </si>
  <si>
    <t>2653</t>
  </si>
  <si>
    <t>04:11:00</t>
  </si>
  <si>
    <t>2654</t>
  </si>
  <si>
    <t>04:28:55</t>
  </si>
  <si>
    <t>04:41:53</t>
  </si>
  <si>
    <t>2655</t>
  </si>
  <si>
    <t>04:39:12</t>
  </si>
  <si>
    <t>04:51:34</t>
  </si>
  <si>
    <t>2656</t>
  </si>
  <si>
    <t>04:47:49</t>
  </si>
  <si>
    <t>04:58:48</t>
  </si>
  <si>
    <t>2657</t>
  </si>
  <si>
    <t>05:00:42</t>
  </si>
  <si>
    <t>05:12:14</t>
  </si>
  <si>
    <t>2658</t>
  </si>
  <si>
    <t>05:20:42</t>
  </si>
  <si>
    <t>05:32:59</t>
  </si>
  <si>
    <t>2659</t>
  </si>
  <si>
    <t>05:26:11</t>
  </si>
  <si>
    <t>05:40:28</t>
  </si>
  <si>
    <t>2660</t>
  </si>
  <si>
    <t>05:28:53</t>
  </si>
  <si>
    <t>05:47:48</t>
  </si>
  <si>
    <t>2661</t>
  </si>
  <si>
    <t>05:41:58</t>
  </si>
  <si>
    <t>05:56:00</t>
  </si>
  <si>
    <t>2662</t>
  </si>
  <si>
    <t>05:49:01</t>
  </si>
  <si>
    <t>05:59:37</t>
  </si>
  <si>
    <t>2663</t>
  </si>
  <si>
    <t>06:06:41</t>
  </si>
  <si>
    <t>06:22:21</t>
  </si>
  <si>
    <t>2664</t>
  </si>
  <si>
    <t>06:30:04</t>
  </si>
  <si>
    <t>06:39:54</t>
  </si>
  <si>
    <t>2665</t>
  </si>
  <si>
    <t>06:43:02</t>
  </si>
  <si>
    <t>2666</t>
  </si>
  <si>
    <t>06:50:32</t>
  </si>
  <si>
    <t>07:04:43</t>
  </si>
  <si>
    <t>2667</t>
  </si>
  <si>
    <t>06:51:34</t>
  </si>
  <si>
    <t>07:09:31</t>
  </si>
  <si>
    <t>2668</t>
  </si>
  <si>
    <t>07:01:24</t>
  </si>
  <si>
    <t>07:18:18</t>
  </si>
  <si>
    <t>2669</t>
  </si>
  <si>
    <t>08:00:04</t>
  </si>
  <si>
    <t>2670</t>
  </si>
  <si>
    <t>08:29:52</t>
  </si>
  <si>
    <t>2671</t>
  </si>
  <si>
    <t>08:20:08</t>
  </si>
  <si>
    <t>08:35:31</t>
  </si>
  <si>
    <t>2672</t>
  </si>
  <si>
    <t>08:20:46</t>
  </si>
  <si>
    <t>08:46:29</t>
  </si>
  <si>
    <t>2673</t>
  </si>
  <si>
    <t>09:38:26</t>
  </si>
  <si>
    <t>2674</t>
  </si>
  <si>
    <t>09:42:22</t>
  </si>
  <si>
    <t>09:58:24</t>
  </si>
  <si>
    <t>2675</t>
  </si>
  <si>
    <t>09:55:33</t>
  </si>
  <si>
    <t>10:09:15</t>
  </si>
  <si>
    <t>2676</t>
  </si>
  <si>
    <t>10:01:14</t>
  </si>
  <si>
    <t>10:19:13</t>
  </si>
  <si>
    <t>2677</t>
  </si>
  <si>
    <t>10:12:13</t>
  </si>
  <si>
    <t>10:23:12</t>
  </si>
  <si>
    <t>2678</t>
  </si>
  <si>
    <t>10:15:15</t>
  </si>
  <si>
    <t>10:32:25</t>
  </si>
  <si>
    <t>2679</t>
  </si>
  <si>
    <t>10:36:43</t>
  </si>
  <si>
    <t>2680</t>
  </si>
  <si>
    <t>10:49:10</t>
  </si>
  <si>
    <t>11:20:57</t>
  </si>
  <si>
    <t>2681</t>
  </si>
  <si>
    <t>11:12:25</t>
  </si>
  <si>
    <t>11:24:31</t>
  </si>
  <si>
    <t>2682</t>
  </si>
  <si>
    <t>11:17:48</t>
  </si>
  <si>
    <t>13:53:12</t>
  </si>
  <si>
    <t>2683</t>
  </si>
  <si>
    <t>11:18:48</t>
  </si>
  <si>
    <t>11:31:29</t>
  </si>
  <si>
    <t>2684</t>
  </si>
  <si>
    <t>11:22:20</t>
  </si>
  <si>
    <t>11:39:50</t>
  </si>
  <si>
    <t>2685</t>
  </si>
  <si>
    <t>11:25:27</t>
  </si>
  <si>
    <t>11:46:39</t>
  </si>
  <si>
    <t>2686</t>
  </si>
  <si>
    <t>11:33:03</t>
  </si>
  <si>
    <t>11:53:08</t>
  </si>
  <si>
    <t>2687</t>
  </si>
  <si>
    <t>11:49:17</t>
  </si>
  <si>
    <t>11:59:29</t>
  </si>
  <si>
    <t>2688</t>
  </si>
  <si>
    <t>12:45:52</t>
  </si>
  <si>
    <t>12:57:19</t>
  </si>
  <si>
    <t>2689</t>
  </si>
  <si>
    <t>12:52:08</t>
  </si>
  <si>
    <t>13:03:28</t>
  </si>
  <si>
    <t>2690</t>
  </si>
  <si>
    <t>13:22:49</t>
  </si>
  <si>
    <t>13:50:41</t>
  </si>
  <si>
    <t>2691</t>
  </si>
  <si>
    <t>13:39:09</t>
  </si>
  <si>
    <t>2692</t>
  </si>
  <si>
    <t>13:52:59</t>
  </si>
  <si>
    <t>14:05:53</t>
  </si>
  <si>
    <t>2693</t>
  </si>
  <si>
    <t>14:15:30</t>
  </si>
  <si>
    <t>14:52:01</t>
  </si>
  <si>
    <t>2694</t>
  </si>
  <si>
    <t>14:46:07</t>
  </si>
  <si>
    <t>15:03:39</t>
  </si>
  <si>
    <t>2695</t>
  </si>
  <si>
    <t>14:52:55</t>
  </si>
  <si>
    <t>15:12:09</t>
  </si>
  <si>
    <t>2696</t>
  </si>
  <si>
    <t>15:45:17</t>
  </si>
  <si>
    <t>15:52:29</t>
  </si>
  <si>
    <t>2697</t>
  </si>
  <si>
    <t>16:57:48</t>
  </si>
  <si>
    <t>17:08:25</t>
  </si>
  <si>
    <t>2698</t>
  </si>
  <si>
    <t>03:41:54</t>
  </si>
  <si>
    <t>04:08:47</t>
  </si>
  <si>
    <t>2699</t>
  </si>
  <si>
    <t>04:04:24</t>
  </si>
  <si>
    <t>2700</t>
  </si>
  <si>
    <t>04:11:22</t>
  </si>
  <si>
    <t>04:26:16</t>
  </si>
  <si>
    <t>2701</t>
  </si>
  <si>
    <t>04:18:30</t>
  </si>
  <si>
    <t>04:33:50</t>
  </si>
  <si>
    <t>2702</t>
  </si>
  <si>
    <t>04:27:13</t>
  </si>
  <si>
    <t>04:41:52</t>
  </si>
  <si>
    <t>2703</t>
  </si>
  <si>
    <t>04:34:39</t>
  </si>
  <si>
    <t>04:50:33</t>
  </si>
  <si>
    <t>2704</t>
  </si>
  <si>
    <t>04:38:54</t>
  </si>
  <si>
    <t>08:13:37</t>
  </si>
  <si>
    <t>2705</t>
  </si>
  <si>
    <t>04:49:36</t>
  </si>
  <si>
    <t>2706</t>
  </si>
  <si>
    <t>04:53:24</t>
  </si>
  <si>
    <t>05:15:15</t>
  </si>
  <si>
    <t>2707</t>
  </si>
  <si>
    <t>05:03:40</t>
  </si>
  <si>
    <t>05:20:21</t>
  </si>
  <si>
    <t>2708</t>
  </si>
  <si>
    <t>05:10:58</t>
  </si>
  <si>
    <t>05:28:32</t>
  </si>
  <si>
    <t>2709</t>
  </si>
  <si>
    <t>05:29:19</t>
  </si>
  <si>
    <t>05:41:22</t>
  </si>
  <si>
    <t>2710</t>
  </si>
  <si>
    <t>05:30:52</t>
  </si>
  <si>
    <t>05:46:58</t>
  </si>
  <si>
    <t>2711</t>
  </si>
  <si>
    <t>05:40:20</t>
  </si>
  <si>
    <t>05:55:12</t>
  </si>
  <si>
    <t>2712</t>
  </si>
  <si>
    <t>05:51:07</t>
  </si>
  <si>
    <t>06:02:26</t>
  </si>
  <si>
    <t>2713</t>
  </si>
  <si>
    <t>06:38:02</t>
  </si>
  <si>
    <t>06:48:20</t>
  </si>
  <si>
    <t>2714</t>
  </si>
  <si>
    <t>07:07:03</t>
  </si>
  <si>
    <t>07:16:00</t>
  </si>
  <si>
    <t>2715</t>
  </si>
  <si>
    <t>07:08:12</t>
  </si>
  <si>
    <t>07:23:29</t>
  </si>
  <si>
    <t>2716</t>
  </si>
  <si>
    <t>07:28:15</t>
  </si>
  <si>
    <t>07:43:50</t>
  </si>
  <si>
    <t>2717</t>
  </si>
  <si>
    <t>07:44:21</t>
  </si>
  <si>
    <t>07:55:56</t>
  </si>
  <si>
    <t>2718</t>
  </si>
  <si>
    <t>07:47:05</t>
  </si>
  <si>
    <t>08:04:31</t>
  </si>
  <si>
    <t>2719</t>
  </si>
  <si>
    <t>07:59:33</t>
  </si>
  <si>
    <t>11:32:07</t>
  </si>
  <si>
    <t>2720</t>
  </si>
  <si>
    <t>08:26:18</t>
  </si>
  <si>
    <t>08:38:48</t>
  </si>
  <si>
    <t>2721</t>
  </si>
  <si>
    <t>08:26:48</t>
  </si>
  <si>
    <t>08:45:20</t>
  </si>
  <si>
    <t>2722</t>
  </si>
  <si>
    <t>08:32:25</t>
  </si>
  <si>
    <t>08:54:25</t>
  </si>
  <si>
    <t>2723</t>
  </si>
  <si>
    <t>08:56:48</t>
  </si>
  <si>
    <t>2724</t>
  </si>
  <si>
    <t>08:46:09</t>
  </si>
  <si>
    <t>09:00:34</t>
  </si>
  <si>
    <t>2725</t>
  </si>
  <si>
    <t>08:57:20</t>
  </si>
  <si>
    <t>09:09:33</t>
  </si>
  <si>
    <t>2726</t>
  </si>
  <si>
    <t>09:03:28</t>
  </si>
  <si>
    <t>09:15:12</t>
  </si>
  <si>
    <t>2727</t>
  </si>
  <si>
    <t>09:16:24</t>
  </si>
  <si>
    <t>09:34:43</t>
  </si>
  <si>
    <t>2728</t>
  </si>
  <si>
    <t>09:37:50</t>
  </si>
  <si>
    <t>10:16:03</t>
  </si>
  <si>
    <t>2729</t>
  </si>
  <si>
    <t>10:12:04</t>
  </si>
  <si>
    <t>10:23:38</t>
  </si>
  <si>
    <t>2730</t>
  </si>
  <si>
    <t>10:50:38</t>
  </si>
  <si>
    <t>2731</t>
  </si>
  <si>
    <t>10:41:10</t>
  </si>
  <si>
    <t>2732</t>
  </si>
  <si>
    <t>10:47:46</t>
  </si>
  <si>
    <t>11:17:49</t>
  </si>
  <si>
    <t>2733</t>
  </si>
  <si>
    <t>10:55:48</t>
  </si>
  <si>
    <t>11:23:54</t>
  </si>
  <si>
    <t>2734</t>
  </si>
  <si>
    <t>11:19:53</t>
  </si>
  <si>
    <t>11:32:18</t>
  </si>
  <si>
    <t>2735</t>
  </si>
  <si>
    <t>11:34:58</t>
  </si>
  <si>
    <t>12:11:38</t>
  </si>
  <si>
    <t>2736</t>
  </si>
  <si>
    <t>11:43:34</t>
  </si>
  <si>
    <t>11:53:44</t>
  </si>
  <si>
    <t>2737</t>
  </si>
  <si>
    <t>11:47:50</t>
  </si>
  <si>
    <t>11:58:45</t>
  </si>
  <si>
    <t>2738</t>
  </si>
  <si>
    <t>11:55:00</t>
  </si>
  <si>
    <t>12:12:39</t>
  </si>
  <si>
    <t>2739</t>
  </si>
  <si>
    <t>12:08:10</t>
  </si>
  <si>
    <t>12:25:54</t>
  </si>
  <si>
    <t>2740</t>
  </si>
  <si>
    <t>12:21:38</t>
  </si>
  <si>
    <t>12:38:03</t>
  </si>
  <si>
    <t>2741</t>
  </si>
  <si>
    <t>12:27:08</t>
  </si>
  <si>
    <t>12:48:36</t>
  </si>
  <si>
    <t>2742</t>
  </si>
  <si>
    <t>12:47:04</t>
  </si>
  <si>
    <t>13:02:01</t>
  </si>
  <si>
    <t>2743</t>
  </si>
  <si>
    <t>12:49:25</t>
  </si>
  <si>
    <t>13:03:42</t>
  </si>
  <si>
    <t>2744</t>
  </si>
  <si>
    <t>13:10:22</t>
  </si>
  <si>
    <t>13:33:51</t>
  </si>
  <si>
    <t>2745</t>
  </si>
  <si>
    <t>13:34:55</t>
  </si>
  <si>
    <t>13:48:25</t>
  </si>
  <si>
    <t>2746</t>
  </si>
  <si>
    <t>13:54:31</t>
  </si>
  <si>
    <t>14:04:25</t>
  </si>
  <si>
    <t>2747</t>
  </si>
  <si>
    <t>14:25:19</t>
  </si>
  <si>
    <t>2748</t>
  </si>
  <si>
    <t>14:52:50</t>
  </si>
  <si>
    <t>15:17:38</t>
  </si>
  <si>
    <t>2749</t>
  </si>
  <si>
    <t>14:56:57</t>
  </si>
  <si>
    <t>15:08:07</t>
  </si>
  <si>
    <t>2750</t>
  </si>
  <si>
    <t>15:15:56</t>
  </si>
  <si>
    <t>15:33:10</t>
  </si>
  <si>
    <t>2751</t>
  </si>
  <si>
    <t>15:31:28</t>
  </si>
  <si>
    <t>02:15:28</t>
  </si>
  <si>
    <t>2752</t>
  </si>
  <si>
    <t>2753</t>
  </si>
  <si>
    <t>01:16:10</t>
  </si>
  <si>
    <t>2754</t>
  </si>
  <si>
    <t>01:03:47</t>
  </si>
  <si>
    <t>01:19:51</t>
  </si>
  <si>
    <t>2755</t>
  </si>
  <si>
    <t>01:26:50</t>
  </si>
  <si>
    <t>2756</t>
  </si>
  <si>
    <t>01:04:57</t>
  </si>
  <si>
    <t>2757</t>
  </si>
  <si>
    <t>01:05:54</t>
  </si>
  <si>
    <t>01:37:04</t>
  </si>
  <si>
    <t>2758</t>
  </si>
  <si>
    <t>01:40:02</t>
  </si>
  <si>
    <t>2759</t>
  </si>
  <si>
    <t>01:07:04</t>
  </si>
  <si>
    <t>01:51:23</t>
  </si>
  <si>
    <t>2760</t>
  </si>
  <si>
    <t>01:55:47</t>
  </si>
  <si>
    <t>2761</t>
  </si>
  <si>
    <t>01:22:38</t>
  </si>
  <si>
    <t>06:35:27</t>
  </si>
  <si>
    <t>2762</t>
  </si>
  <si>
    <t>01:52:20</t>
  </si>
  <si>
    <t>02:04:11</t>
  </si>
  <si>
    <t>2763</t>
  </si>
  <si>
    <t>01:54:29</t>
  </si>
  <si>
    <t>02:07:52</t>
  </si>
  <si>
    <t>2764</t>
  </si>
  <si>
    <t>02:05:26</t>
  </si>
  <si>
    <t>02:15:43</t>
  </si>
  <si>
    <t>2765</t>
  </si>
  <si>
    <t>02:26:45</t>
  </si>
  <si>
    <t>2766</t>
  </si>
  <si>
    <t>02:34:32</t>
  </si>
  <si>
    <t>02:45:57</t>
  </si>
  <si>
    <t>2767</t>
  </si>
  <si>
    <t>03:21:17</t>
  </si>
  <si>
    <t>03:31:19</t>
  </si>
  <si>
    <t>2768</t>
  </si>
  <si>
    <t>03:25:43</t>
  </si>
  <si>
    <t>03:37:52</t>
  </si>
  <si>
    <t>2769</t>
  </si>
  <si>
    <t>03:49:32</t>
  </si>
  <si>
    <t>2770</t>
  </si>
  <si>
    <t>03:53:18</t>
  </si>
  <si>
    <t>04:02:55</t>
  </si>
  <si>
    <t>2771</t>
  </si>
  <si>
    <t>04:06:25</t>
  </si>
  <si>
    <t>04:15:04</t>
  </si>
  <si>
    <t>2772</t>
  </si>
  <si>
    <t>04:10:09</t>
  </si>
  <si>
    <t>04:21:28</t>
  </si>
  <si>
    <t>2773</t>
  </si>
  <si>
    <t>04:42:06</t>
  </si>
  <si>
    <t>04:51:51</t>
  </si>
  <si>
    <t>2774</t>
  </si>
  <si>
    <t>2775</t>
  </si>
  <si>
    <t>04:53:05</t>
  </si>
  <si>
    <t>05:05:54</t>
  </si>
  <si>
    <t>2776</t>
  </si>
  <si>
    <t>05:13:45</t>
  </si>
  <si>
    <t>05:23:49</t>
  </si>
  <si>
    <t>2777</t>
  </si>
  <si>
    <t>05:17:59</t>
  </si>
  <si>
    <t>05:29:42</t>
  </si>
  <si>
    <t>2778</t>
  </si>
  <si>
    <t>05:20:20</t>
  </si>
  <si>
    <t>05:35:04</t>
  </si>
  <si>
    <t>2779</t>
  </si>
  <si>
    <t>05:26:40</t>
  </si>
  <si>
    <t>05:41:27</t>
  </si>
  <si>
    <t>2780</t>
  </si>
  <si>
    <t>05:38:12</t>
  </si>
  <si>
    <t>05:50:27</t>
  </si>
  <si>
    <t>2781</t>
  </si>
  <si>
    <t>05:58:05</t>
  </si>
  <si>
    <t>06:09:14</t>
  </si>
  <si>
    <t>2782</t>
  </si>
  <si>
    <t>06:04:49</t>
  </si>
  <si>
    <t>2783</t>
  </si>
  <si>
    <t>06:16:48</t>
  </si>
  <si>
    <t>06:28:46</t>
  </si>
  <si>
    <t>2784</t>
  </si>
  <si>
    <t>06:18:40</t>
  </si>
  <si>
    <t>06:35:42</t>
  </si>
  <si>
    <t>2785</t>
  </si>
  <si>
    <t>06:43:18</t>
  </si>
  <si>
    <t>07:04:17</t>
  </si>
  <si>
    <t>2786</t>
  </si>
  <si>
    <t>06:51:26</t>
  </si>
  <si>
    <t>07:12:37</t>
  </si>
  <si>
    <t>2787</t>
  </si>
  <si>
    <t>07:35:39</t>
  </si>
  <si>
    <t>07:48:02</t>
  </si>
  <si>
    <t>2788</t>
  </si>
  <si>
    <t>07:50:19</t>
  </si>
  <si>
    <t>08:06:25</t>
  </si>
  <si>
    <t>2789</t>
  </si>
  <si>
    <t>08:01:06</t>
  </si>
  <si>
    <t>08:14:22</t>
  </si>
  <si>
    <t>2790</t>
  </si>
  <si>
    <t>08:10:25</t>
  </si>
  <si>
    <t>08:39:53</t>
  </si>
  <si>
    <t>2791</t>
  </si>
  <si>
    <t>08:27:40</t>
  </si>
  <si>
    <t>08:52:39</t>
  </si>
  <si>
    <t>2792</t>
  </si>
  <si>
    <t>08:40:27</t>
  </si>
  <si>
    <t>08:51:05</t>
  </si>
  <si>
    <t>2793</t>
  </si>
  <si>
    <t>08:41:16</t>
  </si>
  <si>
    <t>08:57:02</t>
  </si>
  <si>
    <t>2794</t>
  </si>
  <si>
    <t>08:55:18</t>
  </si>
  <si>
    <t>09:06:33</t>
  </si>
  <si>
    <t>2795</t>
  </si>
  <si>
    <t>08:57:44</t>
  </si>
  <si>
    <t>09:11:03</t>
  </si>
  <si>
    <t>2796</t>
  </si>
  <si>
    <t>09:14:20</t>
  </si>
  <si>
    <t>09:42:52</t>
  </si>
  <si>
    <t>2797</t>
  </si>
  <si>
    <t>09:36:52</t>
  </si>
  <si>
    <t>09:48:38</t>
  </si>
  <si>
    <t>2798</t>
  </si>
  <si>
    <t>09:40:40</t>
  </si>
  <si>
    <t>09:56:02</t>
  </si>
  <si>
    <t>2799</t>
  </si>
  <si>
    <t>09:54:07</t>
  </si>
  <si>
    <t>10:03:50</t>
  </si>
  <si>
    <t>2800</t>
  </si>
  <si>
    <t>10:10:32</t>
  </si>
  <si>
    <t>10:33:41</t>
  </si>
  <si>
    <t>2801</t>
  </si>
  <si>
    <t>10:26:53</t>
  </si>
  <si>
    <t>10:47:31</t>
  </si>
  <si>
    <t>2802</t>
  </si>
  <si>
    <t>10:54:37</t>
  </si>
  <si>
    <t>11:23:33</t>
  </si>
  <si>
    <t>2803</t>
  </si>
  <si>
    <t>10:57:57</t>
  </si>
  <si>
    <t>11:30:09</t>
  </si>
  <si>
    <t>2804</t>
  </si>
  <si>
    <t>11:06:02</t>
  </si>
  <si>
    <t>11:33:20</t>
  </si>
  <si>
    <t>2805</t>
  </si>
  <si>
    <t>11:55:21</t>
  </si>
  <si>
    <t>2806</t>
  </si>
  <si>
    <t>11:49:35</t>
  </si>
  <si>
    <t>12:04:28</t>
  </si>
  <si>
    <t>2807</t>
  </si>
  <si>
    <t>11:56:00</t>
  </si>
  <si>
    <t>12:08:28</t>
  </si>
  <si>
    <t>2808</t>
  </si>
  <si>
    <t>12:07:11</t>
  </si>
  <si>
    <t>12:16:37</t>
  </si>
  <si>
    <t>2809</t>
  </si>
  <si>
    <t>12:09:24</t>
  </si>
  <si>
    <t>12:24:59</t>
  </si>
  <si>
    <t>2810</t>
  </si>
  <si>
    <t>12:39:31</t>
  </si>
  <si>
    <t>12:57:39</t>
  </si>
  <si>
    <t>2811</t>
  </si>
  <si>
    <t>12:52:53</t>
  </si>
  <si>
    <t>13:05:52</t>
  </si>
  <si>
    <t>2812</t>
  </si>
  <si>
    <t>13:06:15</t>
  </si>
  <si>
    <t>13:16:09</t>
  </si>
  <si>
    <t>2813</t>
  </si>
  <si>
    <t>13:29:19</t>
  </si>
  <si>
    <t>13:41:03</t>
  </si>
  <si>
    <t>2814</t>
  </si>
  <si>
    <t>13:32:46</t>
  </si>
  <si>
    <t>13:46:06</t>
  </si>
  <si>
    <t>2815</t>
  </si>
  <si>
    <t>14:02:14</t>
  </si>
  <si>
    <t>14:30:16</t>
  </si>
  <si>
    <t>2816</t>
  </si>
  <si>
    <t>14:15:49</t>
  </si>
  <si>
    <t>14:25:49</t>
  </si>
  <si>
    <t>2817</t>
  </si>
  <si>
    <t>14:18:48</t>
  </si>
  <si>
    <t>14:42:52</t>
  </si>
  <si>
    <t>2818</t>
  </si>
  <si>
    <t>14:31:19</t>
  </si>
  <si>
    <t>14:57:36</t>
  </si>
  <si>
    <t>2819</t>
  </si>
  <si>
    <t>14:40:55</t>
  </si>
  <si>
    <t>14:59:21</t>
  </si>
  <si>
    <t>2820</t>
  </si>
  <si>
    <t>14:50:49</t>
  </si>
  <si>
    <t>15:09:20</t>
  </si>
  <si>
    <t>2821</t>
  </si>
  <si>
    <t>15:06:51</t>
  </si>
  <si>
    <t>15:34:55</t>
  </si>
  <si>
    <t>2822</t>
  </si>
  <si>
    <t>15:19:55</t>
  </si>
  <si>
    <t>15:42:41</t>
  </si>
  <si>
    <t>2823</t>
  </si>
  <si>
    <t>17:22:57</t>
  </si>
  <si>
    <t>20:07:36</t>
  </si>
  <si>
    <t>2824</t>
  </si>
  <si>
    <t>17:34:10</t>
  </si>
  <si>
    <t>17:45:17</t>
  </si>
  <si>
    <t>2825</t>
  </si>
  <si>
    <t>18:11:24</t>
  </si>
  <si>
    <t>2826</t>
  </si>
  <si>
    <t>18:05:57</t>
  </si>
  <si>
    <t>18:18:34</t>
  </si>
  <si>
    <t>2827</t>
  </si>
  <si>
    <t>18:07:25</t>
  </si>
  <si>
    <t>18:24:43</t>
  </si>
  <si>
    <t>2828</t>
  </si>
  <si>
    <t>18:30:50</t>
  </si>
  <si>
    <t>2829</t>
  </si>
  <si>
    <t>18:52:04</t>
  </si>
  <si>
    <t>19:03:02</t>
  </si>
  <si>
    <t>2830</t>
  </si>
  <si>
    <t>19:06:44</t>
  </si>
  <si>
    <t>19:17:37</t>
  </si>
  <si>
    <t>2831</t>
  </si>
  <si>
    <t>01:10:08</t>
  </si>
  <si>
    <t>2832</t>
  </si>
  <si>
    <t>01:16:11</t>
  </si>
  <si>
    <t>2833</t>
  </si>
  <si>
    <t>01:24:54</t>
  </si>
  <si>
    <t>2834</t>
  </si>
  <si>
    <t>01:43:05</t>
  </si>
  <si>
    <t>2835</t>
  </si>
  <si>
    <t>01:49:05</t>
  </si>
  <si>
    <t>2836</t>
  </si>
  <si>
    <t>01:05:29</t>
  </si>
  <si>
    <t>01:33:08</t>
  </si>
  <si>
    <t>2837</t>
  </si>
  <si>
    <t>01:06:06</t>
  </si>
  <si>
    <t>01:38:32</t>
  </si>
  <si>
    <t>2838</t>
  </si>
  <si>
    <t>01:54:57</t>
  </si>
  <si>
    <t>2839</t>
  </si>
  <si>
    <t>01:11:21</t>
  </si>
  <si>
    <t>01:27:20</t>
  </si>
  <si>
    <t>2840</t>
  </si>
  <si>
    <t>01:12:49</t>
  </si>
  <si>
    <t>2841</t>
  </si>
  <si>
    <t>01:28:28</t>
  </si>
  <si>
    <t>02:10:04</t>
  </si>
  <si>
    <t>2842</t>
  </si>
  <si>
    <t>02:03:08</t>
  </si>
  <si>
    <t>02:40:18</t>
  </si>
  <si>
    <t>2843</t>
  </si>
  <si>
    <t>02:04:24</t>
  </si>
  <si>
    <t>02:24:45</t>
  </si>
  <si>
    <t>2844</t>
  </si>
  <si>
    <t>02:22:34</t>
  </si>
  <si>
    <t>02:32:34</t>
  </si>
  <si>
    <t>2845</t>
  </si>
  <si>
    <t>02:25:51</t>
  </si>
  <si>
    <t>02:39:00</t>
  </si>
  <si>
    <t>2846</t>
  </si>
  <si>
    <t>03:24:33</t>
  </si>
  <si>
    <t>03:35:01</t>
  </si>
  <si>
    <t>2847</t>
  </si>
  <si>
    <t>03:41:05</t>
  </si>
  <si>
    <t>03:51:45</t>
  </si>
  <si>
    <t>2848</t>
  </si>
  <si>
    <t>03:44:34</t>
  </si>
  <si>
    <t>04:01:17</t>
  </si>
  <si>
    <t>2849</t>
  </si>
  <si>
    <t>04:06:06</t>
  </si>
  <si>
    <t>2850</t>
  </si>
  <si>
    <t>04:16:52</t>
  </si>
  <si>
    <t>04:27:44</t>
  </si>
  <si>
    <t>2851</t>
  </si>
  <si>
    <t>04:24:46</t>
  </si>
  <si>
    <t>04:35:04</t>
  </si>
  <si>
    <t>2852</t>
  </si>
  <si>
    <t>04:36:33</t>
  </si>
  <si>
    <t>04:47:39</t>
  </si>
  <si>
    <t>2853</t>
  </si>
  <si>
    <t>04:45:21</t>
  </si>
  <si>
    <t>04:56:25</t>
  </si>
  <si>
    <t>2854</t>
  </si>
  <si>
    <t>04:46:36</t>
  </si>
  <si>
    <t>2855</t>
  </si>
  <si>
    <t>05:06:48</t>
  </si>
  <si>
    <t>05:18:25</t>
  </si>
  <si>
    <t>2856</t>
  </si>
  <si>
    <t>05:08:30</t>
  </si>
  <si>
    <t>2857</t>
  </si>
  <si>
    <t>05:21:08</t>
  </si>
  <si>
    <t>05:34:03</t>
  </si>
  <si>
    <t>2858</t>
  </si>
  <si>
    <t>05:31:25</t>
  </si>
  <si>
    <t>2859</t>
  </si>
  <si>
    <t>05:39:38</t>
  </si>
  <si>
    <t>05:53:14</t>
  </si>
  <si>
    <t>2860</t>
  </si>
  <si>
    <t>05:51:10</t>
  </si>
  <si>
    <t>06:03:16</t>
  </si>
  <si>
    <t>2861</t>
  </si>
  <si>
    <t>06:31:26</t>
  </si>
  <si>
    <t>2862</t>
  </si>
  <si>
    <t>06:33:49</t>
  </si>
  <si>
    <t>06:44:30</t>
  </si>
  <si>
    <t>2863</t>
  </si>
  <si>
    <t>07:02:26</t>
  </si>
  <si>
    <t>07:14:00</t>
  </si>
  <si>
    <t>2864</t>
  </si>
  <si>
    <t>07:10:16</t>
  </si>
  <si>
    <t>07:20:54</t>
  </si>
  <si>
    <t>2865</t>
  </si>
  <si>
    <t>07:14:48</t>
  </si>
  <si>
    <t>07:40:39</t>
  </si>
  <si>
    <t>2866</t>
  </si>
  <si>
    <t>07:51:04</t>
  </si>
  <si>
    <t>2867</t>
  </si>
  <si>
    <t>07:55:29</t>
  </si>
  <si>
    <t>08:07:28</t>
  </si>
  <si>
    <t>2868</t>
  </si>
  <si>
    <t>08:12:40</t>
  </si>
  <si>
    <t>08:23:52</t>
  </si>
  <si>
    <t>2869</t>
  </si>
  <si>
    <t>08:16:00</t>
  </si>
  <si>
    <t>08:30:05</t>
  </si>
  <si>
    <t>2870</t>
  </si>
  <si>
    <t>08:27:07</t>
  </si>
  <si>
    <t>08:37:45</t>
  </si>
  <si>
    <t>2871</t>
  </si>
  <si>
    <t>08:41:00</t>
  </si>
  <si>
    <t>08:54:18</t>
  </si>
  <si>
    <t>2872</t>
  </si>
  <si>
    <t>08:58:21</t>
  </si>
  <si>
    <t>2873</t>
  </si>
  <si>
    <t>08:50:43</t>
  </si>
  <si>
    <t>09:04:57</t>
  </si>
  <si>
    <t>2874</t>
  </si>
  <si>
    <t>09:16:48</t>
  </si>
  <si>
    <t>09:49:49</t>
  </si>
  <si>
    <t>2875</t>
  </si>
  <si>
    <t>09:19:52</t>
  </si>
  <si>
    <t>09:35:05</t>
  </si>
  <si>
    <t>2876</t>
  </si>
  <si>
    <t>09:54:17</t>
  </si>
  <si>
    <t>10:06:07</t>
  </si>
  <si>
    <t>2877</t>
  </si>
  <si>
    <t>10:16:34</t>
  </si>
  <si>
    <t>10:26:34</t>
  </si>
  <si>
    <t>2878</t>
  </si>
  <si>
    <t>10:19:45</t>
  </si>
  <si>
    <t>10:33:25</t>
  </si>
  <si>
    <t>2879</t>
  </si>
  <si>
    <t>10:28:37</t>
  </si>
  <si>
    <t>10:40:14</t>
  </si>
  <si>
    <t>2880</t>
  </si>
  <si>
    <t>10:42:48</t>
  </si>
  <si>
    <t>11:07:52</t>
  </si>
  <si>
    <t>2881</t>
  </si>
  <si>
    <t>10:44:55</t>
  </si>
  <si>
    <t>11:12:54</t>
  </si>
  <si>
    <t>2882</t>
  </si>
  <si>
    <t>10:56:32</t>
  </si>
  <si>
    <t>11:20:10</t>
  </si>
  <si>
    <t>2883</t>
  </si>
  <si>
    <t>11:13:20</t>
  </si>
  <si>
    <t>11:26:03</t>
  </si>
  <si>
    <t>2884</t>
  </si>
  <si>
    <t>11:18:29</t>
  </si>
  <si>
    <t>11:35:04</t>
  </si>
  <si>
    <t>2885</t>
  </si>
  <si>
    <t>11:32:05</t>
  </si>
  <si>
    <t>11:44:36</t>
  </si>
  <si>
    <t>2886</t>
  </si>
  <si>
    <t>11:36:45</t>
  </si>
  <si>
    <t>2887</t>
  </si>
  <si>
    <t>11:50:32</t>
  </si>
  <si>
    <t>12:15:00</t>
  </si>
  <si>
    <t>2888</t>
  </si>
  <si>
    <t>12:09:18</t>
  </si>
  <si>
    <t>12:18:42</t>
  </si>
  <si>
    <t>2889</t>
  </si>
  <si>
    <t>12:10:22</t>
  </si>
  <si>
    <t>12:25:47</t>
  </si>
  <si>
    <t>2890</t>
  </si>
  <si>
    <t>12:23:30</t>
  </si>
  <si>
    <t>12:37:20</t>
  </si>
  <si>
    <t>2891</t>
  </si>
  <si>
    <t>13:02:46</t>
  </si>
  <si>
    <t>13:16:03</t>
  </si>
  <si>
    <t>2892</t>
  </si>
  <si>
    <t>13:20:26</t>
  </si>
  <si>
    <t>13:36:36</t>
  </si>
  <si>
    <t>2893</t>
  </si>
  <si>
    <t>13:23:49</t>
  </si>
  <si>
    <t>13:37:52</t>
  </si>
  <si>
    <t>2894</t>
  </si>
  <si>
    <t>13:26:23</t>
  </si>
  <si>
    <t>13:41:04</t>
  </si>
  <si>
    <t>2895</t>
  </si>
  <si>
    <t>13:52:52</t>
  </si>
  <si>
    <t>14:03:38</t>
  </si>
  <si>
    <t>2896</t>
  </si>
  <si>
    <t>13:59:19</t>
  </si>
  <si>
    <t>14:08:03</t>
  </si>
  <si>
    <t>2897</t>
  </si>
  <si>
    <t>14:09:42</t>
  </si>
  <si>
    <t>14:36:04</t>
  </si>
  <si>
    <t>2898</t>
  </si>
  <si>
    <t>14:16:06</t>
  </si>
  <si>
    <t>14:37:49</t>
  </si>
  <si>
    <t>2899</t>
  </si>
  <si>
    <t>14:24:34</t>
  </si>
  <si>
    <t>14:44:20</t>
  </si>
  <si>
    <t>2900</t>
  </si>
  <si>
    <t>14:36:20</t>
  </si>
  <si>
    <t>01:28:10</t>
  </si>
  <si>
    <t>2901</t>
  </si>
  <si>
    <t>15:06:00</t>
  </si>
  <si>
    <t>15:20:03</t>
  </si>
  <si>
    <t>2902</t>
  </si>
  <si>
    <t>15:17:41</t>
  </si>
  <si>
    <t>15:28:16</t>
  </si>
  <si>
    <t>2903</t>
  </si>
  <si>
    <t>15:48:10</t>
  </si>
  <si>
    <t>16:00:24</t>
  </si>
  <si>
    <t>2904</t>
  </si>
  <si>
    <t>16:40:07</t>
  </si>
  <si>
    <t>2905</t>
  </si>
  <si>
    <t>16:43:26</t>
  </si>
  <si>
    <t>2906</t>
  </si>
  <si>
    <t>16:51:52</t>
  </si>
  <si>
    <t>17:00:09</t>
  </si>
  <si>
    <t>2907</t>
  </si>
  <si>
    <t>18:27:53</t>
  </si>
  <si>
    <t>18:41:18</t>
  </si>
  <si>
    <t>2908</t>
  </si>
  <si>
    <t>17:15:00</t>
  </si>
  <si>
    <t>2909</t>
  </si>
  <si>
    <t>17:30:00</t>
  </si>
  <si>
    <t>2910</t>
  </si>
  <si>
    <t>17:40:00</t>
  </si>
  <si>
    <t>2911</t>
  </si>
  <si>
    <t>18:10:00</t>
  </si>
  <si>
    <t>2912</t>
  </si>
  <si>
    <t>00:59:58</t>
  </si>
  <si>
    <t>01:09:53</t>
  </si>
  <si>
    <t>2913</t>
  </si>
  <si>
    <t>01:00:44</t>
  </si>
  <si>
    <t>01:15:31</t>
  </si>
  <si>
    <t>2914</t>
  </si>
  <si>
    <t>01:20:38</t>
  </si>
  <si>
    <t>2915</t>
  </si>
  <si>
    <t>01:28:36</t>
  </si>
  <si>
    <t>2916</t>
  </si>
  <si>
    <t>01:04:28</t>
  </si>
  <si>
    <t>01:33:21</t>
  </si>
  <si>
    <t>2917</t>
  </si>
  <si>
    <t>01:05:32</t>
  </si>
  <si>
    <t>01:49:15</t>
  </si>
  <si>
    <t>2918</t>
  </si>
  <si>
    <t>01:08:19</t>
  </si>
  <si>
    <t>01:37:32</t>
  </si>
  <si>
    <t>2919</t>
  </si>
  <si>
    <t>01:10:54</t>
  </si>
  <si>
    <t>01:46:12</t>
  </si>
  <si>
    <t>2920</t>
  </si>
  <si>
    <t>01:12:59</t>
  </si>
  <si>
    <t>01:54:39</t>
  </si>
  <si>
    <t>2921</t>
  </si>
  <si>
    <t>01:14:16</t>
  </si>
  <si>
    <t>02:01:21</t>
  </si>
  <si>
    <t>2922</t>
  </si>
  <si>
    <t>01:26:37</t>
  </si>
  <si>
    <t>02:05:12</t>
  </si>
  <si>
    <t>2923</t>
  </si>
  <si>
    <t>01:45:14</t>
  </si>
  <si>
    <t>02:13:11</t>
  </si>
  <si>
    <t>2924</t>
  </si>
  <si>
    <t>02:17:16</t>
  </si>
  <si>
    <t>2925</t>
  </si>
  <si>
    <t>02:24:13</t>
  </si>
  <si>
    <t>02:37:32</t>
  </si>
  <si>
    <t>2926</t>
  </si>
  <si>
    <t>02:42:27</t>
  </si>
  <si>
    <t>2927</t>
  </si>
  <si>
    <t>03:19:24</t>
  </si>
  <si>
    <t>03:29:49</t>
  </si>
  <si>
    <t>2928</t>
  </si>
  <si>
    <t>03:34:49</t>
  </si>
  <si>
    <t>03:44:24</t>
  </si>
  <si>
    <t>2929</t>
  </si>
  <si>
    <t>03:40:10</t>
  </si>
  <si>
    <t>03:52:00</t>
  </si>
  <si>
    <t>2930</t>
  </si>
  <si>
    <t>03:48:03</t>
  </si>
  <si>
    <t>03:57:19</t>
  </si>
  <si>
    <t>2931</t>
  </si>
  <si>
    <t>03:59:35</t>
  </si>
  <si>
    <t>04:14:18</t>
  </si>
  <si>
    <t>2932</t>
  </si>
  <si>
    <t>04:10:53</t>
  </si>
  <si>
    <t>04:20:41</t>
  </si>
  <si>
    <t>2933</t>
  </si>
  <si>
    <t>04:22:22</t>
  </si>
  <si>
    <t>04:33:53</t>
  </si>
  <si>
    <t>2934</t>
  </si>
  <si>
    <t>04:31:05</t>
  </si>
  <si>
    <t>04:45:09</t>
  </si>
  <si>
    <t>2935</t>
  </si>
  <si>
    <t>04:47:28</t>
  </si>
  <si>
    <t>04:58:55</t>
  </si>
  <si>
    <t>2936</t>
  </si>
  <si>
    <t>04:51:36</t>
  </si>
  <si>
    <t>05:03:28</t>
  </si>
  <si>
    <t>2937</t>
  </si>
  <si>
    <t>05:05:38</t>
  </si>
  <si>
    <t>05:18:24</t>
  </si>
  <si>
    <t>2938</t>
  </si>
  <si>
    <t>05:16:53</t>
  </si>
  <si>
    <t>05:26:51</t>
  </si>
  <si>
    <t>2939</t>
  </si>
  <si>
    <t>05:46:17</t>
  </si>
  <si>
    <t>2940</t>
  </si>
  <si>
    <t>06:07:31</t>
  </si>
  <si>
    <t>2941</t>
  </si>
  <si>
    <t>05:41:03</t>
  </si>
  <si>
    <t>05:56:06</t>
  </si>
  <si>
    <t>2942</t>
  </si>
  <si>
    <t>05:56:58</t>
  </si>
  <si>
    <t>06:10:22</t>
  </si>
  <si>
    <t>2943</t>
  </si>
  <si>
    <t>06:11:10</t>
  </si>
  <si>
    <t>06:22:10</t>
  </si>
  <si>
    <t>2944</t>
  </si>
  <si>
    <t>06:29:08</t>
  </si>
  <si>
    <t>06:40:22</t>
  </si>
  <si>
    <t>2945</t>
  </si>
  <si>
    <t>06:30:17</t>
  </si>
  <si>
    <t>06:45:35</t>
  </si>
  <si>
    <t>2946</t>
  </si>
  <si>
    <t>06:47:34</t>
  </si>
  <si>
    <t>07:01:39</t>
  </si>
  <si>
    <t>2947</t>
  </si>
  <si>
    <t>07:02:31</t>
  </si>
  <si>
    <t>07:13:19</t>
  </si>
  <si>
    <t>2948</t>
  </si>
  <si>
    <t>07:11:20</t>
  </si>
  <si>
    <t>07:22:54</t>
  </si>
  <si>
    <t>2949</t>
  </si>
  <si>
    <t>07:42:33</t>
  </si>
  <si>
    <t>2950</t>
  </si>
  <si>
    <t>07:45:17</t>
  </si>
  <si>
    <t>08:00:44</t>
  </si>
  <si>
    <t>2951</t>
  </si>
  <si>
    <t>07:56:14</t>
  </si>
  <si>
    <t>08:10:00</t>
  </si>
  <si>
    <t>2952</t>
  </si>
  <si>
    <t>08:24:22</t>
  </si>
  <si>
    <t>08:37:16</t>
  </si>
  <si>
    <t>2953</t>
  </si>
  <si>
    <t>08:41:12</t>
  </si>
  <si>
    <t>08:59:13</t>
  </si>
  <si>
    <t>2954</t>
  </si>
  <si>
    <t>08:49:28</t>
  </si>
  <si>
    <t>09:02:30</t>
  </si>
  <si>
    <t>2955</t>
  </si>
  <si>
    <t>08:59:45</t>
  </si>
  <si>
    <t>09:10:49</t>
  </si>
  <si>
    <t>2956</t>
  </si>
  <si>
    <t>09:11:51</t>
  </si>
  <si>
    <t>09:33:38</t>
  </si>
  <si>
    <t>2957</t>
  </si>
  <si>
    <t>09:30:37</t>
  </si>
  <si>
    <t>09:56:10</t>
  </si>
  <si>
    <t>2958</t>
  </si>
  <si>
    <t>09:47:27</t>
  </si>
  <si>
    <t>09:59:03</t>
  </si>
  <si>
    <t>2959</t>
  </si>
  <si>
    <t>09:50:57</t>
  </si>
  <si>
    <t>10:04:04</t>
  </si>
  <si>
    <t>2960</t>
  </si>
  <si>
    <t>10:07:00</t>
  </si>
  <si>
    <t>10:17:36</t>
  </si>
  <si>
    <t>2961</t>
  </si>
  <si>
    <t>10:23:17</t>
  </si>
  <si>
    <t>10:36:44</t>
  </si>
  <si>
    <t>2962</t>
  </si>
  <si>
    <t>10:52:22</t>
  </si>
  <si>
    <t>11:16:49</t>
  </si>
  <si>
    <t>2963</t>
  </si>
  <si>
    <t>11:07:53</t>
  </si>
  <si>
    <t>11:27:13</t>
  </si>
  <si>
    <t>2964</t>
  </si>
  <si>
    <t>11:21:27</t>
  </si>
  <si>
    <t>11:33:31</t>
  </si>
  <si>
    <t>2965</t>
  </si>
  <si>
    <t>11:31:32</t>
  </si>
  <si>
    <t>11:42:25</t>
  </si>
  <si>
    <t>2966</t>
  </si>
  <si>
    <t>11:43:30</t>
  </si>
  <si>
    <t>11:54:58</t>
  </si>
  <si>
    <t>2967</t>
  </si>
  <si>
    <t>11:49:04</t>
  </si>
  <si>
    <t>12:03:29</t>
  </si>
  <si>
    <t>2968</t>
  </si>
  <si>
    <t>11:57:38</t>
  </si>
  <si>
    <t>12:53:32</t>
  </si>
  <si>
    <t>2969</t>
  </si>
  <si>
    <t>12:28:17</t>
  </si>
  <si>
    <t>12:58:37</t>
  </si>
  <si>
    <t>2970</t>
  </si>
  <si>
    <t>12:41:28</t>
  </si>
  <si>
    <t>13:05:06</t>
  </si>
  <si>
    <t>2971</t>
  </si>
  <si>
    <t>12:50:47</t>
  </si>
  <si>
    <t>13:12:22</t>
  </si>
  <si>
    <t>2972</t>
  </si>
  <si>
    <t>13:10:02</t>
  </si>
  <si>
    <t>13:22:40</t>
  </si>
  <si>
    <t>2973</t>
  </si>
  <si>
    <t>13:32:26</t>
  </si>
  <si>
    <t>13:42:48</t>
  </si>
  <si>
    <t>2974</t>
  </si>
  <si>
    <t>13:40:51</t>
  </si>
  <si>
    <t>14:10:00</t>
  </si>
  <si>
    <t>2975</t>
  </si>
  <si>
    <t>13:51:02</t>
  </si>
  <si>
    <t>14:02:07</t>
  </si>
  <si>
    <t>2976</t>
  </si>
  <si>
    <t>14:05:06</t>
  </si>
  <si>
    <t>14:37:55</t>
  </si>
  <si>
    <t>2977</t>
  </si>
  <si>
    <t>14:35:02</t>
  </si>
  <si>
    <t>14:45:51</t>
  </si>
  <si>
    <t>2978</t>
  </si>
  <si>
    <t>14:50:54</t>
  </si>
  <si>
    <t>15:00:22</t>
  </si>
  <si>
    <t>2979</t>
  </si>
  <si>
    <t>15:04:16</t>
  </si>
  <si>
    <t>15:16:57</t>
  </si>
  <si>
    <t>2980</t>
  </si>
  <si>
    <t>15:19:22</t>
  </si>
  <si>
    <t>01:25:27</t>
  </si>
  <si>
    <t>2981</t>
  </si>
  <si>
    <t>15:55:31</t>
  </si>
  <si>
    <t>16:06:08</t>
  </si>
  <si>
    <t>2982</t>
  </si>
  <si>
    <t>16:10:43</t>
  </si>
  <si>
    <t>16:21:55</t>
  </si>
  <si>
    <t>2983</t>
  </si>
  <si>
    <t>16:41:34</t>
  </si>
  <si>
    <t>16:51:43</t>
  </si>
  <si>
    <t>2984</t>
  </si>
  <si>
    <t>17:12:41</t>
  </si>
  <si>
    <t>17:23:54</t>
  </si>
  <si>
    <t>2985</t>
  </si>
  <si>
    <t>18:16:58</t>
  </si>
  <si>
    <t>18:27:08</t>
  </si>
  <si>
    <t>2986</t>
  </si>
  <si>
    <t>18:28:27</t>
  </si>
  <si>
    <t>18:40:03</t>
  </si>
  <si>
    <t>2987</t>
  </si>
  <si>
    <t>18:38:20</t>
  </si>
  <si>
    <t>18:50:10</t>
  </si>
  <si>
    <t>2988</t>
  </si>
  <si>
    <t>18:51:15</t>
  </si>
  <si>
    <t>19:05:32</t>
  </si>
  <si>
    <t>2989</t>
  </si>
  <si>
    <t>18:56:51</t>
  </si>
  <si>
    <t>19:09:46</t>
  </si>
  <si>
    <t>2990</t>
  </si>
  <si>
    <t>19:37:54</t>
  </si>
  <si>
    <t>19:48:29</t>
  </si>
  <si>
    <t>2991</t>
  </si>
  <si>
    <t>15:39:00</t>
  </si>
  <si>
    <t>00:58:22</t>
  </si>
  <si>
    <t>01:11:35</t>
  </si>
  <si>
    <t>00:58:52</t>
  </si>
  <si>
    <t>01:17:24</t>
  </si>
  <si>
    <t>01:00:15</t>
  </si>
  <si>
    <t>01:25:41</t>
  </si>
  <si>
    <t>01:30:31</t>
  </si>
  <si>
    <t>01:04:02</t>
  </si>
  <si>
    <t>01:36:33</t>
  </si>
  <si>
    <t>2992</t>
  </si>
  <si>
    <t>01:05:30</t>
  </si>
  <si>
    <t>01:41:41</t>
  </si>
  <si>
    <t>2993</t>
  </si>
  <si>
    <t>01:06:46</t>
  </si>
  <si>
    <t>01:48:44</t>
  </si>
  <si>
    <t>2994</t>
  </si>
  <si>
    <t>01:08:30</t>
  </si>
  <si>
    <t>01:54:41</t>
  </si>
  <si>
    <t>2995</t>
  </si>
  <si>
    <t>02:01:33</t>
  </si>
  <si>
    <t>2996</t>
  </si>
  <si>
    <t>01:19:03</t>
  </si>
  <si>
    <t>02:07:31</t>
  </si>
  <si>
    <t>2997</t>
  </si>
  <si>
    <t>02:04:59</t>
  </si>
  <si>
    <t>02:19:05</t>
  </si>
  <si>
    <t>2998</t>
  </si>
  <si>
    <t>02:32:02</t>
  </si>
  <si>
    <t>2999</t>
  </si>
  <si>
    <t>02:11:37</t>
  </si>
  <si>
    <t>02:36:15</t>
  </si>
  <si>
    <t>3000</t>
  </si>
  <si>
    <t>02:28:40</t>
  </si>
  <si>
    <t>02:43:22</t>
  </si>
  <si>
    <t>3001</t>
  </si>
  <si>
    <t>02:29:43</t>
  </si>
  <si>
    <t>02:51:45</t>
  </si>
  <si>
    <t>3002</t>
  </si>
  <si>
    <t>03:25:02</t>
  </si>
  <si>
    <t>03:34:21</t>
  </si>
  <si>
    <t>3003</t>
  </si>
  <si>
    <t>03:38:45</t>
  </si>
  <si>
    <t>03:46:45</t>
  </si>
  <si>
    <t>3004</t>
  </si>
  <si>
    <t>03:52:37</t>
  </si>
  <si>
    <t>04:02:50</t>
  </si>
  <si>
    <t>3005</t>
  </si>
  <si>
    <t>04:17:33</t>
  </si>
  <si>
    <t>04:28:11</t>
  </si>
  <si>
    <t>3006</t>
  </si>
  <si>
    <t>04:21:44</t>
  </si>
  <si>
    <t>04:33:33</t>
  </si>
  <si>
    <t>3007</t>
  </si>
  <si>
    <t>04:26:47</t>
  </si>
  <si>
    <t>04:42:55</t>
  </si>
  <si>
    <t>3008</t>
  </si>
  <si>
    <t>04:37:50</t>
  </si>
  <si>
    <t>04:48:45</t>
  </si>
  <si>
    <t>3009</t>
  </si>
  <si>
    <t>04:46:57</t>
  </si>
  <si>
    <t>04:57:00</t>
  </si>
  <si>
    <t>3010</t>
  </si>
  <si>
    <t>04:53:29</t>
  </si>
  <si>
    <t>05:06:25</t>
  </si>
  <si>
    <t>3011</t>
  </si>
  <si>
    <t>05:13:08</t>
  </si>
  <si>
    <t>07:52:46</t>
  </si>
  <si>
    <t>3012</t>
  </si>
  <si>
    <t>05:18:43</t>
  </si>
  <si>
    <t>05:30:01</t>
  </si>
  <si>
    <t>3013</t>
  </si>
  <si>
    <t>05:31:08</t>
  </si>
  <si>
    <t>05:42:18</t>
  </si>
  <si>
    <t>3014</t>
  </si>
  <si>
    <t>05:51:23</t>
  </si>
  <si>
    <t>3015</t>
  </si>
  <si>
    <t>05:49:19</t>
  </si>
  <si>
    <t>06:37:44</t>
  </si>
  <si>
    <t>3016</t>
  </si>
  <si>
    <t>05:57:51</t>
  </si>
  <si>
    <t>06:45:15</t>
  </si>
  <si>
    <t>3017</t>
  </si>
  <si>
    <t>06:19:29</t>
  </si>
  <si>
    <t>06:50:43</t>
  </si>
  <si>
    <t>3018</t>
  </si>
  <si>
    <t>06:40:44</t>
  </si>
  <si>
    <t>06:56:39</t>
  </si>
  <si>
    <t>3019</t>
  </si>
  <si>
    <t>07:08:59</t>
  </si>
  <si>
    <t>07:21:40</t>
  </si>
  <si>
    <t>3020</t>
  </si>
  <si>
    <t>07:22:12</t>
  </si>
  <si>
    <t>07:31:50</t>
  </si>
  <si>
    <t>3021</t>
  </si>
  <si>
    <t>07:24:28</t>
  </si>
  <si>
    <t>07:37:45</t>
  </si>
  <si>
    <t>3022</t>
  </si>
  <si>
    <t>07:38:45</t>
  </si>
  <si>
    <t>07:48:00</t>
  </si>
  <si>
    <t>3023</t>
  </si>
  <si>
    <t>07:49:47</t>
  </si>
  <si>
    <t>08:00:14</t>
  </si>
  <si>
    <t>3024</t>
  </si>
  <si>
    <t>07:52:55</t>
  </si>
  <si>
    <t>08:06:34</t>
  </si>
  <si>
    <t>3025</t>
  </si>
  <si>
    <t>08:04:47</t>
  </si>
  <si>
    <t>08:13:48</t>
  </si>
  <si>
    <t>3026</t>
  </si>
  <si>
    <t>08:17:11</t>
  </si>
  <si>
    <t>08:26:33</t>
  </si>
  <si>
    <t>3027</t>
  </si>
  <si>
    <t>08:30:31</t>
  </si>
  <si>
    <t>08:40:10</t>
  </si>
  <si>
    <t>3028</t>
  </si>
  <si>
    <t>09:02:10</t>
  </si>
  <si>
    <t>09:12:19</t>
  </si>
  <si>
    <t>3029</t>
  </si>
  <si>
    <t>09:03:17</t>
  </si>
  <si>
    <t>09:18:45</t>
  </si>
  <si>
    <t>3030</t>
  </si>
  <si>
    <t>09:42:38</t>
  </si>
  <si>
    <t>3031</t>
  </si>
  <si>
    <t>09:39:01</t>
  </si>
  <si>
    <t>09:49:20</t>
  </si>
  <si>
    <t>3032</t>
  </si>
  <si>
    <t>09:50:40</t>
  </si>
  <si>
    <t>10:00:37</t>
  </si>
  <si>
    <t>3033</t>
  </si>
  <si>
    <t>10:12:38</t>
  </si>
  <si>
    <t>10:21:44</t>
  </si>
  <si>
    <t>3034</t>
  </si>
  <si>
    <t>10:13:31</t>
  </si>
  <si>
    <t>10:27:27</t>
  </si>
  <si>
    <t>3035</t>
  </si>
  <si>
    <t>10:22:37</t>
  </si>
  <si>
    <t>10:33:20</t>
  </si>
  <si>
    <t>3036</t>
  </si>
  <si>
    <t>10:34:16</t>
  </si>
  <si>
    <t>10:44:33</t>
  </si>
  <si>
    <t>3037</t>
  </si>
  <si>
    <t>10:48:03</t>
  </si>
  <si>
    <t>11:18:12</t>
  </si>
  <si>
    <t>3038</t>
  </si>
  <si>
    <t>10:54:17</t>
  </si>
  <si>
    <t>11:24:29</t>
  </si>
  <si>
    <t>3039</t>
  </si>
  <si>
    <t>11:03:28</t>
  </si>
  <si>
    <t>11:20:21</t>
  </si>
  <si>
    <t>3040</t>
  </si>
  <si>
    <t>11:21:04</t>
  </si>
  <si>
    <t>11:41:31</t>
  </si>
  <si>
    <t>3041</t>
  </si>
  <si>
    <t>11:23:20</t>
  </si>
  <si>
    <t>3042</t>
  </si>
  <si>
    <t>12:03:09</t>
  </si>
  <si>
    <t>15:16:27</t>
  </si>
  <si>
    <t>3043</t>
  </si>
  <si>
    <t>12:15:24</t>
  </si>
  <si>
    <t>12:26:21</t>
  </si>
  <si>
    <t>3044</t>
  </si>
  <si>
    <t>12:23:00</t>
  </si>
  <si>
    <t>12:34:10</t>
  </si>
  <si>
    <t>3045</t>
  </si>
  <si>
    <t>12:42:26</t>
  </si>
  <si>
    <t>12:53:53</t>
  </si>
  <si>
    <t>3046</t>
  </si>
  <si>
    <t>12:47:50</t>
  </si>
  <si>
    <t>13:01:23</t>
  </si>
  <si>
    <t>3047</t>
  </si>
  <si>
    <t>12:56:59</t>
  </si>
  <si>
    <t>13:06:43</t>
  </si>
  <si>
    <t>3048</t>
  </si>
  <si>
    <t>13:12:25</t>
  </si>
  <si>
    <t>3049</t>
  </si>
  <si>
    <t>13:15:59</t>
  </si>
  <si>
    <t>13:26:18</t>
  </si>
  <si>
    <t>3050</t>
  </si>
  <si>
    <t>13:27:48</t>
  </si>
  <si>
    <t>13:37:54</t>
  </si>
  <si>
    <t>3051</t>
  </si>
  <si>
    <t>13:36:09</t>
  </si>
  <si>
    <t>13:47:34</t>
  </si>
  <si>
    <t>3052</t>
  </si>
  <si>
    <t>14:03:24</t>
  </si>
  <si>
    <t>14:13:32</t>
  </si>
  <si>
    <t>3053</t>
  </si>
  <si>
    <t>14:09:56</t>
  </si>
  <si>
    <t>14:20:38</t>
  </si>
  <si>
    <t>3054</t>
  </si>
  <si>
    <t>14:21:17</t>
  </si>
  <si>
    <t>14:50:02</t>
  </si>
  <si>
    <t>3055</t>
  </si>
  <si>
    <t>14:57:35</t>
  </si>
  <si>
    <t>15:19:18</t>
  </si>
  <si>
    <t>3056</t>
  </si>
  <si>
    <t>15:05:45</t>
  </si>
  <si>
    <t>15:16:40</t>
  </si>
  <si>
    <t>3057</t>
  </si>
  <si>
    <t>15:17:34</t>
  </si>
  <si>
    <t>15:37:32</t>
  </si>
  <si>
    <t>3058</t>
  </si>
  <si>
    <t>15:40:21</t>
  </si>
  <si>
    <t>15:53:59</t>
  </si>
  <si>
    <t>3059</t>
  </si>
  <si>
    <t>15:47:44</t>
  </si>
  <si>
    <t>15:59:08</t>
  </si>
  <si>
    <t>3060</t>
  </si>
  <si>
    <t>15:56:04</t>
  </si>
  <si>
    <t>16:07:46</t>
  </si>
  <si>
    <t>3061</t>
  </si>
  <si>
    <t>16:05:29</t>
  </si>
  <si>
    <t>01:24:30</t>
  </si>
  <si>
    <t>3062</t>
  </si>
  <si>
    <t>16:24:06</t>
  </si>
  <si>
    <t>3063</t>
  </si>
  <si>
    <t>16:42:07</t>
  </si>
  <si>
    <t>16:54:49</t>
  </si>
  <si>
    <t>3064</t>
  </si>
  <si>
    <t>17:06:25</t>
  </si>
  <si>
    <t>17:18:11</t>
  </si>
  <si>
    <t>3065</t>
  </si>
  <si>
    <t>17:15:01</t>
  </si>
  <si>
    <t>17:26:45</t>
  </si>
  <si>
    <t>3066</t>
  </si>
  <si>
    <t>17:46:54</t>
  </si>
  <si>
    <t>18:14:48</t>
  </si>
  <si>
    <t>3067</t>
  </si>
  <si>
    <t>18:20:34</t>
  </si>
  <si>
    <t>18:32:51</t>
  </si>
  <si>
    <t>3068</t>
  </si>
  <si>
    <t>18:22:40</t>
  </si>
  <si>
    <t>18:42:01</t>
  </si>
  <si>
    <t>Grand Total</t>
  </si>
  <si>
    <t>Quế Sơn Trung, ngày 02 tháng 07 năm 2026</t>
  </si>
  <si>
    <t xml:space="preserve">BẢNG KÊ CHI TIẾT KHỐI LƯỢNG VẬN CHUYỂN DĂM GỖ
( Vận chuyển từ ngày 19/06/2026 đến ngày 30/06/2026 )
 </t>
  </si>
  <si>
    <t>BẢNG KÊ GIAO NHẬN DẦU TẠI KHO NM QUẾ SƠN</t>
  </si>
  <si>
    <t>15:44:09</t>
  </si>
  <si>
    <t>07:14:45</t>
  </si>
  <si>
    <t>01:10:06</t>
  </si>
  <si>
    <t>05:01:48</t>
  </si>
  <si>
    <t>04:22:12</t>
  </si>
  <si>
    <t>18:58:01</t>
  </si>
  <si>
    <t>07:58:54</t>
  </si>
  <si>
    <t>08:02:08</t>
  </si>
  <si>
    <t>05:12:37</t>
  </si>
  <si>
    <t>01:26:26</t>
  </si>
  <si>
    <t>14:22:34</t>
  </si>
  <si>
    <t>18:04:57</t>
  </si>
  <si>
    <t>07:24:12</t>
  </si>
  <si>
    <t>05:48:56</t>
  </si>
  <si>
    <t>01:49:17</t>
  </si>
  <si>
    <t>13:47:24</t>
  </si>
  <si>
    <t>01:08:16</t>
  </si>
  <si>
    <t>01:12:55</t>
  </si>
  <si>
    <t>DN_43H01068</t>
  </si>
  <si>
    <t>DH_92H00192</t>
  </si>
  <si>
    <t>QC_92H00893</t>
  </si>
  <si>
    <t>DN_43H01021</t>
  </si>
  <si>
    <t>DN_43H01080</t>
  </si>
  <si>
    <t>QC_92H00834</t>
  </si>
  <si>
    <t>DH_92H00057</t>
  </si>
  <si>
    <t>DN_43H01098</t>
  </si>
  <si>
    <t>BSX</t>
  </si>
  <si>
    <t>SỐ CHUYẾN</t>
  </si>
  <si>
    <t>4149</t>
  </si>
  <si>
    <t>05:25:38</t>
  </si>
  <si>
    <t>05:46:57</t>
  </si>
  <si>
    <t>4150</t>
  </si>
  <si>
    <t>05:30:39</t>
  </si>
  <si>
    <t>05:53:35</t>
  </si>
  <si>
    <t>4151</t>
  </si>
  <si>
    <t>05:39:22</t>
  </si>
  <si>
    <t>05:59:34</t>
  </si>
  <si>
    <t>4152</t>
  </si>
  <si>
    <t>05:47:55</t>
  </si>
  <si>
    <t>06:07:41</t>
  </si>
  <si>
    <t>4153</t>
  </si>
  <si>
    <t>05:49:13</t>
  </si>
  <si>
    <t>06:12:43</t>
  </si>
  <si>
    <t>4154</t>
  </si>
  <si>
    <t>05:50:26</t>
  </si>
  <si>
    <t>06:17:57</t>
  </si>
  <si>
    <t>4155</t>
  </si>
  <si>
    <t>05:52:24</t>
  </si>
  <si>
    <t>06:25:03</t>
  </si>
  <si>
    <t>4156</t>
  </si>
  <si>
    <t>05:54:57</t>
  </si>
  <si>
    <t>06:31:40</t>
  </si>
  <si>
    <t>4157</t>
  </si>
  <si>
    <t>06:19:07</t>
  </si>
  <si>
    <t>06:40:07</t>
  </si>
  <si>
    <t>4158</t>
  </si>
  <si>
    <t>06:27:56</t>
  </si>
  <si>
    <t>06:46:49</t>
  </si>
  <si>
    <t>4159</t>
  </si>
  <si>
    <t>06:44:50</t>
  </si>
  <si>
    <t>06:55:30</t>
  </si>
  <si>
    <t>4160</t>
  </si>
  <si>
    <t>07:14:53</t>
  </si>
  <si>
    <t>07:34:14</t>
  </si>
  <si>
    <t>4161</t>
  </si>
  <si>
    <t>09:08:54</t>
  </si>
  <si>
    <t>09:21:43</t>
  </si>
  <si>
    <t>4162</t>
  </si>
  <si>
    <t>09:16:23</t>
  </si>
  <si>
    <t>09:29:01</t>
  </si>
  <si>
    <t>4163</t>
  </si>
  <si>
    <t>09:22:42</t>
  </si>
  <si>
    <t>09:36:29</t>
  </si>
  <si>
    <t>4164</t>
  </si>
  <si>
    <t>09:39:28</t>
  </si>
  <si>
    <t>09:51:03</t>
  </si>
  <si>
    <t>4165</t>
  </si>
  <si>
    <t>09:42:25</t>
  </si>
  <si>
    <t>09:57:39</t>
  </si>
  <si>
    <t>4166</t>
  </si>
  <si>
    <t>10:03:32</t>
  </si>
  <si>
    <t>10:14:05</t>
  </si>
  <si>
    <t>4167</t>
  </si>
  <si>
    <t>10:09:08</t>
  </si>
  <si>
    <t>10:23:04</t>
  </si>
  <si>
    <t>4168</t>
  </si>
  <si>
    <t>10:15:07</t>
  </si>
  <si>
    <t>10:30:19</t>
  </si>
  <si>
    <t>4169</t>
  </si>
  <si>
    <t>10:32:23</t>
  </si>
  <si>
    <t>10:52:09</t>
  </si>
  <si>
    <t>4170</t>
  </si>
  <si>
    <t>10:38:41</t>
  </si>
  <si>
    <t>11:21:26</t>
  </si>
  <si>
    <t>4171</t>
  </si>
  <si>
    <t>4172</t>
  </si>
  <si>
    <t>12:15:59</t>
  </si>
  <si>
    <t>12:28:27</t>
  </si>
  <si>
    <t>4173</t>
  </si>
  <si>
    <t>12:29:21</t>
  </si>
  <si>
    <t>12:39:36</t>
  </si>
  <si>
    <t>4174</t>
  </si>
  <si>
    <t>13:23:20</t>
  </si>
  <si>
    <t>4175</t>
  </si>
  <si>
    <t>13:13:50</t>
  </si>
  <si>
    <t>13:29:15</t>
  </si>
  <si>
    <t>4176</t>
  </si>
  <si>
    <t>13:19:12</t>
  </si>
  <si>
    <t>13:35:35</t>
  </si>
  <si>
    <t>4177</t>
  </si>
  <si>
    <t>13:21:15</t>
  </si>
  <si>
    <t>4178</t>
  </si>
  <si>
    <t>13:30:50</t>
  </si>
  <si>
    <t>13:43:15</t>
  </si>
  <si>
    <t>4179</t>
  </si>
  <si>
    <t>13:45:56</t>
  </si>
  <si>
    <t>13:56:56</t>
  </si>
  <si>
    <t>4180</t>
  </si>
  <si>
    <t>18:23:09</t>
  </si>
  <si>
    <t>4181</t>
  </si>
  <si>
    <t>14:53:17</t>
  </si>
  <si>
    <t>4182</t>
  </si>
  <si>
    <t>15:22:48</t>
  </si>
  <si>
    <t>4183</t>
  </si>
  <si>
    <t>15:34:36</t>
  </si>
  <si>
    <t>15:51:49</t>
  </si>
  <si>
    <t>4184</t>
  </si>
  <si>
    <t>16:16:15</t>
  </si>
  <si>
    <t>16:32:57</t>
  </si>
  <si>
    <t>4185</t>
  </si>
  <si>
    <t>16:33:51</t>
  </si>
  <si>
    <t>16:48:23</t>
  </si>
  <si>
    <t>4186</t>
  </si>
  <si>
    <t>16:38:03</t>
  </si>
  <si>
    <t>16:56:06</t>
  </si>
  <si>
    <t>4187</t>
  </si>
  <si>
    <t>16:54:43</t>
  </si>
  <si>
    <t>17:07:57</t>
  </si>
  <si>
    <t>4188</t>
  </si>
  <si>
    <t>17:09:07</t>
  </si>
  <si>
    <t>17:21:31</t>
  </si>
  <si>
    <t>4189</t>
  </si>
  <si>
    <t>17:15:45</t>
  </si>
  <si>
    <t>17:27:04</t>
  </si>
  <si>
    <t>4190</t>
  </si>
  <si>
    <t>17:31:55</t>
  </si>
  <si>
    <t>17:44:08</t>
  </si>
  <si>
    <t>4191</t>
  </si>
  <si>
    <t>17:58:45</t>
  </si>
  <si>
    <t>18:13:10</t>
  </si>
  <si>
    <t>4192</t>
  </si>
  <si>
    <t>18:07:28</t>
  </si>
  <si>
    <t>18:22:43</t>
  </si>
  <si>
    <t>4193</t>
  </si>
  <si>
    <t>01:18:51</t>
  </si>
  <si>
    <t>4194</t>
  </si>
  <si>
    <t>01:01:38</t>
  </si>
  <si>
    <t>01:27:00</t>
  </si>
  <si>
    <t>4195</t>
  </si>
  <si>
    <t>01:06:32</t>
  </si>
  <si>
    <t>01:32:47</t>
  </si>
  <si>
    <t>4196</t>
  </si>
  <si>
    <t>01:07:52</t>
  </si>
  <si>
    <t>4197</t>
  </si>
  <si>
    <t>01:09:45</t>
  </si>
  <si>
    <t>01:45:46</t>
  </si>
  <si>
    <t>4198</t>
  </si>
  <si>
    <t>01:11:46</t>
  </si>
  <si>
    <t>01:52:49</t>
  </si>
  <si>
    <t>4199</t>
  </si>
  <si>
    <t>02:05:46</t>
  </si>
  <si>
    <t>4200</t>
  </si>
  <si>
    <t>01:59:59</t>
  </si>
  <si>
    <t>4201</t>
  </si>
  <si>
    <t>01:16:17</t>
  </si>
  <si>
    <t>02:13:02</t>
  </si>
  <si>
    <t>4202</t>
  </si>
  <si>
    <t>01:58:01</t>
  </si>
  <si>
    <t>02:18:49</t>
  </si>
  <si>
    <t>4203</t>
  </si>
  <si>
    <t>02:19:55</t>
  </si>
  <si>
    <t>02:32:01</t>
  </si>
  <si>
    <t>4204</t>
  </si>
  <si>
    <t>02:34:40</t>
  </si>
  <si>
    <t>02:52:23</t>
  </si>
  <si>
    <t>4205</t>
  </si>
  <si>
    <t>03:48:34</t>
  </si>
  <si>
    <t>04:00:56</t>
  </si>
  <si>
    <t>4206</t>
  </si>
  <si>
    <t>03:53:17</t>
  </si>
  <si>
    <t>04:07:47</t>
  </si>
  <si>
    <t>4207</t>
  </si>
  <si>
    <t>04:10:30</t>
  </si>
  <si>
    <t>04:21:09</t>
  </si>
  <si>
    <t>4208</t>
  </si>
  <si>
    <t>04:37:25</t>
  </si>
  <si>
    <t>4209</t>
  </si>
  <si>
    <t>04:35:22</t>
  </si>
  <si>
    <t>04:46:35</t>
  </si>
  <si>
    <t>4210</t>
  </si>
  <si>
    <t>05:07:09</t>
  </si>
  <si>
    <t>4211</t>
  </si>
  <si>
    <t>04:55:14</t>
  </si>
  <si>
    <t>4212</t>
  </si>
  <si>
    <t>05:04:09</t>
  </si>
  <si>
    <t>05:21:55</t>
  </si>
  <si>
    <t>4213</t>
  </si>
  <si>
    <t>05:22:57</t>
  </si>
  <si>
    <t>05:37:34</t>
  </si>
  <si>
    <t>4214</t>
  </si>
  <si>
    <t>05:33:43</t>
  </si>
  <si>
    <t>05:44:48</t>
  </si>
  <si>
    <t>4215</t>
  </si>
  <si>
    <t>05:35:30</t>
  </si>
  <si>
    <t>05:49:56</t>
  </si>
  <si>
    <t>4216</t>
  </si>
  <si>
    <t>05:51:44</t>
  </si>
  <si>
    <t>06:05:43</t>
  </si>
  <si>
    <t>4217</t>
  </si>
  <si>
    <t>06:26:28</t>
  </si>
  <si>
    <t>06:37:31</t>
  </si>
  <si>
    <t>4218</t>
  </si>
  <si>
    <t>06:48:07</t>
  </si>
  <si>
    <t>07:06:58</t>
  </si>
  <si>
    <t>4219</t>
  </si>
  <si>
    <t>07:14:31</t>
  </si>
  <si>
    <t>07:25:17</t>
  </si>
  <si>
    <t>4220</t>
  </si>
  <si>
    <t>07:33:54</t>
  </si>
  <si>
    <t>07:45:59</t>
  </si>
  <si>
    <t>4221</t>
  </si>
  <si>
    <t>07:42:42</t>
  </si>
  <si>
    <t>07:53:30</t>
  </si>
  <si>
    <t>4222</t>
  </si>
  <si>
    <t>07:54:21</t>
  </si>
  <si>
    <t>08:03:20</t>
  </si>
  <si>
    <t>4223</t>
  </si>
  <si>
    <t>08:13:01</t>
  </si>
  <si>
    <t>08:24:05</t>
  </si>
  <si>
    <t>4224</t>
  </si>
  <si>
    <t>08:21:20</t>
  </si>
  <si>
    <t>4225</t>
  </si>
  <si>
    <t>08:29:18</t>
  </si>
  <si>
    <t>08:40:36</t>
  </si>
  <si>
    <t>4226</t>
  </si>
  <si>
    <t>08:49:01</t>
  </si>
  <si>
    <t>09:11:44</t>
  </si>
  <si>
    <t>4227</t>
  </si>
  <si>
    <t>08:50:08</t>
  </si>
  <si>
    <t>09:24:00</t>
  </si>
  <si>
    <t>4228</t>
  </si>
  <si>
    <t>09:05:06</t>
  </si>
  <si>
    <t>09:18:37</t>
  </si>
  <si>
    <t>4229</t>
  </si>
  <si>
    <t>09:31:55</t>
  </si>
  <si>
    <t>09:44:31</t>
  </si>
  <si>
    <t>4230</t>
  </si>
  <si>
    <t>10:21:40</t>
  </si>
  <si>
    <t>10:31:11</t>
  </si>
  <si>
    <t>4231</t>
  </si>
  <si>
    <t>10:41:44</t>
  </si>
  <si>
    <t>11:07:08</t>
  </si>
  <si>
    <t>4232</t>
  </si>
  <si>
    <t>10:46:15</t>
  </si>
  <si>
    <t>11:11:34</t>
  </si>
  <si>
    <t>4233</t>
  </si>
  <si>
    <t>10:52:52</t>
  </si>
  <si>
    <t>11:27:47</t>
  </si>
  <si>
    <t>4234</t>
  </si>
  <si>
    <t>11:00:11</t>
  </si>
  <si>
    <t>11:16:46</t>
  </si>
  <si>
    <t>4235</t>
  </si>
  <si>
    <t>11:25:09</t>
  </si>
  <si>
    <t>11:53:46</t>
  </si>
  <si>
    <t>4236</t>
  </si>
  <si>
    <t>11:33:30</t>
  </si>
  <si>
    <t>11:46:19</t>
  </si>
  <si>
    <t>4237</t>
  </si>
  <si>
    <t>12:09:07</t>
  </si>
  <si>
    <t>12:22:00</t>
  </si>
  <si>
    <t>4238</t>
  </si>
  <si>
    <t>12:14:39</t>
  </si>
  <si>
    <t>12:29:25</t>
  </si>
  <si>
    <t>4239</t>
  </si>
  <si>
    <t>12:36:01</t>
  </si>
  <si>
    <t>12:47:41</t>
  </si>
  <si>
    <t>4240</t>
  </si>
  <si>
    <t>12:36:52</t>
  </si>
  <si>
    <t>12:56:37</t>
  </si>
  <si>
    <t>4241</t>
  </si>
  <si>
    <t>13:22:35</t>
  </si>
  <si>
    <t>13:31:57</t>
  </si>
  <si>
    <t>4242</t>
  </si>
  <si>
    <t>13:59:02</t>
  </si>
  <si>
    <t>14:10:36</t>
  </si>
  <si>
    <t>4243</t>
  </si>
  <si>
    <t>14:12:14</t>
  </si>
  <si>
    <t>14:23:28</t>
  </si>
  <si>
    <t>4244</t>
  </si>
  <si>
    <t>14:16:42</t>
  </si>
  <si>
    <t>14:29:06</t>
  </si>
  <si>
    <t>4245</t>
  </si>
  <si>
    <t>14:32:24</t>
  </si>
  <si>
    <t>14:45:19</t>
  </si>
  <si>
    <t>4246</t>
  </si>
  <si>
    <t>4247</t>
  </si>
  <si>
    <t>14:43:35</t>
  </si>
  <si>
    <t>14:57:22</t>
  </si>
  <si>
    <t>4248</t>
  </si>
  <si>
    <t>15:30:28</t>
  </si>
  <si>
    <t>15:41:29</t>
  </si>
  <si>
    <t>4249</t>
  </si>
  <si>
    <t>15:35:02</t>
  </si>
  <si>
    <t>15:48:19</t>
  </si>
  <si>
    <t>4250</t>
  </si>
  <si>
    <t>15:36:38</t>
  </si>
  <si>
    <t>15:55:39</t>
  </si>
  <si>
    <t>4251</t>
  </si>
  <si>
    <t>16:23:52</t>
  </si>
  <si>
    <t>16:46:07</t>
  </si>
  <si>
    <t>4252</t>
  </si>
  <si>
    <t>17:10:28</t>
  </si>
  <si>
    <t>17:20:44</t>
  </si>
  <si>
    <t>4253</t>
  </si>
  <si>
    <t>17:13:44</t>
  </si>
  <si>
    <t>17:25:46</t>
  </si>
  <si>
    <t>4254</t>
  </si>
  <si>
    <t>17:31:00</t>
  </si>
  <si>
    <t>17:58:24</t>
  </si>
  <si>
    <t>4255</t>
  </si>
  <si>
    <t>17:42:19</t>
  </si>
  <si>
    <t>4256</t>
  </si>
  <si>
    <t>17:48:06</t>
  </si>
  <si>
    <t>18:10:21</t>
  </si>
  <si>
    <t>4257</t>
  </si>
  <si>
    <t>18:23:46</t>
  </si>
  <si>
    <t>18:37:45</t>
  </si>
  <si>
    <t>4258</t>
  </si>
  <si>
    <t>18:38:29</t>
  </si>
  <si>
    <t>18:51:16</t>
  </si>
  <si>
    <t>4259</t>
  </si>
  <si>
    <t>18:45:54</t>
  </si>
  <si>
    <t>4260</t>
  </si>
  <si>
    <t>01:00:19</t>
  </si>
  <si>
    <t>01:14:15</t>
  </si>
  <si>
    <t>4261</t>
  </si>
  <si>
    <t>01:02:19</t>
  </si>
  <si>
    <t>01:31:56</t>
  </si>
  <si>
    <t>4262</t>
  </si>
  <si>
    <t>01:04:00</t>
  </si>
  <si>
    <t>01:21:57</t>
  </si>
  <si>
    <t>4263</t>
  </si>
  <si>
    <t>01:07:26</t>
  </si>
  <si>
    <t>4264</t>
  </si>
  <si>
    <t>01:15:04</t>
  </si>
  <si>
    <t>01:40:39</t>
  </si>
  <si>
    <t>4265</t>
  </si>
  <si>
    <t>01:27:51</t>
  </si>
  <si>
    <t>01:47:24</t>
  </si>
  <si>
    <t>4266</t>
  </si>
  <si>
    <t>01:29:45</t>
  </si>
  <si>
    <t>01:53:41</t>
  </si>
  <si>
    <t>4267</t>
  </si>
  <si>
    <t>4268</t>
  </si>
  <si>
    <t>01:48:50</t>
  </si>
  <si>
    <t>02:06:58</t>
  </si>
  <si>
    <t>4269</t>
  </si>
  <si>
    <t>01:56:32</t>
  </si>
  <si>
    <t>02:13:56</t>
  </si>
  <si>
    <t>4270</t>
  </si>
  <si>
    <t>02:02:40</t>
  </si>
  <si>
    <t>02:20:02</t>
  </si>
  <si>
    <t>4271</t>
  </si>
  <si>
    <t>02:23:23</t>
  </si>
  <si>
    <t>02:37:02</t>
  </si>
  <si>
    <t>4272</t>
  </si>
  <si>
    <t>02:29:11</t>
  </si>
  <si>
    <t>02:43:01</t>
  </si>
  <si>
    <t>4273</t>
  </si>
  <si>
    <t>03:31:39</t>
  </si>
  <si>
    <t>03:44:25</t>
  </si>
  <si>
    <t>4274</t>
  </si>
  <si>
    <t>03:58:49</t>
  </si>
  <si>
    <t>04:12:35</t>
  </si>
  <si>
    <t>4275</t>
  </si>
  <si>
    <t>04:04:50</t>
  </si>
  <si>
    <t>4276</t>
  </si>
  <si>
    <t>04:18:29</t>
  </si>
  <si>
    <t>04:30:28</t>
  </si>
  <si>
    <t>4277</t>
  </si>
  <si>
    <t>04:37:58</t>
  </si>
  <si>
    <t>04:50:17</t>
  </si>
  <si>
    <t>4278</t>
  </si>
  <si>
    <t>04:41:39</t>
  </si>
  <si>
    <t>04:55:49</t>
  </si>
  <si>
    <t>4279</t>
  </si>
  <si>
    <t>05:12:34</t>
  </si>
  <si>
    <t>4280</t>
  </si>
  <si>
    <t>05:11:21</t>
  </si>
  <si>
    <t>4281</t>
  </si>
  <si>
    <t>05:17:37</t>
  </si>
  <si>
    <t>05:34:53</t>
  </si>
  <si>
    <t>4282</t>
  </si>
  <si>
    <t>05:19:06</t>
  </si>
  <si>
    <t>05:37:44</t>
  </si>
  <si>
    <t>4283</t>
  </si>
  <si>
    <t>05:23:16</t>
  </si>
  <si>
    <t>4284</t>
  </si>
  <si>
    <t>05:46:22</t>
  </si>
  <si>
    <t>05:58:53</t>
  </si>
  <si>
    <t>4285</t>
  </si>
  <si>
    <t>05:49:45</t>
  </si>
  <si>
    <t>06:05:35</t>
  </si>
  <si>
    <t>4286</t>
  </si>
  <si>
    <t>06:07:07</t>
  </si>
  <si>
    <t>06:17:27</t>
  </si>
  <si>
    <t>4287</t>
  </si>
  <si>
    <t>06:54:04</t>
  </si>
  <si>
    <t>07:07:08</t>
  </si>
  <si>
    <t>4288</t>
  </si>
  <si>
    <t>07:05:37</t>
  </si>
  <si>
    <t>07:27:07</t>
  </si>
  <si>
    <t>4289</t>
  </si>
  <si>
    <t>07:20:35</t>
  </si>
  <si>
    <t>07:44:59</t>
  </si>
  <si>
    <t>4290</t>
  </si>
  <si>
    <t>07:43:51</t>
  </si>
  <si>
    <t>07:54:51</t>
  </si>
  <si>
    <t>4291</t>
  </si>
  <si>
    <t>07:48:01</t>
  </si>
  <si>
    <t>4292</t>
  </si>
  <si>
    <t>08:14:00</t>
  </si>
  <si>
    <t>4293</t>
  </si>
  <si>
    <t>08:19:14</t>
  </si>
  <si>
    <t>08:30:42</t>
  </si>
  <si>
    <t>4294</t>
  </si>
  <si>
    <t>08:44:27</t>
  </si>
  <si>
    <t>08:56:20</t>
  </si>
  <si>
    <t>4295</t>
  </si>
  <si>
    <t>08:45:36</t>
  </si>
  <si>
    <t>09:12:52</t>
  </si>
  <si>
    <t>4296</t>
  </si>
  <si>
    <t>08:54:12</t>
  </si>
  <si>
    <t>09:05:12</t>
  </si>
  <si>
    <t>4297</t>
  </si>
  <si>
    <t>09:13:55</t>
  </si>
  <si>
    <t>09:24:21</t>
  </si>
  <si>
    <t>4298</t>
  </si>
  <si>
    <t>09:20:58</t>
  </si>
  <si>
    <t>09:34:36</t>
  </si>
  <si>
    <t>4299</t>
  </si>
  <si>
    <t>09:26:17</t>
  </si>
  <si>
    <t>09:46:50</t>
  </si>
  <si>
    <t>4300</t>
  </si>
  <si>
    <t>10:11:41</t>
  </si>
  <si>
    <t>10:23:23</t>
  </si>
  <si>
    <t>4301</t>
  </si>
  <si>
    <t>10:29:31</t>
  </si>
  <si>
    <t>10:41:13</t>
  </si>
  <si>
    <t>4302</t>
  </si>
  <si>
    <t>10:45:01</t>
  </si>
  <si>
    <t>11:07:27</t>
  </si>
  <si>
    <t>4303</t>
  </si>
  <si>
    <t>11:04:39</t>
  </si>
  <si>
    <t>11:20:43</t>
  </si>
  <si>
    <t>4304</t>
  </si>
  <si>
    <t>11:16:01</t>
  </si>
  <si>
    <t>11:27:38</t>
  </si>
  <si>
    <t>4305</t>
  </si>
  <si>
    <t>11:17:26</t>
  </si>
  <si>
    <t>11:32:27</t>
  </si>
  <si>
    <t>4306</t>
  </si>
  <si>
    <t>11:29:35</t>
  </si>
  <si>
    <t>11:41:27</t>
  </si>
  <si>
    <t>4307</t>
  </si>
  <si>
    <t>11:58:37</t>
  </si>
  <si>
    <t>12:26:34</t>
  </si>
  <si>
    <t>4308</t>
  </si>
  <si>
    <t>11:59:59</t>
  </si>
  <si>
    <t>12:15:51</t>
  </si>
  <si>
    <t>4309</t>
  </si>
  <si>
    <t>12:18:45</t>
  </si>
  <si>
    <t>12:31:49</t>
  </si>
  <si>
    <t>4310</t>
  </si>
  <si>
    <t>13:06:54</t>
  </si>
  <si>
    <t>4311</t>
  </si>
  <si>
    <t>12:59:05</t>
  </si>
  <si>
    <t>13:11:44</t>
  </si>
  <si>
    <t>4312</t>
  </si>
  <si>
    <t>13:24:11</t>
  </si>
  <si>
    <t>13:38:07</t>
  </si>
  <si>
    <t>4313</t>
  </si>
  <si>
    <t>13:30:06</t>
  </si>
  <si>
    <t>13:42:19</t>
  </si>
  <si>
    <t>4314</t>
  </si>
  <si>
    <t>13:59:42</t>
  </si>
  <si>
    <t>14:10:06</t>
  </si>
  <si>
    <t>4315</t>
  </si>
  <si>
    <t>14:35:14</t>
  </si>
  <si>
    <t>14:48:58</t>
  </si>
  <si>
    <t>4316</t>
  </si>
  <si>
    <t>14:36:32</t>
  </si>
  <si>
    <t>14:54:03</t>
  </si>
  <si>
    <t>4317</t>
  </si>
  <si>
    <t>14:46:28</t>
  </si>
  <si>
    <t>14:59:34</t>
  </si>
  <si>
    <t>4318</t>
  </si>
  <si>
    <t>15:06:18</t>
  </si>
  <si>
    <t>15:20:30</t>
  </si>
  <si>
    <t>4319</t>
  </si>
  <si>
    <t>15:07:06</t>
  </si>
  <si>
    <t>15:33:31</t>
  </si>
  <si>
    <t>4320</t>
  </si>
  <si>
    <t>15:21:14</t>
  </si>
  <si>
    <t>15:45:18</t>
  </si>
  <si>
    <t>4321</t>
  </si>
  <si>
    <t>15:43:33</t>
  </si>
  <si>
    <t>16:13:08</t>
  </si>
  <si>
    <t>4322</t>
  </si>
  <si>
    <t>15:46:04</t>
  </si>
  <si>
    <t>16:06:29</t>
  </si>
  <si>
    <t>4323</t>
  </si>
  <si>
    <t>16:17:10</t>
  </si>
  <si>
    <t>16:28:38</t>
  </si>
  <si>
    <t>4324</t>
  </si>
  <si>
    <t>16:40:09</t>
  </si>
  <si>
    <t>16:56:14</t>
  </si>
  <si>
    <t>4325</t>
  </si>
  <si>
    <t>16:47:24</t>
  </si>
  <si>
    <t>16:58:06</t>
  </si>
  <si>
    <t>4326</t>
  </si>
  <si>
    <t>17:00:14</t>
  </si>
  <si>
    <t>17:11:13</t>
  </si>
  <si>
    <t>4327</t>
  </si>
  <si>
    <t>17:38:32</t>
  </si>
  <si>
    <t>17:52:07</t>
  </si>
  <si>
    <t>4328</t>
  </si>
  <si>
    <t>18:02:38</t>
  </si>
  <si>
    <t>18:15:54</t>
  </si>
  <si>
    <t>4329</t>
  </si>
  <si>
    <t>18:07:48</t>
  </si>
  <si>
    <t>18:23:45</t>
  </si>
  <si>
    <t>4330</t>
  </si>
  <si>
    <t>18:08:55</t>
  </si>
  <si>
    <t>18:25:15</t>
  </si>
  <si>
    <t>4331</t>
  </si>
  <si>
    <t>18:43:22</t>
  </si>
  <si>
    <t>02:09:31</t>
  </si>
  <si>
    <t>4332</t>
  </si>
  <si>
    <t>19:16:29</t>
  </si>
  <si>
    <t>19:28:05</t>
  </si>
  <si>
    <t>4333</t>
  </si>
  <si>
    <t>19:44:51</t>
  </si>
  <si>
    <t>19:56:13</t>
  </si>
  <si>
    <t>4334</t>
  </si>
  <si>
    <t>01:00:17</t>
  </si>
  <si>
    <t>01:13:55</t>
  </si>
  <si>
    <t>4335</t>
  </si>
  <si>
    <t>01:02:14</t>
  </si>
  <si>
    <t>01:20:19</t>
  </si>
  <si>
    <t>4336</t>
  </si>
  <si>
    <t>01:03:43</t>
  </si>
  <si>
    <t>01:34:04</t>
  </si>
  <si>
    <t>4337</t>
  </si>
  <si>
    <t>01:05:13</t>
  </si>
  <si>
    <t>01:55:59</t>
  </si>
  <si>
    <t>4338</t>
  </si>
  <si>
    <t>01:06:39</t>
  </si>
  <si>
    <t>02:02:15</t>
  </si>
  <si>
    <t>4339</t>
  </si>
  <si>
    <t>01:47:28</t>
  </si>
  <si>
    <t>4340</t>
  </si>
  <si>
    <t>01:10:13</t>
  </si>
  <si>
    <t>01:27:30</t>
  </si>
  <si>
    <t>4341</t>
  </si>
  <si>
    <t>01:15:03</t>
  </si>
  <si>
    <t>02:09:42</t>
  </si>
  <si>
    <t>4342</t>
  </si>
  <si>
    <t>01:23:12</t>
  </si>
  <si>
    <t>01:41:34</t>
  </si>
  <si>
    <t>4343</t>
  </si>
  <si>
    <t>01:48:35</t>
  </si>
  <si>
    <t>02:17:48</t>
  </si>
  <si>
    <t>4344</t>
  </si>
  <si>
    <t>01:53:57</t>
  </si>
  <si>
    <t>02:26:18</t>
  </si>
  <si>
    <t>4345</t>
  </si>
  <si>
    <t>01:57:05</t>
  </si>
  <si>
    <t>02:32:17</t>
  </si>
  <si>
    <t>4346</t>
  </si>
  <si>
    <t>02:04:32</t>
  </si>
  <si>
    <t>02:39:54</t>
  </si>
  <si>
    <t>4347</t>
  </si>
  <si>
    <t>03:25:20</t>
  </si>
  <si>
    <t>03:38:31</t>
  </si>
  <si>
    <t>4348</t>
  </si>
  <si>
    <t>03:36:44</t>
  </si>
  <si>
    <t>03:48:12</t>
  </si>
  <si>
    <t>4349</t>
  </si>
  <si>
    <t>03:49:00</t>
  </si>
  <si>
    <t>03:59:52</t>
  </si>
  <si>
    <t>4350</t>
  </si>
  <si>
    <t>04:04:38</t>
  </si>
  <si>
    <t>04:16:27</t>
  </si>
  <si>
    <t>4351</t>
  </si>
  <si>
    <t>04:11:19</t>
  </si>
  <si>
    <t>04:23:46</t>
  </si>
  <si>
    <t>4352</t>
  </si>
  <si>
    <t>04:25:31</t>
  </si>
  <si>
    <t>04:37:37</t>
  </si>
  <si>
    <t>4353</t>
  </si>
  <si>
    <t>04:45:12</t>
  </si>
  <si>
    <t>04:59:28</t>
  </si>
  <si>
    <t>4354</t>
  </si>
  <si>
    <t>04:54:45</t>
  </si>
  <si>
    <t>05:05:52</t>
  </si>
  <si>
    <t>4355</t>
  </si>
  <si>
    <t>05:06:38</t>
  </si>
  <si>
    <t>05:17:32</t>
  </si>
  <si>
    <t>4356</t>
  </si>
  <si>
    <t>05:32:05</t>
  </si>
  <si>
    <t>05:52:01</t>
  </si>
  <si>
    <t>4357</t>
  </si>
  <si>
    <t>05:43:42</t>
  </si>
  <si>
    <t>05:55:53</t>
  </si>
  <si>
    <t>4358</t>
  </si>
  <si>
    <t>05:47:41</t>
  </si>
  <si>
    <t>06:01:11</t>
  </si>
  <si>
    <t>4359</t>
  </si>
  <si>
    <t>05:53:27</t>
  </si>
  <si>
    <t>06:07:58</t>
  </si>
  <si>
    <t>4360</t>
  </si>
  <si>
    <t>06:02:09</t>
  </si>
  <si>
    <t>06:16:58</t>
  </si>
  <si>
    <t>4361</t>
  </si>
  <si>
    <t>06:15:42</t>
  </si>
  <si>
    <t>06:29:23</t>
  </si>
  <si>
    <t>4362</t>
  </si>
  <si>
    <t>06:26:06</t>
  </si>
  <si>
    <t>06:36:16</t>
  </si>
  <si>
    <t>4363</t>
  </si>
  <si>
    <t>06:54:54</t>
  </si>
  <si>
    <t>07:05:42</t>
  </si>
  <si>
    <t>4364</t>
  </si>
  <si>
    <t>06:58:04</t>
  </si>
  <si>
    <t>4365</t>
  </si>
  <si>
    <t>07:24:09</t>
  </si>
  <si>
    <t>07:36:59</t>
  </si>
  <si>
    <t>4366</t>
  </si>
  <si>
    <t>07:46:58</t>
  </si>
  <si>
    <t>07:57:47</t>
  </si>
  <si>
    <t>4367</t>
  </si>
  <si>
    <t>08:01:17</t>
  </si>
  <si>
    <t>08:10:32</t>
  </si>
  <si>
    <t>4368</t>
  </si>
  <si>
    <t>08:16:38</t>
  </si>
  <si>
    <t>4369</t>
  </si>
  <si>
    <t>08:48:24</t>
  </si>
  <si>
    <t>09:00:59</t>
  </si>
  <si>
    <t>4370</t>
  </si>
  <si>
    <t>09:04:56</t>
  </si>
  <si>
    <t>09:18:10</t>
  </si>
  <si>
    <t>4371</t>
  </si>
  <si>
    <t>09:15:07</t>
  </si>
  <si>
    <t>09:26:04</t>
  </si>
  <si>
    <t>4372</t>
  </si>
  <si>
    <t>09:24:14</t>
  </si>
  <si>
    <t>09:34:24</t>
  </si>
  <si>
    <t>4373</t>
  </si>
  <si>
    <t>09:40:49</t>
  </si>
  <si>
    <t>09:53:34</t>
  </si>
  <si>
    <t>4374</t>
  </si>
  <si>
    <t>09:48:12</t>
  </si>
  <si>
    <t>09:58:29</t>
  </si>
  <si>
    <t>4375</t>
  </si>
  <si>
    <t>09:59:40</t>
  </si>
  <si>
    <t>10:10:28</t>
  </si>
  <si>
    <t>4376</t>
  </si>
  <si>
    <t>10:12:46</t>
  </si>
  <si>
    <t>10:30:47</t>
  </si>
  <si>
    <t>4377</t>
  </si>
  <si>
    <t>10:45:53</t>
  </si>
  <si>
    <t>11:00:54</t>
  </si>
  <si>
    <t>4378</t>
  </si>
  <si>
    <t>10:58:54</t>
  </si>
  <si>
    <t>11:11:20</t>
  </si>
  <si>
    <t>4379</t>
  </si>
  <si>
    <t>11:19:57</t>
  </si>
  <si>
    <t>14:52:49</t>
  </si>
  <si>
    <t>4380</t>
  </si>
  <si>
    <t>12:11:49</t>
  </si>
  <si>
    <t>12:22:58</t>
  </si>
  <si>
    <t>4381</t>
  </si>
  <si>
    <t>12:14:24</t>
  </si>
  <si>
    <t>12:34:05</t>
  </si>
  <si>
    <t>4382</t>
  </si>
  <si>
    <t>12:30:48</t>
  </si>
  <si>
    <t>12:41:39</t>
  </si>
  <si>
    <t>4383</t>
  </si>
  <si>
    <t>12:35:21</t>
  </si>
  <si>
    <t>12:50:48</t>
  </si>
  <si>
    <t>4384</t>
  </si>
  <si>
    <t>12:38:38</t>
  </si>
  <si>
    <t>12:58:15</t>
  </si>
  <si>
    <t>4385</t>
  </si>
  <si>
    <t>12:45:47</t>
  </si>
  <si>
    <t>13:02:37</t>
  </si>
  <si>
    <t>4386</t>
  </si>
  <si>
    <t>13:12:35</t>
  </si>
  <si>
    <t>13:23:54</t>
  </si>
  <si>
    <t>4387</t>
  </si>
  <si>
    <t>13:20:28</t>
  </si>
  <si>
    <t>13:31:45</t>
  </si>
  <si>
    <t>4388</t>
  </si>
  <si>
    <t>13:52:19</t>
  </si>
  <si>
    <t>14:03:29</t>
  </si>
  <si>
    <t>4389</t>
  </si>
  <si>
    <t>14:04:27</t>
  </si>
  <si>
    <t>14:17:29</t>
  </si>
  <si>
    <t>4390</t>
  </si>
  <si>
    <t>14:40:12</t>
  </si>
  <si>
    <t>14:52:59</t>
  </si>
  <si>
    <t>4391</t>
  </si>
  <si>
    <t>14:46:18</t>
  </si>
  <si>
    <t>14:58:42</t>
  </si>
  <si>
    <t>4392</t>
  </si>
  <si>
    <t>15:34:50</t>
  </si>
  <si>
    <t>18:50:31</t>
  </si>
  <si>
    <t>4393</t>
  </si>
  <si>
    <t>15:39:01</t>
  </si>
  <si>
    <t>18:45:10</t>
  </si>
  <si>
    <t>4394</t>
  </si>
  <si>
    <t>15:48:55</t>
  </si>
  <si>
    <t>16:03:04</t>
  </si>
  <si>
    <t>4395</t>
  </si>
  <si>
    <t>16:00:51</t>
  </si>
  <si>
    <t>16:13:14</t>
  </si>
  <si>
    <t>4396</t>
  </si>
  <si>
    <t>16:10:34</t>
  </si>
  <si>
    <t>16:21:45</t>
  </si>
  <si>
    <t>4397</t>
  </si>
  <si>
    <t>16:23:50</t>
  </si>
  <si>
    <t>16:40:43</t>
  </si>
  <si>
    <t>4398</t>
  </si>
  <si>
    <t>17:26:03</t>
  </si>
  <si>
    <t>17:39:15</t>
  </si>
  <si>
    <t>4399</t>
  </si>
  <si>
    <t>17:59:16</t>
  </si>
  <si>
    <t>18:11:04</t>
  </si>
  <si>
    <t>4400</t>
  </si>
  <si>
    <t>18:44:39</t>
  </si>
  <si>
    <t>18:56:38</t>
  </si>
  <si>
    <t>4401</t>
  </si>
  <si>
    <t>18:50:04</t>
  </si>
  <si>
    <t>19:01:47</t>
  </si>
  <si>
    <t>4402</t>
  </si>
  <si>
    <t>19:16:20</t>
  </si>
  <si>
    <t>19:27:51</t>
  </si>
  <si>
    <t>4403</t>
  </si>
  <si>
    <t>00:58:06</t>
  </si>
  <si>
    <t>4404</t>
  </si>
  <si>
    <t>00:59:28</t>
  </si>
  <si>
    <t>01:15:09</t>
  </si>
  <si>
    <t>4405</t>
  </si>
  <si>
    <t>01:00:54</t>
  </si>
  <si>
    <t>01:21:52</t>
  </si>
  <si>
    <t>4406</t>
  </si>
  <si>
    <t>01:02:23</t>
  </si>
  <si>
    <t>01:28:18</t>
  </si>
  <si>
    <t>4407</t>
  </si>
  <si>
    <t>01:03:40</t>
  </si>
  <si>
    <t>01:33:05</t>
  </si>
  <si>
    <t>4408</t>
  </si>
  <si>
    <t>01:08:10</t>
  </si>
  <si>
    <t>01:38:11</t>
  </si>
  <si>
    <t>4409</t>
  </si>
  <si>
    <t>01:45:07</t>
  </si>
  <si>
    <t>4410</t>
  </si>
  <si>
    <t>01:29:31</t>
  </si>
  <si>
    <t>4411</t>
  </si>
  <si>
    <t>01:43:32</t>
  </si>
  <si>
    <t>01:55:36</t>
  </si>
  <si>
    <t>4412</t>
  </si>
  <si>
    <t>02:03:55</t>
  </si>
  <si>
    <t>02:15:00</t>
  </si>
  <si>
    <t>4413</t>
  </si>
  <si>
    <t>02:05:20</t>
  </si>
  <si>
    <t>02:19:54</t>
  </si>
  <si>
    <t>4414</t>
  </si>
  <si>
    <t>02:18:01</t>
  </si>
  <si>
    <t>02:28:24</t>
  </si>
  <si>
    <t>4415</t>
  </si>
  <si>
    <t>02:33:44</t>
  </si>
  <si>
    <t>4416</t>
  </si>
  <si>
    <t>03:35:11</t>
  </si>
  <si>
    <t>03:46:29</t>
  </si>
  <si>
    <t>4417</t>
  </si>
  <si>
    <t>03:42:35</t>
  </si>
  <si>
    <t>03:53:10</t>
  </si>
  <si>
    <t>4418</t>
  </si>
  <si>
    <t>03:54:06</t>
  </si>
  <si>
    <t>4419</t>
  </si>
  <si>
    <t>04:12:57</t>
  </si>
  <si>
    <t>4420</t>
  </si>
  <si>
    <t>04:16:35</t>
  </si>
  <si>
    <t>04:29:54</t>
  </si>
  <si>
    <t>4421</t>
  </si>
  <si>
    <t>04:21:45</t>
  </si>
  <si>
    <t>04:34:44</t>
  </si>
  <si>
    <t>4422</t>
  </si>
  <si>
    <t>04:36:00</t>
  </si>
  <si>
    <t>4423</t>
  </si>
  <si>
    <t>04:44:18</t>
  </si>
  <si>
    <t>04:55:28</t>
  </si>
  <si>
    <t>4424</t>
  </si>
  <si>
    <t>04:53:12</t>
  </si>
  <si>
    <t>05:03:26</t>
  </si>
  <si>
    <t>4425</t>
  </si>
  <si>
    <t>05:07:33</t>
  </si>
  <si>
    <t>05:19:54</t>
  </si>
  <si>
    <t>4426</t>
  </si>
  <si>
    <t>05:18:23</t>
  </si>
  <si>
    <t>05:28:26</t>
  </si>
  <si>
    <t>4427</t>
  </si>
  <si>
    <t>05:35:58</t>
  </si>
  <si>
    <t>05:48:48</t>
  </si>
  <si>
    <t>4428</t>
  </si>
  <si>
    <t>05:49:29</t>
  </si>
  <si>
    <t>06:01:26</t>
  </si>
  <si>
    <t>4429</t>
  </si>
  <si>
    <t>06:28:28</t>
  </si>
  <si>
    <t>06:40:18</t>
  </si>
  <si>
    <t>4430</t>
  </si>
  <si>
    <t>06:37:09</t>
  </si>
  <si>
    <t>06:47:59</t>
  </si>
  <si>
    <t>4431</t>
  </si>
  <si>
    <t>07:02:08</t>
  </si>
  <si>
    <t>07:17:16</t>
  </si>
  <si>
    <t>4432</t>
  </si>
  <si>
    <t>07:06:55</t>
  </si>
  <si>
    <t>4433</t>
  </si>
  <si>
    <t>07:22:47</t>
  </si>
  <si>
    <t>07:34:07</t>
  </si>
  <si>
    <t>4434</t>
  </si>
  <si>
    <t>07:41:35</t>
  </si>
  <si>
    <t>4435</t>
  </si>
  <si>
    <t>07:35:41</t>
  </si>
  <si>
    <t>07:47:57</t>
  </si>
  <si>
    <t>4436</t>
  </si>
  <si>
    <t>07:45:06</t>
  </si>
  <si>
    <t>07:57:58</t>
  </si>
  <si>
    <t>4437</t>
  </si>
  <si>
    <t>08:15:50</t>
  </si>
  <si>
    <t>08:26:32</t>
  </si>
  <si>
    <t>4438</t>
  </si>
  <si>
    <t>08:33:23</t>
  </si>
  <si>
    <t>08:45:00</t>
  </si>
  <si>
    <t>4439</t>
  </si>
  <si>
    <t>08:48:37</t>
  </si>
  <si>
    <t>08:58:59</t>
  </si>
  <si>
    <t>4440</t>
  </si>
  <si>
    <t>08:59:51</t>
  </si>
  <si>
    <t>09:10:19</t>
  </si>
  <si>
    <t>4441</t>
  </si>
  <si>
    <t>10:08:18</t>
  </si>
  <si>
    <t>4442</t>
  </si>
  <si>
    <t>10:26:56</t>
  </si>
  <si>
    <t>10:40:00</t>
  </si>
  <si>
    <t>4443</t>
  </si>
  <si>
    <t>10:33:06</t>
  </si>
  <si>
    <t>11:02:11</t>
  </si>
  <si>
    <t>4444</t>
  </si>
  <si>
    <t>10:57:59</t>
  </si>
  <si>
    <t>11:09:00</t>
  </si>
  <si>
    <t>4445</t>
  </si>
  <si>
    <t>11:19:01</t>
  </si>
  <si>
    <t>11:43:45</t>
  </si>
  <si>
    <t>4446</t>
  </si>
  <si>
    <t>11:23:28</t>
  </si>
  <si>
    <t>11:50:15</t>
  </si>
  <si>
    <t>4447</t>
  </si>
  <si>
    <t>11:31:05</t>
  </si>
  <si>
    <t>11:54:24</t>
  </si>
  <si>
    <t>4448</t>
  </si>
  <si>
    <t>11:44:51</t>
  </si>
  <si>
    <t>12:01:46</t>
  </si>
  <si>
    <t>4449</t>
  </si>
  <si>
    <t>12:08:33</t>
  </si>
  <si>
    <t>12:20:26</t>
  </si>
  <si>
    <t>4450</t>
  </si>
  <si>
    <t>12:09:34</t>
  </si>
  <si>
    <t>12:23:09</t>
  </si>
  <si>
    <t>4451</t>
  </si>
  <si>
    <t>12:42:35</t>
  </si>
  <si>
    <t>4452</t>
  </si>
  <si>
    <t>13:00:20</t>
  </si>
  <si>
    <t>4453</t>
  </si>
  <si>
    <t>13:49:09</t>
  </si>
  <si>
    <t>14:04:22</t>
  </si>
  <si>
    <t>4454</t>
  </si>
  <si>
    <t>14:01:02</t>
  </si>
  <si>
    <t>14:39:13</t>
  </si>
  <si>
    <t>4455</t>
  </si>
  <si>
    <t>14:19:02</t>
  </si>
  <si>
    <t>14:45:11</t>
  </si>
  <si>
    <t>4456</t>
  </si>
  <si>
    <t>14:26:35</t>
  </si>
  <si>
    <t>14:51:36</t>
  </si>
  <si>
    <t>4457</t>
  </si>
  <si>
    <t>14:40:26</t>
  </si>
  <si>
    <t>14:55:19</t>
  </si>
  <si>
    <t>4458</t>
  </si>
  <si>
    <t>14:53:27</t>
  </si>
  <si>
    <t>15:24:39</t>
  </si>
  <si>
    <t>4459</t>
  </si>
  <si>
    <t>14:59:35</t>
  </si>
  <si>
    <t>15:11:05</t>
  </si>
  <si>
    <t>4460</t>
  </si>
  <si>
    <t>15:02:26</t>
  </si>
  <si>
    <t>15:15:44</t>
  </si>
  <si>
    <t>4461</t>
  </si>
  <si>
    <t>15:22:41</t>
  </si>
  <si>
    <t>15:34:46</t>
  </si>
  <si>
    <t>4462</t>
  </si>
  <si>
    <t>15:35:25</t>
  </si>
  <si>
    <t>15:45:26</t>
  </si>
  <si>
    <t>4463</t>
  </si>
  <si>
    <t>15:43:09</t>
  </si>
  <si>
    <t>15:54:37</t>
  </si>
  <si>
    <t>4464</t>
  </si>
  <si>
    <t>16:16:19</t>
  </si>
  <si>
    <t>16:27:11</t>
  </si>
  <si>
    <t>4465</t>
  </si>
  <si>
    <t>17:36:00</t>
  </si>
  <si>
    <t>17:47:08</t>
  </si>
  <si>
    <t>4466</t>
  </si>
  <si>
    <t>17:57:23</t>
  </si>
  <si>
    <t>4467</t>
  </si>
  <si>
    <t>18:09:52</t>
  </si>
  <si>
    <t>18:21:54</t>
  </si>
  <si>
    <t>4468</t>
  </si>
  <si>
    <t>18:50:36</t>
  </si>
  <si>
    <t>19:00:59</t>
  </si>
  <si>
    <t>4469</t>
  </si>
  <si>
    <t>19:08:32</t>
  </si>
  <si>
    <t>19:18:36</t>
  </si>
  <si>
    <t>11'40</t>
  </si>
  <si>
    <t>DH_92H00195</t>
  </si>
  <si>
    <t>Sum of KL hàng (KG)</t>
  </si>
  <si>
    <t>Quế Sơn Trung, ngày 03 tháng 08 năm 2026</t>
  </si>
  <si>
    <t xml:space="preserve">BẢNG KÊ CHI TIẾT KHỐI LƯỢNG VẬN CHUYỂN DĂM GỖ
( Vận chuyển từ ngày 27/07/2026 đến ngày 31/07/2026 )
 </t>
  </si>
  <si>
    <t>03:36:00</t>
  </si>
  <si>
    <t>03:12:50</t>
  </si>
  <si>
    <t>09:51:12</t>
  </si>
  <si>
    <t>11:46:21</t>
  </si>
  <si>
    <t>12:10:08</t>
  </si>
  <si>
    <t>Cước vận chuyển dăm gỗ từ NM dăm gỗ _Cụm Công Nghiệp Đông Phú , Xã Quế Sơn, TP Đà Nẵng đến NM dăm gỗ_Thửa đất số 1182, tờ bản đồ số 38, thôn Thạch Nham Tây, Xã Bà Nà, TP Đà Nẵng bằng xe thùng BKS : 43H-01055</t>
  </si>
  <si>
    <t>196</t>
  </si>
  <si>
    <t>05:14:29</t>
  </si>
  <si>
    <t>05:23:41</t>
  </si>
  <si>
    <t>XBUT</t>
  </si>
  <si>
    <t>198</t>
  </si>
  <si>
    <t>05:34:37</t>
  </si>
  <si>
    <t>05:44:58</t>
  </si>
  <si>
    <t>199</t>
  </si>
  <si>
    <t>05:38:26</t>
  </si>
  <si>
    <t>05:49:04</t>
  </si>
  <si>
    <t>200</t>
  </si>
  <si>
    <t>05:53:36</t>
  </si>
  <si>
    <t>06:02:49</t>
  </si>
  <si>
    <t>201</t>
  </si>
  <si>
    <t>06:12:05</t>
  </si>
  <si>
    <t>06:21:48</t>
  </si>
  <si>
    <t>202</t>
  </si>
  <si>
    <t>06:29:29</t>
  </si>
  <si>
    <t>06:44:15</t>
  </si>
  <si>
    <t>203</t>
  </si>
  <si>
    <t>06:30:55</t>
  </si>
  <si>
    <t>06:50:30</t>
  </si>
  <si>
    <t>204</t>
  </si>
  <si>
    <t>07:06:22</t>
  </si>
  <si>
    <t>07:14:57</t>
  </si>
  <si>
    <t>205</t>
  </si>
  <si>
    <t>07:10:09</t>
  </si>
  <si>
    <t>07:21:51</t>
  </si>
  <si>
    <t>206</t>
  </si>
  <si>
    <t>08:00:58</t>
  </si>
  <si>
    <t>08:12:43</t>
  </si>
  <si>
    <t>207</t>
  </si>
  <si>
    <t>08:11:53</t>
  </si>
  <si>
    <t>08:19:51</t>
  </si>
  <si>
    <t>208</t>
  </si>
  <si>
    <t>08:49:24</t>
  </si>
  <si>
    <t>08:59:47</t>
  </si>
  <si>
    <t>209</t>
  </si>
  <si>
    <t>08:54:19</t>
  </si>
  <si>
    <t>09:05:24</t>
  </si>
  <si>
    <t>210</t>
  </si>
  <si>
    <t>10:51:12</t>
  </si>
  <si>
    <t>11:15:34</t>
  </si>
  <si>
    <t>211</t>
  </si>
  <si>
    <t>10:56:40</t>
  </si>
  <si>
    <t>11:10:07</t>
  </si>
  <si>
    <t>212</t>
  </si>
  <si>
    <t>13:26:51</t>
  </si>
  <si>
    <t>13:37:27</t>
  </si>
  <si>
    <t>213</t>
  </si>
  <si>
    <t>19:22:16</t>
  </si>
  <si>
    <t>19:37:29</t>
  </si>
  <si>
    <t>214</t>
  </si>
  <si>
    <t>20:37:36</t>
  </si>
  <si>
    <t>20:47:29</t>
  </si>
  <si>
    <t>215</t>
  </si>
  <si>
    <t>20:41:14</t>
  </si>
  <si>
    <t>20:55:43</t>
  </si>
  <si>
    <t>216</t>
  </si>
  <si>
    <t>20:44:45</t>
  </si>
  <si>
    <t>21:04:34</t>
  </si>
  <si>
    <t>217</t>
  </si>
  <si>
    <t>20:49:52</t>
  </si>
  <si>
    <t>21:13:46</t>
  </si>
  <si>
    <t>218</t>
  </si>
  <si>
    <t>21:08:25</t>
  </si>
  <si>
    <t>21:15:45</t>
  </si>
  <si>
    <t>219</t>
  </si>
  <si>
    <t>21:14:41</t>
  </si>
  <si>
    <t>21:21:17</t>
  </si>
  <si>
    <t>220</t>
  </si>
  <si>
    <t>21:16:48</t>
  </si>
  <si>
    <t>21:27:59</t>
  </si>
  <si>
    <t>221</t>
  </si>
  <si>
    <t>21:18:54</t>
  </si>
  <si>
    <t>21:38:33</t>
  </si>
  <si>
    <t>222</t>
  </si>
  <si>
    <t>21:37:35</t>
  </si>
  <si>
    <t>21:45:13</t>
  </si>
  <si>
    <t>223</t>
  </si>
  <si>
    <t>21:39:55</t>
  </si>
  <si>
    <t>21:50:46</t>
  </si>
  <si>
    <t>224</t>
  </si>
  <si>
    <t>21:41:00</t>
  </si>
  <si>
    <t>21:57:30</t>
  </si>
  <si>
    <t>225</t>
  </si>
  <si>
    <t>21:56:32</t>
  </si>
  <si>
    <t>22:04:00</t>
  </si>
  <si>
    <t>226</t>
  </si>
  <si>
    <t>22:00:23</t>
  </si>
  <si>
    <t>22:09:54</t>
  </si>
  <si>
    <t>227</t>
  </si>
  <si>
    <t>22:07:04</t>
  </si>
  <si>
    <t>22:16:20</t>
  </si>
  <si>
    <t>228</t>
  </si>
  <si>
    <t>22:19:03</t>
  </si>
  <si>
    <t>22:30:23</t>
  </si>
  <si>
    <t>229</t>
  </si>
  <si>
    <t>23:28:02</t>
  </si>
  <si>
    <t>23:40:22</t>
  </si>
  <si>
    <t>230</t>
  </si>
  <si>
    <t>00:01:19</t>
  </si>
  <si>
    <t>00:09:22</t>
  </si>
  <si>
    <t>231</t>
  </si>
  <si>
    <t>00:22:39</t>
  </si>
  <si>
    <t>00:35:11</t>
  </si>
  <si>
    <t>232</t>
  </si>
  <si>
    <t>00:42:38</t>
  </si>
  <si>
    <t>00:51:38</t>
  </si>
  <si>
    <t>233</t>
  </si>
  <si>
    <t>00:45:21</t>
  </si>
  <si>
    <t>00:56:57</t>
  </si>
  <si>
    <t>234</t>
  </si>
  <si>
    <t>00:58:43</t>
  </si>
  <si>
    <t>01:06:49</t>
  </si>
  <si>
    <t>235</t>
  </si>
  <si>
    <t>01:03:28</t>
  </si>
  <si>
    <t>01:13:34</t>
  </si>
  <si>
    <t>236</t>
  </si>
  <si>
    <t>01:05:00</t>
  </si>
  <si>
    <t>01:19:11</t>
  </si>
  <si>
    <t>237</t>
  </si>
  <si>
    <t>01:11:36</t>
  </si>
  <si>
    <t>01:24:53</t>
  </si>
  <si>
    <t>238</t>
  </si>
  <si>
    <t>01:15:20</t>
  </si>
  <si>
    <t>01:34:02</t>
  </si>
  <si>
    <t>239</t>
  </si>
  <si>
    <t>01:38:25</t>
  </si>
  <si>
    <t>240</t>
  </si>
  <si>
    <t>01:26:32</t>
  </si>
  <si>
    <t>01:42:30</t>
  </si>
  <si>
    <t>241</t>
  </si>
  <si>
    <t>01:43:54</t>
  </si>
  <si>
    <t>01:51:48</t>
  </si>
  <si>
    <t>242</t>
  </si>
  <si>
    <t>02:06:42</t>
  </si>
  <si>
    <t>02:21:04</t>
  </si>
  <si>
    <t>243</t>
  </si>
  <si>
    <t>02:41:14</t>
  </si>
  <si>
    <t>02:49:20</t>
  </si>
  <si>
    <t>244</t>
  </si>
  <si>
    <t>02:46:59</t>
  </si>
  <si>
    <t>02:55:49</t>
  </si>
  <si>
    <t>245</t>
  </si>
  <si>
    <t>02:51:18</t>
  </si>
  <si>
    <t>03:11:11</t>
  </si>
  <si>
    <t>246</t>
  </si>
  <si>
    <t>04:08:59</t>
  </si>
  <si>
    <t>247</t>
  </si>
  <si>
    <t>04:15:24</t>
  </si>
  <si>
    <t>04:24:36</t>
  </si>
  <si>
    <t>248</t>
  </si>
  <si>
    <t>04:16:56</t>
  </si>
  <si>
    <t>04:30:07</t>
  </si>
  <si>
    <t>249</t>
  </si>
  <si>
    <t>04:48:43</t>
  </si>
  <si>
    <t>04:56:00</t>
  </si>
  <si>
    <t>250</t>
  </si>
  <si>
    <t>04:54:51</t>
  </si>
  <si>
    <t>05:19:48</t>
  </si>
  <si>
    <t>251</t>
  </si>
  <si>
    <t>05:13:44</t>
  </si>
  <si>
    <t>05:21:59</t>
  </si>
  <si>
    <t>252</t>
  </si>
  <si>
    <t>05:15:30</t>
  </si>
  <si>
    <t>05:26:57</t>
  </si>
  <si>
    <t>253</t>
  </si>
  <si>
    <t>05:33:06</t>
  </si>
  <si>
    <t>05:45:08</t>
  </si>
  <si>
    <t>254</t>
  </si>
  <si>
    <t>05:50:19</t>
  </si>
  <si>
    <t>255</t>
  </si>
  <si>
    <t>05:51:55</t>
  </si>
  <si>
    <t>05:58:49</t>
  </si>
  <si>
    <t>256</t>
  </si>
  <si>
    <t>05:52:32</t>
  </si>
  <si>
    <t>06:04:52</t>
  </si>
  <si>
    <t>257</t>
  </si>
  <si>
    <t>258</t>
  </si>
  <si>
    <t>06:55:31</t>
  </si>
  <si>
    <t>07:17:29</t>
  </si>
  <si>
    <t>259</t>
  </si>
  <si>
    <t>07:22:00</t>
  </si>
  <si>
    <t>07:29:29</t>
  </si>
  <si>
    <t>64</t>
  </si>
  <si>
    <t>260</t>
  </si>
  <si>
    <t>08:21:42</t>
  </si>
  <si>
    <t>08:28:24</t>
  </si>
  <si>
    <t>65</t>
  </si>
  <si>
    <t>261</t>
  </si>
  <si>
    <t>08:40:59</t>
  </si>
  <si>
    <t>08:48:20</t>
  </si>
  <si>
    <t>66</t>
  </si>
  <si>
    <t>262</t>
  </si>
  <si>
    <t>09:16:07</t>
  </si>
  <si>
    <t>09:24:49</t>
  </si>
  <si>
    <t>67</t>
  </si>
  <si>
    <t>263</t>
  </si>
  <si>
    <t>09:33:46</t>
  </si>
  <si>
    <t>09:50:34</t>
  </si>
  <si>
    <t>68</t>
  </si>
  <si>
    <t>264</t>
  </si>
  <si>
    <t>09:40:14</t>
  </si>
  <si>
    <t>09:46:23</t>
  </si>
  <si>
    <t>69</t>
  </si>
  <si>
    <t>265</t>
  </si>
  <si>
    <t>09:49:28</t>
  </si>
  <si>
    <t>09:55:32</t>
  </si>
  <si>
    <t>70</t>
  </si>
  <si>
    <t>266</t>
  </si>
  <si>
    <t>10:11:43</t>
  </si>
  <si>
    <t>10:20:26</t>
  </si>
  <si>
    <t>71</t>
  </si>
  <si>
    <t>267</t>
  </si>
  <si>
    <t>10:12:58</t>
  </si>
  <si>
    <t>10:25:22</t>
  </si>
  <si>
    <t>72</t>
  </si>
  <si>
    <t>268</t>
  </si>
  <si>
    <t>10:18:51</t>
  </si>
  <si>
    <t>10:27:16</t>
  </si>
  <si>
    <t>73</t>
  </si>
  <si>
    <t>269</t>
  </si>
  <si>
    <t>10:22:14</t>
  </si>
  <si>
    <t>10:31:21</t>
  </si>
  <si>
    <t>74</t>
  </si>
  <si>
    <t>270</t>
  </si>
  <si>
    <t>10:38:24</t>
  </si>
  <si>
    <t>10:47:20</t>
  </si>
  <si>
    <t>75</t>
  </si>
  <si>
    <t>271</t>
  </si>
  <si>
    <t>10:41:09</t>
  </si>
  <si>
    <t>10:50:14</t>
  </si>
  <si>
    <t>76</t>
  </si>
  <si>
    <t>272</t>
  </si>
  <si>
    <t>11:13:13</t>
  </si>
  <si>
    <t>12:54:09</t>
  </si>
  <si>
    <t>77</t>
  </si>
  <si>
    <t>273</t>
  </si>
  <si>
    <t>11:25:11</t>
  </si>
  <si>
    <t>11:58:43</t>
  </si>
  <si>
    <t>78</t>
  </si>
  <si>
    <t>274</t>
  </si>
  <si>
    <t>12:13:16</t>
  </si>
  <si>
    <t>79</t>
  </si>
  <si>
    <t>275</t>
  </si>
  <si>
    <t>11:37:21</t>
  </si>
  <si>
    <t>12:16:10</t>
  </si>
  <si>
    <t>80</t>
  </si>
  <si>
    <t>276</t>
  </si>
  <si>
    <t>12:39:34</t>
  </si>
  <si>
    <t>12:45:40</t>
  </si>
  <si>
    <t>81</t>
  </si>
  <si>
    <t>277</t>
  </si>
  <si>
    <t>12:43:29</t>
  </si>
  <si>
    <t>12:55:43</t>
  </si>
  <si>
    <t>82</t>
  </si>
  <si>
    <t>278</t>
  </si>
  <si>
    <t>13:51:49</t>
  </si>
  <si>
    <t>14:03:35</t>
  </si>
  <si>
    <t>83</t>
  </si>
  <si>
    <t>279</t>
  </si>
  <si>
    <t>14:39:16</t>
  </si>
  <si>
    <t>14:51:13</t>
  </si>
  <si>
    <t>84</t>
  </si>
  <si>
    <t>280</t>
  </si>
  <si>
    <t>14:39:52</t>
  </si>
  <si>
    <t>14:56:44</t>
  </si>
  <si>
    <t>85</t>
  </si>
  <si>
    <t>281</t>
  </si>
  <si>
    <t>14:41:53</t>
  </si>
  <si>
    <t>15:02:43</t>
  </si>
  <si>
    <t>86</t>
  </si>
  <si>
    <t>282</t>
  </si>
  <si>
    <t>14:49:54</t>
  </si>
  <si>
    <t>15:08:04</t>
  </si>
  <si>
    <t>87</t>
  </si>
  <si>
    <t>283</t>
  </si>
  <si>
    <t>14:54:19</t>
  </si>
  <si>
    <t>15:14:07</t>
  </si>
  <si>
    <t>88</t>
  </si>
  <si>
    <t>284</t>
  </si>
  <si>
    <t>14:55:17</t>
  </si>
  <si>
    <t>15:17:21</t>
  </si>
  <si>
    <t>89</t>
  </si>
  <si>
    <t>285</t>
  </si>
  <si>
    <t>15:50:58</t>
  </si>
  <si>
    <t>16:03:45</t>
  </si>
  <si>
    <t>90</t>
  </si>
  <si>
    <t>286</t>
  </si>
  <si>
    <t>16:01:54</t>
  </si>
  <si>
    <t>16:11:31</t>
  </si>
  <si>
    <t>91</t>
  </si>
  <si>
    <t>287</t>
  </si>
  <si>
    <t>16:02:34</t>
  </si>
  <si>
    <t>16:16:12</t>
  </si>
  <si>
    <t>92</t>
  </si>
  <si>
    <t>288</t>
  </si>
  <si>
    <t>16:08:17</t>
  </si>
  <si>
    <t>16:21:00</t>
  </si>
  <si>
    <t>93</t>
  </si>
  <si>
    <t>289</t>
  </si>
  <si>
    <t>16:34:56</t>
  </si>
  <si>
    <t>16:44:37</t>
  </si>
  <si>
    <t>94</t>
  </si>
  <si>
    <t>290</t>
  </si>
  <si>
    <t>16:45:24</t>
  </si>
  <si>
    <t>16:53:51</t>
  </si>
  <si>
    <t>95</t>
  </si>
  <si>
    <t>291</t>
  </si>
  <si>
    <t>16:54:38</t>
  </si>
  <si>
    <t>96</t>
  </si>
  <si>
    <t>292</t>
  </si>
  <si>
    <t>17:08:44</t>
  </si>
  <si>
    <t>97</t>
  </si>
  <si>
    <t>293</t>
  </si>
  <si>
    <t>17:18:23</t>
  </si>
  <si>
    <t>17:29:37</t>
  </si>
  <si>
    <t>98</t>
  </si>
  <si>
    <t>294</t>
  </si>
  <si>
    <t>17:27:02</t>
  </si>
  <si>
    <t>17:37:53</t>
  </si>
  <si>
    <t>99</t>
  </si>
  <si>
    <t>295</t>
  </si>
  <si>
    <t>18:01:58</t>
  </si>
  <si>
    <t>18:13:54</t>
  </si>
  <si>
    <t>100</t>
  </si>
  <si>
    <t>296</t>
  </si>
  <si>
    <t>19:22:05</t>
  </si>
  <si>
    <t>19:30:55</t>
  </si>
  <si>
    <t>101</t>
  </si>
  <si>
    <t>297</t>
  </si>
  <si>
    <t>19:24:11</t>
  </si>
  <si>
    <t>19:36:58</t>
  </si>
  <si>
    <t>102</t>
  </si>
  <si>
    <t>298</t>
  </si>
  <si>
    <t>19:38:31</t>
  </si>
  <si>
    <t>19:50:58</t>
  </si>
  <si>
    <t>103</t>
  </si>
  <si>
    <t>299</t>
  </si>
  <si>
    <t>19:41:28</t>
  </si>
  <si>
    <t>19:57:24</t>
  </si>
  <si>
    <t>104</t>
  </si>
  <si>
    <t>300</t>
  </si>
  <si>
    <t>19:48:50</t>
  </si>
  <si>
    <t>20:01:38</t>
  </si>
  <si>
    <t>105</t>
  </si>
  <si>
    <t>301</t>
  </si>
  <si>
    <t>20:32:39</t>
  </si>
  <si>
    <t>20:52:40</t>
  </si>
  <si>
    <t>106</t>
  </si>
  <si>
    <t>302</t>
  </si>
  <si>
    <t>20:36:54</t>
  </si>
  <si>
    <t>20:53:34</t>
  </si>
  <si>
    <t>107</t>
  </si>
  <si>
    <t>303</t>
  </si>
  <si>
    <t>20:57:26</t>
  </si>
  <si>
    <t>21:12:44</t>
  </si>
  <si>
    <t>108</t>
  </si>
  <si>
    <t>304</t>
  </si>
  <si>
    <t>21:11:09</t>
  </si>
  <si>
    <t>21:19:24</t>
  </si>
  <si>
    <t>109</t>
  </si>
  <si>
    <t>305</t>
  </si>
  <si>
    <t>21:21:38</t>
  </si>
  <si>
    <t>21:33:42</t>
  </si>
  <si>
    <t>110</t>
  </si>
  <si>
    <t>306</t>
  </si>
  <si>
    <t>22:06:52</t>
  </si>
  <si>
    <t>22:15:39</t>
  </si>
  <si>
    <t>111</t>
  </si>
  <si>
    <t>307</t>
  </si>
  <si>
    <t>22:13:25</t>
  </si>
  <si>
    <t>22:21:17</t>
  </si>
  <si>
    <t>112</t>
  </si>
  <si>
    <t>308</t>
  </si>
  <si>
    <t>22:34:46</t>
  </si>
  <si>
    <t>22:50:20</t>
  </si>
  <si>
    <t>113</t>
  </si>
  <si>
    <t>309</t>
  </si>
  <si>
    <t>23:09:04</t>
  </si>
  <si>
    <t>23:18:41</t>
  </si>
  <si>
    <t>114</t>
  </si>
  <si>
    <t>310</t>
  </si>
  <si>
    <t>02:15:14</t>
  </si>
  <si>
    <t>02:24:54</t>
  </si>
  <si>
    <t>115</t>
  </si>
  <si>
    <t>311</t>
  </si>
  <si>
    <t>02:16:16</t>
  </si>
  <si>
    <t>02:30:37</t>
  </si>
  <si>
    <t>116</t>
  </si>
  <si>
    <t>312</t>
  </si>
  <si>
    <t>02:34:37</t>
  </si>
  <si>
    <t>03:00:32</t>
  </si>
  <si>
    <t>117</t>
  </si>
  <si>
    <t>313</t>
  </si>
  <si>
    <t>02:43:00</t>
  </si>
  <si>
    <t>03:06:13</t>
  </si>
  <si>
    <t>118</t>
  </si>
  <si>
    <t>314</t>
  </si>
  <si>
    <t>02:51:34</t>
  </si>
  <si>
    <t>03:11:39</t>
  </si>
  <si>
    <t>119</t>
  </si>
  <si>
    <t>315</t>
  </si>
  <si>
    <t>03:35:54</t>
  </si>
  <si>
    <t>03:44:52</t>
  </si>
  <si>
    <t>120</t>
  </si>
  <si>
    <t>316</t>
  </si>
  <si>
    <t>04:40:50</t>
  </si>
  <si>
    <t>121</t>
  </si>
  <si>
    <t>317</t>
  </si>
  <si>
    <t>04:43:15</t>
  </si>
  <si>
    <t>04:50:19</t>
  </si>
  <si>
    <t>122</t>
  </si>
  <si>
    <t>318</t>
  </si>
  <si>
    <t>04:59:50</t>
  </si>
  <si>
    <t>123</t>
  </si>
  <si>
    <t>319</t>
  </si>
  <si>
    <t>05:00:48</t>
  </si>
  <si>
    <t>05:14:30</t>
  </si>
  <si>
    <t>124</t>
  </si>
  <si>
    <t>320</t>
  </si>
  <si>
    <t>05:28:23</t>
  </si>
  <si>
    <t>05:41:35</t>
  </si>
  <si>
    <t>125</t>
  </si>
  <si>
    <t>321</t>
  </si>
  <si>
    <t>05:34:08</t>
  </si>
  <si>
    <t>05:46:53</t>
  </si>
  <si>
    <t>126</t>
  </si>
  <si>
    <t>322</t>
  </si>
  <si>
    <t>05:43:11</t>
  </si>
  <si>
    <t>05:54:34</t>
  </si>
  <si>
    <t>127</t>
  </si>
  <si>
    <t>323</t>
  </si>
  <si>
    <t>05:43:54</t>
  </si>
  <si>
    <t>06:01:36</t>
  </si>
  <si>
    <t>128</t>
  </si>
  <si>
    <t>324</t>
  </si>
  <si>
    <t>05:48:50</t>
  </si>
  <si>
    <t>06:08:31</t>
  </si>
  <si>
    <t>129</t>
  </si>
  <si>
    <t>325</t>
  </si>
  <si>
    <t>06:02:58</t>
  </si>
  <si>
    <t>06:14:24</t>
  </si>
  <si>
    <t>130</t>
  </si>
  <si>
    <t>326</t>
  </si>
  <si>
    <t>06:10:54</t>
  </si>
  <si>
    <t>06:19:51</t>
  </si>
  <si>
    <t>131</t>
  </si>
  <si>
    <t>327</t>
  </si>
  <si>
    <t>06:21:36</t>
  </si>
  <si>
    <t>06:34:56</t>
  </si>
  <si>
    <t>132</t>
  </si>
  <si>
    <t>328</t>
  </si>
  <si>
    <t>06:25:02</t>
  </si>
  <si>
    <t>06:39:49</t>
  </si>
  <si>
    <t>133</t>
  </si>
  <si>
    <t>329</t>
  </si>
  <si>
    <t>07:27:54</t>
  </si>
  <si>
    <t>07:36:53</t>
  </si>
  <si>
    <t>134</t>
  </si>
  <si>
    <t>330</t>
  </si>
  <si>
    <t>07:35:51</t>
  </si>
  <si>
    <t>07:43:20</t>
  </si>
  <si>
    <t>135</t>
  </si>
  <si>
    <t>331</t>
  </si>
  <si>
    <t>08:35:09</t>
  </si>
  <si>
    <t>08:43:32</t>
  </si>
  <si>
    <t>136</t>
  </si>
  <si>
    <t>332</t>
  </si>
  <si>
    <t>08:50:52</t>
  </si>
  <si>
    <t>08:58:12</t>
  </si>
  <si>
    <t>137</t>
  </si>
  <si>
    <t>333</t>
  </si>
  <si>
    <t>08:51:46</t>
  </si>
  <si>
    <t>09:04:46</t>
  </si>
  <si>
    <t>138</t>
  </si>
  <si>
    <t>334</t>
  </si>
  <si>
    <t>09:36:08</t>
  </si>
  <si>
    <t>09:47:04</t>
  </si>
  <si>
    <t>139</t>
  </si>
  <si>
    <t>335</t>
  </si>
  <si>
    <t>09:36:45</t>
  </si>
  <si>
    <t>09:51:53</t>
  </si>
  <si>
    <t>140</t>
  </si>
  <si>
    <t>336</t>
  </si>
  <si>
    <t>09:48:45</t>
  </si>
  <si>
    <t>09:56:30</t>
  </si>
  <si>
    <t>141</t>
  </si>
  <si>
    <t>337</t>
  </si>
  <si>
    <t>11:44:24</t>
  </si>
  <si>
    <t>11:53:43</t>
  </si>
  <si>
    <t>142</t>
  </si>
  <si>
    <t>338</t>
  </si>
  <si>
    <t>12:02:01</t>
  </si>
  <si>
    <t>12:12:35</t>
  </si>
  <si>
    <t>143</t>
  </si>
  <si>
    <t>339</t>
  </si>
  <si>
    <t>12:02:40</t>
  </si>
  <si>
    <t>12:16:52</t>
  </si>
  <si>
    <t>144</t>
  </si>
  <si>
    <t>340</t>
  </si>
  <si>
    <t>12:04:02</t>
  </si>
  <si>
    <t>12:22:28</t>
  </si>
  <si>
    <t>145</t>
  </si>
  <si>
    <t>341</t>
  </si>
  <si>
    <t>12:04:29</t>
  </si>
  <si>
    <t>12:30:45</t>
  </si>
  <si>
    <t>146</t>
  </si>
  <si>
    <t>342</t>
  </si>
  <si>
    <t>12:10:57</t>
  </si>
  <si>
    <t>13:03:41</t>
  </si>
  <si>
    <t>147</t>
  </si>
  <si>
    <t>343</t>
  </si>
  <si>
    <t>12:11:42</t>
  </si>
  <si>
    <t>12:26:45</t>
  </si>
  <si>
    <t>148</t>
  </si>
  <si>
    <t>344</t>
  </si>
  <si>
    <t>12:18:18</t>
  </si>
  <si>
    <t>12:35:49</t>
  </si>
  <si>
    <t>149</t>
  </si>
  <si>
    <t>345</t>
  </si>
  <si>
    <t>12:21:17</t>
  </si>
  <si>
    <t>12:44:18</t>
  </si>
  <si>
    <t>150</t>
  </si>
  <si>
    <t>346</t>
  </si>
  <si>
    <t>12:21:50</t>
  </si>
  <si>
    <t>12:49:20</t>
  </si>
  <si>
    <t>151</t>
  </si>
  <si>
    <t>347</t>
  </si>
  <si>
    <t>13:52:45</t>
  </si>
  <si>
    <t>14:00:03</t>
  </si>
  <si>
    <t>152</t>
  </si>
  <si>
    <t>348</t>
  </si>
  <si>
    <t>14:04:23</t>
  </si>
  <si>
    <t>14:10:42</t>
  </si>
  <si>
    <t>153</t>
  </si>
  <si>
    <t>349</t>
  </si>
  <si>
    <t>14:21:20</t>
  </si>
  <si>
    <t>154</t>
  </si>
  <si>
    <t>350</t>
  </si>
  <si>
    <t>15:13:49</t>
  </si>
  <si>
    <t>15:21:40</t>
  </si>
  <si>
    <t>155</t>
  </si>
  <si>
    <t>351</t>
  </si>
  <si>
    <t>15:25:13</t>
  </si>
  <si>
    <t>15:33:28</t>
  </si>
  <si>
    <t>156</t>
  </si>
  <si>
    <t>352</t>
  </si>
  <si>
    <t>15:50:17</t>
  </si>
  <si>
    <t>16:01:15</t>
  </si>
  <si>
    <t>157</t>
  </si>
  <si>
    <t>353</t>
  </si>
  <si>
    <t>16:18:40</t>
  </si>
  <si>
    <t>16:25:13</t>
  </si>
  <si>
    <t>158</t>
  </si>
  <si>
    <t>354</t>
  </si>
  <si>
    <t>16:34:51</t>
  </si>
  <si>
    <t>16:41:51</t>
  </si>
  <si>
    <t>159</t>
  </si>
  <si>
    <t>355</t>
  </si>
  <si>
    <t>16:35:28</t>
  </si>
  <si>
    <t>16:46:39</t>
  </si>
  <si>
    <t>160</t>
  </si>
  <si>
    <t>356</t>
  </si>
  <si>
    <t>16:36:06</t>
  </si>
  <si>
    <t>16:51:09</t>
  </si>
  <si>
    <t>161</t>
  </si>
  <si>
    <t>357</t>
  </si>
  <si>
    <t>16:43:23</t>
  </si>
  <si>
    <t>16:55:25</t>
  </si>
  <si>
    <t>162</t>
  </si>
  <si>
    <t>358</t>
  </si>
  <si>
    <t>16:44:52</t>
  </si>
  <si>
    <t>17:00:47</t>
  </si>
  <si>
    <t>163</t>
  </si>
  <si>
    <t>359</t>
  </si>
  <si>
    <t>16:45:14</t>
  </si>
  <si>
    <t>17:04:59</t>
  </si>
  <si>
    <t>164</t>
  </si>
  <si>
    <t>360</t>
  </si>
  <si>
    <t>17:02:09</t>
  </si>
  <si>
    <t>17:09:46</t>
  </si>
  <si>
    <t>165</t>
  </si>
  <si>
    <t>361</t>
  </si>
  <si>
    <t>18:02:04</t>
  </si>
  <si>
    <t>18:21:42</t>
  </si>
  <si>
    <t>166</t>
  </si>
  <si>
    <t>362</t>
  </si>
  <si>
    <t>18:19:48</t>
  </si>
  <si>
    <t>18:45:26</t>
  </si>
  <si>
    <t>167</t>
  </si>
  <si>
    <t>363</t>
  </si>
  <si>
    <t>19:22:06</t>
  </si>
  <si>
    <t>19:29:49</t>
  </si>
  <si>
    <t>168</t>
  </si>
  <si>
    <t>364</t>
  </si>
  <si>
    <t>19:22:58</t>
  </si>
  <si>
    <t>19:34:34</t>
  </si>
  <si>
    <t>169</t>
  </si>
  <si>
    <t>365</t>
  </si>
  <si>
    <t>19:31:12</t>
  </si>
  <si>
    <t>19:39:25</t>
  </si>
  <si>
    <t>170</t>
  </si>
  <si>
    <t>366</t>
  </si>
  <si>
    <t>19:40:47</t>
  </si>
  <si>
    <t>19:47:29</t>
  </si>
  <si>
    <t>171</t>
  </si>
  <si>
    <t>367</t>
  </si>
  <si>
    <t>19:53:15</t>
  </si>
  <si>
    <t>20:14:49</t>
  </si>
  <si>
    <t>172</t>
  </si>
  <si>
    <t>368</t>
  </si>
  <si>
    <t>20:06:40</t>
  </si>
  <si>
    <t>20:19:01</t>
  </si>
  <si>
    <t>369</t>
  </si>
  <si>
    <t>21:03:26</t>
  </si>
  <si>
    <t>21:11:54</t>
  </si>
  <si>
    <t>370</t>
  </si>
  <si>
    <t>21:50:27</t>
  </si>
  <si>
    <t>22:00:31</t>
  </si>
  <si>
    <t>371</t>
  </si>
  <si>
    <t>21:51:45</t>
  </si>
  <si>
    <t>22:04:40</t>
  </si>
  <si>
    <t>372</t>
  </si>
  <si>
    <t>22:14:34</t>
  </si>
  <si>
    <t>22:22:22</t>
  </si>
  <si>
    <t>373</t>
  </si>
  <si>
    <t>22:15:09</t>
  </si>
  <si>
    <t>22:28:55</t>
  </si>
  <si>
    <t>374</t>
  </si>
  <si>
    <t>22:46:04</t>
  </si>
  <si>
    <t>22:55:30</t>
  </si>
  <si>
    <t>375</t>
  </si>
  <si>
    <t>22:52:14</t>
  </si>
  <si>
    <t>23:02:25</t>
  </si>
  <si>
    <t>376</t>
  </si>
  <si>
    <t>23:07:07</t>
  </si>
  <si>
    <t>23:14:24</t>
  </si>
  <si>
    <t>377</t>
  </si>
  <si>
    <t>23:20:44</t>
  </si>
  <si>
    <t>23:27:31</t>
  </si>
  <si>
    <t>378</t>
  </si>
  <si>
    <t>00:08:17</t>
  </si>
  <si>
    <t>379</t>
  </si>
  <si>
    <t>00:44:20</t>
  </si>
  <si>
    <t>00:56:05</t>
  </si>
  <si>
    <t>380</t>
  </si>
  <si>
    <t>01:04:22</t>
  </si>
  <si>
    <t>01:11:50</t>
  </si>
  <si>
    <t>381</t>
  </si>
  <si>
    <t>01:18:06</t>
  </si>
  <si>
    <t>01:25:51</t>
  </si>
  <si>
    <t>382</t>
  </si>
  <si>
    <t>01:33:32</t>
  </si>
  <si>
    <t>01:42:51</t>
  </si>
  <si>
    <t>383</t>
  </si>
  <si>
    <t>02:20:00</t>
  </si>
  <si>
    <t>02:29:26</t>
  </si>
  <si>
    <t>384</t>
  </si>
  <si>
    <t>02:30:15</t>
  </si>
  <si>
    <t>02:38:57</t>
  </si>
  <si>
    <t>385</t>
  </si>
  <si>
    <t>03:03:40</t>
  </si>
  <si>
    <t>386</t>
  </si>
  <si>
    <t>03:15:56</t>
  </si>
  <si>
    <t>03:24:00</t>
  </si>
  <si>
    <t>387</t>
  </si>
  <si>
    <t>03:55:25</t>
  </si>
  <si>
    <t>04:04:33</t>
  </si>
  <si>
    <t>388</t>
  </si>
  <si>
    <t>04:08:12</t>
  </si>
  <si>
    <t>04:17:42</t>
  </si>
  <si>
    <t>389</t>
  </si>
  <si>
    <t>04:20:49</t>
  </si>
  <si>
    <t>04:29:00</t>
  </si>
  <si>
    <t>390</t>
  </si>
  <si>
    <t>04:34:57</t>
  </si>
  <si>
    <t>04:45:30</t>
  </si>
  <si>
    <t>391</t>
  </si>
  <si>
    <t>05:06:13</t>
  </si>
  <si>
    <t>05:16:21</t>
  </si>
  <si>
    <t>392</t>
  </si>
  <si>
    <t>05:41:54</t>
  </si>
  <si>
    <t>05:52:06</t>
  </si>
  <si>
    <t>393</t>
  </si>
  <si>
    <t>05:55:57</t>
  </si>
  <si>
    <t>06:05:52</t>
  </si>
  <si>
    <t>394</t>
  </si>
  <si>
    <t>05:57:54</t>
  </si>
  <si>
    <t>06:10:56</t>
  </si>
  <si>
    <t>395</t>
  </si>
  <si>
    <t>06:16:22</t>
  </si>
  <si>
    <t>06:25:11</t>
  </si>
  <si>
    <t>396</t>
  </si>
  <si>
    <t>06:23:06</t>
  </si>
  <si>
    <t>397</t>
  </si>
  <si>
    <t>06:26:27</t>
  </si>
  <si>
    <t>398</t>
  </si>
  <si>
    <t>06:56:50</t>
  </si>
  <si>
    <t>07:05:31</t>
  </si>
  <si>
    <t>399</t>
  </si>
  <si>
    <t>07:11:04</t>
  </si>
  <si>
    <t>07:19:17</t>
  </si>
  <si>
    <t>400</t>
  </si>
  <si>
    <t>07:45:30</t>
  </si>
  <si>
    <t>08:07:08</t>
  </si>
  <si>
    <t>401</t>
  </si>
  <si>
    <t>08:21:28</t>
  </si>
  <si>
    <t>08:30:53</t>
  </si>
  <si>
    <t>402</t>
  </si>
  <si>
    <t>08:41:21</t>
  </si>
  <si>
    <t>08:48:12</t>
  </si>
  <si>
    <t>403</t>
  </si>
  <si>
    <t>09:13:33</t>
  </si>
  <si>
    <t>09:23:54</t>
  </si>
  <si>
    <t>404</t>
  </si>
  <si>
    <t>09:59:00</t>
  </si>
  <si>
    <t>405</t>
  </si>
  <si>
    <t>10:00:00</t>
  </si>
  <si>
    <t>10:07:30</t>
  </si>
  <si>
    <t>406</t>
  </si>
  <si>
    <t>10:26:06</t>
  </si>
  <si>
    <t>10:35:45</t>
  </si>
  <si>
    <t>407</t>
  </si>
  <si>
    <t>10:42:54</t>
  </si>
  <si>
    <t>408</t>
  </si>
  <si>
    <t>10:39:32</t>
  </si>
  <si>
    <t>11:09:20</t>
  </si>
  <si>
    <t>409</t>
  </si>
  <si>
    <t>10:42:15</t>
  </si>
  <si>
    <t>10:56:27</t>
  </si>
  <si>
    <t>410</t>
  </si>
  <si>
    <t>11:06:31</t>
  </si>
  <si>
    <t>11:15:04</t>
  </si>
  <si>
    <t>411</t>
  </si>
  <si>
    <t>11:10:29</t>
  </si>
  <si>
    <t>11:21:41</t>
  </si>
  <si>
    <t>412</t>
  </si>
  <si>
    <t>11:22:37</t>
  </si>
  <si>
    <t>11:29:41</t>
  </si>
  <si>
    <t>413</t>
  </si>
  <si>
    <t>11:54:32</t>
  </si>
  <si>
    <t>414</t>
  </si>
  <si>
    <t>11:47:10</t>
  </si>
  <si>
    <t>12:18:30</t>
  </si>
  <si>
    <t>415</t>
  </si>
  <si>
    <t>13:13:57</t>
  </si>
  <si>
    <t>13:23:58</t>
  </si>
  <si>
    <t>416</t>
  </si>
  <si>
    <t>14:18:54</t>
  </si>
  <si>
    <t>417</t>
  </si>
  <si>
    <t>14:08:41</t>
  </si>
  <si>
    <t>14:29:02</t>
  </si>
  <si>
    <t>418</t>
  </si>
  <si>
    <t>14:24:39</t>
  </si>
  <si>
    <t>14:34:39</t>
  </si>
  <si>
    <t>419</t>
  </si>
  <si>
    <t>14:51:20</t>
  </si>
  <si>
    <t>15:03:26</t>
  </si>
  <si>
    <t>420</t>
  </si>
  <si>
    <t>14:56:43</t>
  </si>
  <si>
    <t>15:09:49</t>
  </si>
  <si>
    <t>421</t>
  </si>
  <si>
    <t>14:59:05</t>
  </si>
  <si>
    <t>15:14:36</t>
  </si>
  <si>
    <t>422</t>
  </si>
  <si>
    <t>15:08:12</t>
  </si>
  <si>
    <t>15:21:36</t>
  </si>
  <si>
    <t>423</t>
  </si>
  <si>
    <t>15:25:24</t>
  </si>
  <si>
    <t>15:34:13</t>
  </si>
  <si>
    <t>424</t>
  </si>
  <si>
    <t>15:28:56</t>
  </si>
  <si>
    <t>15:38:55</t>
  </si>
  <si>
    <t>425</t>
  </si>
  <si>
    <t>15:43:32</t>
  </si>
  <si>
    <t>426</t>
  </si>
  <si>
    <t>15:37:26</t>
  </si>
  <si>
    <t>15:48:33</t>
  </si>
  <si>
    <t>427</t>
  </si>
  <si>
    <t>16:03:53</t>
  </si>
  <si>
    <t>16:11:18</t>
  </si>
  <si>
    <t>428</t>
  </si>
  <si>
    <t>16:41:27</t>
  </si>
  <si>
    <t>429</t>
  </si>
  <si>
    <t>16:34:54</t>
  </si>
  <si>
    <t>16:47:31</t>
  </si>
  <si>
    <t>430</t>
  </si>
  <si>
    <t>19:37:21</t>
  </si>
  <si>
    <t>19:49:25</t>
  </si>
  <si>
    <t>431</t>
  </si>
  <si>
    <t>19:45:39</t>
  </si>
  <si>
    <t>19:56:12</t>
  </si>
  <si>
    <t>432</t>
  </si>
  <si>
    <t>20:43:02</t>
  </si>
  <si>
    <t>20:55:13</t>
  </si>
  <si>
    <t>433</t>
  </si>
  <si>
    <t>20:48:39</t>
  </si>
  <si>
    <t>20:57:42</t>
  </si>
  <si>
    <t>434</t>
  </si>
  <si>
    <t>20:51:59</t>
  </si>
  <si>
    <t>21:04:24</t>
  </si>
  <si>
    <t>435</t>
  </si>
  <si>
    <t>20:54:21</t>
  </si>
  <si>
    <t>21:10:52</t>
  </si>
  <si>
    <t>436</t>
  </si>
  <si>
    <t>21:03:13</t>
  </si>
  <si>
    <t>21:16:58</t>
  </si>
  <si>
    <t>437</t>
  </si>
  <si>
    <t>21:03:38</t>
  </si>
  <si>
    <t>21:21:23</t>
  </si>
  <si>
    <t>438</t>
  </si>
  <si>
    <t>21:13:09</t>
  </si>
  <si>
    <t>21:26:24</t>
  </si>
  <si>
    <t>439</t>
  </si>
  <si>
    <t>21:15:56</t>
  </si>
  <si>
    <t>21:32:57</t>
  </si>
  <si>
    <t>440</t>
  </si>
  <si>
    <t>21:27:50</t>
  </si>
  <si>
    <t>21:39:16</t>
  </si>
  <si>
    <t>441</t>
  </si>
  <si>
    <t>21:34:15</t>
  </si>
  <si>
    <t>21:44:07</t>
  </si>
  <si>
    <t>442</t>
  </si>
  <si>
    <t>21:36:29</t>
  </si>
  <si>
    <t>21:55:14</t>
  </si>
  <si>
    <t>443</t>
  </si>
  <si>
    <t>21:40:40</t>
  </si>
  <si>
    <t>21:50:05</t>
  </si>
  <si>
    <t>444</t>
  </si>
  <si>
    <t>21:49:05</t>
  </si>
  <si>
    <t>22:01:28</t>
  </si>
  <si>
    <t>445</t>
  </si>
  <si>
    <t>00:27:48</t>
  </si>
  <si>
    <t>00:42:21</t>
  </si>
  <si>
    <t>446</t>
  </si>
  <si>
    <t>00:32:09</t>
  </si>
  <si>
    <t>00:43:06</t>
  </si>
  <si>
    <t>447</t>
  </si>
  <si>
    <t>01:09:41</t>
  </si>
  <si>
    <t>01:15:21</t>
  </si>
  <si>
    <t>448</t>
  </si>
  <si>
    <t>01:12:54</t>
  </si>
  <si>
    <t>01:20:11</t>
  </si>
  <si>
    <t>449</t>
  </si>
  <si>
    <t>01:13:40</t>
  </si>
  <si>
    <t>01:26:52</t>
  </si>
  <si>
    <t>450</t>
  </si>
  <si>
    <t>01:40:59</t>
  </si>
  <si>
    <t>01:47:35</t>
  </si>
  <si>
    <t>451</t>
  </si>
  <si>
    <t>02:48:45</t>
  </si>
  <si>
    <t>03:45:09</t>
  </si>
  <si>
    <t>452</t>
  </si>
  <si>
    <t>04:19:43</t>
  </si>
  <si>
    <t>04:27:17</t>
  </si>
  <si>
    <t>453</t>
  </si>
  <si>
    <t>04:48:17</t>
  </si>
  <si>
    <t>04:54:56</t>
  </si>
  <si>
    <t>454</t>
  </si>
  <si>
    <t>04:56:14</t>
  </si>
  <si>
    <t>05:07:21</t>
  </si>
  <si>
    <t>455</t>
  </si>
  <si>
    <t>05:12:40</t>
  </si>
  <si>
    <t>05:30:42</t>
  </si>
  <si>
    <t>456</t>
  </si>
  <si>
    <t>05:19:47</t>
  </si>
  <si>
    <t>05:34:22</t>
  </si>
  <si>
    <t>457</t>
  </si>
  <si>
    <t>05:20:27</t>
  </si>
  <si>
    <t>05:37:17</t>
  </si>
  <si>
    <t>458</t>
  </si>
  <si>
    <t>05:56:52</t>
  </si>
  <si>
    <t>459</t>
  </si>
  <si>
    <t>05:58:07</t>
  </si>
  <si>
    <t>06:06:17</t>
  </si>
  <si>
    <t>460</t>
  </si>
  <si>
    <t>06:01:35</t>
  </si>
  <si>
    <t>06:13:56</t>
  </si>
  <si>
    <t>461</t>
  </si>
  <si>
    <t>06:29:27</t>
  </si>
  <si>
    <t>06:37:26</t>
  </si>
  <si>
    <t>462</t>
  </si>
  <si>
    <t>06:29:57</t>
  </si>
  <si>
    <t>06:42:14</t>
  </si>
  <si>
    <t>463</t>
  </si>
  <si>
    <t>06:30:51</t>
  </si>
  <si>
    <t>06:47:55</t>
  </si>
  <si>
    <t>464</t>
  </si>
  <si>
    <t>07:08:56</t>
  </si>
  <si>
    <t>07:18:22</t>
  </si>
  <si>
    <t>465</t>
  </si>
  <si>
    <t>07:15:48</t>
  </si>
  <si>
    <t>07:26:34</t>
  </si>
  <si>
    <t>466</t>
  </si>
  <si>
    <t>07:30:22</t>
  </si>
  <si>
    <t>07:37:53</t>
  </si>
  <si>
    <t>467</t>
  </si>
  <si>
    <t>07:46:32</t>
  </si>
  <si>
    <t>07:55:02</t>
  </si>
  <si>
    <t>468</t>
  </si>
  <si>
    <t>09:00:35</t>
  </si>
  <si>
    <t>09:11:25</t>
  </si>
  <si>
    <t>469</t>
  </si>
  <si>
    <t>09:14:53</t>
  </si>
  <si>
    <t>09:22:01</t>
  </si>
  <si>
    <t>470</t>
  </si>
  <si>
    <t>09:37:27</t>
  </si>
  <si>
    <t>09:44:44</t>
  </si>
  <si>
    <t>471</t>
  </si>
  <si>
    <t>09:54:41</t>
  </si>
  <si>
    <t>10:06:18</t>
  </si>
  <si>
    <t>472</t>
  </si>
  <si>
    <t>10:07:39</t>
  </si>
  <si>
    <t>10:16:24</t>
  </si>
  <si>
    <t>473</t>
  </si>
  <si>
    <t>10:08:16</t>
  </si>
  <si>
    <t>10:21:19</t>
  </si>
  <si>
    <t>474</t>
  </si>
  <si>
    <t>10:10:45</t>
  </si>
  <si>
    <t>10:27:23</t>
  </si>
  <si>
    <t>475</t>
  </si>
  <si>
    <t>10:19:12</t>
  </si>
  <si>
    <t>10:34:10</t>
  </si>
  <si>
    <t>476</t>
  </si>
  <si>
    <t>10:37:57</t>
  </si>
  <si>
    <t>10:55:19</t>
  </si>
  <si>
    <t>477</t>
  </si>
  <si>
    <t>10:48:18</t>
  </si>
  <si>
    <t>10:58:03</t>
  </si>
  <si>
    <t>478</t>
  </si>
  <si>
    <t>11:15:35</t>
  </si>
  <si>
    <t>11:37:18</t>
  </si>
  <si>
    <t>479</t>
  </si>
  <si>
    <t>11:18:44</t>
  </si>
  <si>
    <t>11:44:21</t>
  </si>
  <si>
    <t>480</t>
  </si>
  <si>
    <t>11:19:19</t>
  </si>
  <si>
    <t>11:50:06</t>
  </si>
  <si>
    <t>481</t>
  </si>
  <si>
    <t>11:40:15</t>
  </si>
  <si>
    <t>11:54:00</t>
  </si>
  <si>
    <t>482</t>
  </si>
  <si>
    <t>11:43:04</t>
  </si>
  <si>
    <t>11:58:59</t>
  </si>
  <si>
    <t>483</t>
  </si>
  <si>
    <t>11:48:40</t>
  </si>
  <si>
    <t>12:04:14</t>
  </si>
  <si>
    <t>484</t>
  </si>
  <si>
    <t>12:25:26</t>
  </si>
  <si>
    <t>12:36:17</t>
  </si>
  <si>
    <t>485</t>
  </si>
  <si>
    <t>13:58:24</t>
  </si>
  <si>
    <t>14:10:30</t>
  </si>
  <si>
    <t>486</t>
  </si>
  <si>
    <t>14:12:38</t>
  </si>
  <si>
    <t>487</t>
  </si>
  <si>
    <t>14:19:09</t>
  </si>
  <si>
    <t>14:28:02</t>
  </si>
  <si>
    <t>488</t>
  </si>
  <si>
    <t>14:20:00</t>
  </si>
  <si>
    <t>14:33:48</t>
  </si>
  <si>
    <t>489</t>
  </si>
  <si>
    <t>14:35:35</t>
  </si>
  <si>
    <t>14:43:50</t>
  </si>
  <si>
    <t>490</t>
  </si>
  <si>
    <t>14:58:25</t>
  </si>
  <si>
    <t>15:06:17</t>
  </si>
  <si>
    <t>491</t>
  </si>
  <si>
    <t>15:01:49</t>
  </si>
  <si>
    <t>492</t>
  </si>
  <si>
    <t>15:07:16</t>
  </si>
  <si>
    <t>15:17:15</t>
  </si>
  <si>
    <t>493</t>
  </si>
  <si>
    <t>15:20:34</t>
  </si>
  <si>
    <t>15:29:17</t>
  </si>
  <si>
    <t>494</t>
  </si>
  <si>
    <t>15:24:37</t>
  </si>
  <si>
    <t>15:34:26</t>
  </si>
  <si>
    <t>495</t>
  </si>
  <si>
    <t>15:33:38</t>
  </si>
  <si>
    <t>15:39:32</t>
  </si>
  <si>
    <t>496</t>
  </si>
  <si>
    <t>15:42:29</t>
  </si>
  <si>
    <t>15:49:45</t>
  </si>
  <si>
    <t>497</t>
  </si>
  <si>
    <t>16:07:54</t>
  </si>
  <si>
    <t>16:16:32</t>
  </si>
  <si>
    <t>498</t>
  </si>
  <si>
    <t>16:13:53</t>
  </si>
  <si>
    <t>16:20:47</t>
  </si>
  <si>
    <t>499</t>
  </si>
  <si>
    <t>16:15:09</t>
  </si>
  <si>
    <t>16:25:33</t>
  </si>
  <si>
    <t>500</t>
  </si>
  <si>
    <t>16:50:13</t>
  </si>
  <si>
    <t>16:58:04</t>
  </si>
  <si>
    <t>501</t>
  </si>
  <si>
    <t>17:07:27</t>
  </si>
  <si>
    <t>17:15:34</t>
  </si>
  <si>
    <t>502</t>
  </si>
  <si>
    <t>18:37:29</t>
  </si>
  <si>
    <t>18:45:24</t>
  </si>
  <si>
    <t>503</t>
  </si>
  <si>
    <t>18:59:10</t>
  </si>
  <si>
    <t>19:07:23</t>
  </si>
  <si>
    <t>504</t>
  </si>
  <si>
    <t>19:18:32</t>
  </si>
  <si>
    <t>19:26:03</t>
  </si>
  <si>
    <t>505</t>
  </si>
  <si>
    <t>19:18:50</t>
  </si>
  <si>
    <t>19:32:31</t>
  </si>
  <si>
    <t>506</t>
  </si>
  <si>
    <t>19:19:22</t>
  </si>
  <si>
    <t>19:45:02</t>
  </si>
  <si>
    <t>507</t>
  </si>
  <si>
    <t>19:37:53</t>
  </si>
  <si>
    <t>19:47:56</t>
  </si>
  <si>
    <t>508</t>
  </si>
  <si>
    <t>19:38:43</t>
  </si>
  <si>
    <t>19:54:03</t>
  </si>
  <si>
    <t>509</t>
  </si>
  <si>
    <t>19:50:55</t>
  </si>
  <si>
    <t>20:01:32</t>
  </si>
  <si>
    <t>510</t>
  </si>
  <si>
    <t>19:53:16</t>
  </si>
  <si>
    <t>20:08:26</t>
  </si>
  <si>
    <t>511</t>
  </si>
  <si>
    <t>20:07:23</t>
  </si>
  <si>
    <t>20:17:40</t>
  </si>
  <si>
    <t>512</t>
  </si>
  <si>
    <t>20:37:11</t>
  </si>
  <si>
    <t>20:52:03</t>
  </si>
  <si>
    <t>513</t>
  </si>
  <si>
    <t>20:51:06</t>
  </si>
  <si>
    <t>20:59:20</t>
  </si>
  <si>
    <t>514</t>
  </si>
  <si>
    <t>20:55:28</t>
  </si>
  <si>
    <t>21:05:02</t>
  </si>
  <si>
    <t>515</t>
  </si>
  <si>
    <t>21:02:44</t>
  </si>
  <si>
    <t>21:10:21</t>
  </si>
  <si>
    <t>516</t>
  </si>
  <si>
    <t>21:48:40</t>
  </si>
  <si>
    <t>21:59:36</t>
  </si>
  <si>
    <t>517</t>
  </si>
  <si>
    <t>22:39:55</t>
  </si>
  <si>
    <t>22:50:02</t>
  </si>
  <si>
    <t>518</t>
  </si>
  <si>
    <t>23:13:44</t>
  </si>
  <si>
    <t>23:22:53</t>
  </si>
  <si>
    <t>519</t>
  </si>
  <si>
    <t>23:39:25</t>
  </si>
  <si>
    <t>23:45:35</t>
  </si>
  <si>
    <t>520</t>
  </si>
  <si>
    <t>00:12:05</t>
  </si>
  <si>
    <t>00:20:06</t>
  </si>
  <si>
    <t>521</t>
  </si>
  <si>
    <t>00:45:42</t>
  </si>
  <si>
    <t>00:52:33</t>
  </si>
  <si>
    <t>522</t>
  </si>
  <si>
    <t>00:55:02</t>
  </si>
  <si>
    <t>523</t>
  </si>
  <si>
    <t>524</t>
  </si>
  <si>
    <t>01:43:13</t>
  </si>
  <si>
    <t>01:50:08</t>
  </si>
  <si>
    <t>525</t>
  </si>
  <si>
    <t>02:09:03</t>
  </si>
  <si>
    <t>02:16:52</t>
  </si>
  <si>
    <t>526</t>
  </si>
  <si>
    <t>03:21:26</t>
  </si>
  <si>
    <t>03:31:48</t>
  </si>
  <si>
    <t>527</t>
  </si>
  <si>
    <t>03:43:36</t>
  </si>
  <si>
    <t>528</t>
  </si>
  <si>
    <t>04:15:05</t>
  </si>
  <si>
    <t>04:23:32</t>
  </si>
  <si>
    <t>529</t>
  </si>
  <si>
    <t>04:36:35</t>
  </si>
  <si>
    <t>04:45:31</t>
  </si>
  <si>
    <t>530</t>
  </si>
  <si>
    <t>05:21:41</t>
  </si>
  <si>
    <t>05:30:13</t>
  </si>
  <si>
    <t>531</t>
  </si>
  <si>
    <t>05:34:21</t>
  </si>
  <si>
    <t>05:47:45</t>
  </si>
  <si>
    <t>532</t>
  </si>
  <si>
    <t>05:46:12</t>
  </si>
  <si>
    <t>05:57:06</t>
  </si>
  <si>
    <t>533</t>
  </si>
  <si>
    <t>05:54:02</t>
  </si>
  <si>
    <t>06:06:20</t>
  </si>
  <si>
    <t>534</t>
  </si>
  <si>
    <t>05:54:49</t>
  </si>
  <si>
    <t>06:10:59</t>
  </si>
  <si>
    <t>535</t>
  </si>
  <si>
    <t>06:08:03</t>
  </si>
  <si>
    <t>06:16:30</t>
  </si>
  <si>
    <t>536</t>
  </si>
  <si>
    <t>06:31:08</t>
  </si>
  <si>
    <t>537</t>
  </si>
  <si>
    <t>06:21:41</t>
  </si>
  <si>
    <t>06:33:57</t>
  </si>
  <si>
    <t>538</t>
  </si>
  <si>
    <t>06:38:41</t>
  </si>
  <si>
    <t>06:47:08</t>
  </si>
  <si>
    <t>539</t>
  </si>
  <si>
    <t>07:07:42</t>
  </si>
  <si>
    <t>07:25:27</t>
  </si>
  <si>
    <t>540</t>
  </si>
  <si>
    <t>07:19:32</t>
  </si>
  <si>
    <t>07:47:21</t>
  </si>
  <si>
    <t>541</t>
  </si>
  <si>
    <t>07:45:54</t>
  </si>
  <si>
    <t>07:56:16</t>
  </si>
  <si>
    <t>542</t>
  </si>
  <si>
    <t>08:21:05</t>
  </si>
  <si>
    <t>08:30:27</t>
  </si>
  <si>
    <t>543</t>
  </si>
  <si>
    <t>08:31:42</t>
  </si>
  <si>
    <t>08:39:30</t>
  </si>
  <si>
    <t>544</t>
  </si>
  <si>
    <t>08:51:41</t>
  </si>
  <si>
    <t>08:58:34</t>
  </si>
  <si>
    <t>545</t>
  </si>
  <si>
    <t>10:36:33</t>
  </si>
  <si>
    <t>546</t>
  </si>
  <si>
    <t>10:39:18</t>
  </si>
  <si>
    <t>10:51:16</t>
  </si>
  <si>
    <t>547</t>
  </si>
  <si>
    <t>10:39:51</t>
  </si>
  <si>
    <t>10:55:15</t>
  </si>
  <si>
    <t>548</t>
  </si>
  <si>
    <t>10:54:23</t>
  </si>
  <si>
    <t>11:02:48</t>
  </si>
  <si>
    <t>549</t>
  </si>
  <si>
    <t>11:00:15</t>
  </si>
  <si>
    <t>11:45:56</t>
  </si>
  <si>
    <t>550</t>
  </si>
  <si>
    <t>11:01:07</t>
  </si>
  <si>
    <t>11:48:33</t>
  </si>
  <si>
    <t>551</t>
  </si>
  <si>
    <t>11:43:05</t>
  </si>
  <si>
    <t>552</t>
  </si>
  <si>
    <t>11:52:36</t>
  </si>
  <si>
    <t>553</t>
  </si>
  <si>
    <t>11:20:33</t>
  </si>
  <si>
    <t>11:57:10</t>
  </si>
  <si>
    <t>554</t>
  </si>
  <si>
    <t>12:20:43</t>
  </si>
  <si>
    <t>555</t>
  </si>
  <si>
    <t>12:10:37</t>
  </si>
  <si>
    <t>12:30:25</t>
  </si>
  <si>
    <t>556</t>
  </si>
  <si>
    <t>12:51:27</t>
  </si>
  <si>
    <t>13:03:47</t>
  </si>
  <si>
    <t>557</t>
  </si>
  <si>
    <t>13:28:23</t>
  </si>
  <si>
    <t>558</t>
  </si>
  <si>
    <t>13:43:24</t>
  </si>
  <si>
    <t>13:52:11</t>
  </si>
  <si>
    <t>559</t>
  </si>
  <si>
    <t>13:53:39</t>
  </si>
  <si>
    <t>14:01:34</t>
  </si>
  <si>
    <t>560</t>
  </si>
  <si>
    <t>14:58:16</t>
  </si>
  <si>
    <t>561</t>
  </si>
  <si>
    <t>15:03:04</t>
  </si>
  <si>
    <t>15:13:00</t>
  </si>
  <si>
    <t>562</t>
  </si>
  <si>
    <t>15:11:27</t>
  </si>
  <si>
    <t>15:23:57</t>
  </si>
  <si>
    <t>563</t>
  </si>
  <si>
    <t>15:14:50</t>
  </si>
  <si>
    <t>15:33:09</t>
  </si>
  <si>
    <t>564</t>
  </si>
  <si>
    <t>15:21:27</t>
  </si>
  <si>
    <t>15:28:14</t>
  </si>
  <si>
    <t>565</t>
  </si>
  <si>
    <t>15:54:34</t>
  </si>
  <si>
    <t>16:07:13</t>
  </si>
  <si>
    <t>566</t>
  </si>
  <si>
    <t>15:57:13</t>
  </si>
  <si>
    <t>16:07:47</t>
  </si>
  <si>
    <t>567</t>
  </si>
  <si>
    <t>16:01:09</t>
  </si>
  <si>
    <t>16:25:58</t>
  </si>
  <si>
    <t>568</t>
  </si>
  <si>
    <t>16:05:46</t>
  </si>
  <si>
    <t>16:37:55</t>
  </si>
  <si>
    <t>569</t>
  </si>
  <si>
    <t>16:25:03</t>
  </si>
  <si>
    <t>16:44:51</t>
  </si>
  <si>
    <t>570</t>
  </si>
  <si>
    <t>17:14:58</t>
  </si>
  <si>
    <t>17:29:24</t>
  </si>
  <si>
    <t>QC_92H00903</t>
  </si>
  <si>
    <t>QC_92H00994</t>
  </si>
  <si>
    <t>VC.007</t>
  </si>
  <si>
    <t>Xã Quế Sơn - Tiên Sa</t>
  </si>
  <si>
    <t>Một tỷ, hai trăm năm mươi lăm triệu, bảy trăm chín mươi chín ngàn, năm trăm tám mươi mốt đồng y</t>
  </si>
  <si>
    <t>Quế Sơn Trung, ngày 01 tháng 09 năm 2026</t>
  </si>
  <si>
    <t xml:space="preserve">BẢNG KÊ CHI TIẾT KHỐI LƯỢNG VẬN CHUYỂN DĂM GỖ
( Vận chuyển từ ngày 25/08/2026 đến ngày 30/08/2026 )
 </t>
  </si>
  <si>
    <t xml:space="preserve">Hôm Nay , ngày 01/09/2026 chúng tôi gồm có </t>
  </si>
  <si>
    <t>Đại diện bên Giao</t>
  </si>
  <si>
    <t>Đại diện bên nhận</t>
  </si>
  <si>
    <t>CHI NHÁNH CÔNG TY TNHH HOÀNG ANH KHÔI BÀ: VÕ THỊ NHƯ NGỌC - Chức vụ : P. Giám Đốc</t>
  </si>
  <si>
    <t>CÔNG TY TNHH HOÀNG ANH KHÔI QUẢNG NAM ÔNG : VÕ VĂN PHỤNG - Chức Vụ : Giám Đốc</t>
  </si>
  <si>
    <t>Cùng xác định khối lượng dầu Diezen giao nhận như sau :</t>
  </si>
  <si>
    <t xml:space="preserve">CHI NHÁNH CÔNG TY TNHH HOÀNG ANH KHÔI </t>
  </si>
  <si>
    <t xml:space="preserve">  P. Giám Đốc</t>
  </si>
  <si>
    <t>Tổng cộng số lượng dầu Diezen hai bên xác định giao nhận là 6,689 lít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</si>
  <si>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</si>
  <si>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</si>
  <si>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</si>
  <si>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</si>
  <si>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</si>
  <si>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</si>
  <si>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</si>
  <si>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</si>
  <si>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</si>
  <si>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</si>
  <si>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</si>
  <si>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</si>
  <si>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</si>
  <si>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</si>
  <si>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</si>
  <si>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</si>
  <si>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</si>
  <si>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</si>
  <si>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</si>
  <si>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</si>
  <si>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</si>
  <si>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</si>
  <si>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</si>
  <si>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197</t>
  </si>
  <si>
    <t>08:11:18</t>
  </si>
  <si>
    <t>08:11:58</t>
  </si>
  <si>
    <t>08:26:03</t>
  </si>
  <si>
    <t>08:38:09</t>
  </si>
  <si>
    <t>08:48:44</t>
  </si>
  <si>
    <t>08:39:26</t>
  </si>
  <si>
    <t>08:55:08</t>
  </si>
  <si>
    <t>08:41:34</t>
  </si>
  <si>
    <t>08:59:08</t>
  </si>
  <si>
    <t>08:56:41</t>
  </si>
  <si>
    <t>09:21:20</t>
  </si>
  <si>
    <t>09:30:35</t>
  </si>
  <si>
    <t>09:36:56</t>
  </si>
  <si>
    <t>09:46:44</t>
  </si>
  <si>
    <t>10:51:36</t>
  </si>
  <si>
    <t>11:29:29</t>
  </si>
  <si>
    <t>11:02:07</t>
  </si>
  <si>
    <t>11:05:12</t>
  </si>
  <si>
    <t>11:39:27</t>
  </si>
  <si>
    <t>12:00:25</t>
  </si>
  <si>
    <t>12:06:26</t>
  </si>
  <si>
    <t>12:20:34</t>
  </si>
  <si>
    <t>12:27:00</t>
  </si>
  <si>
    <t>13:16:49</t>
  </si>
  <si>
    <t>13:26:52</t>
  </si>
  <si>
    <t>13:46:14</t>
  </si>
  <si>
    <t>13:52:56</t>
  </si>
  <si>
    <t>14:34:21</t>
  </si>
  <si>
    <t>14:43:41</t>
  </si>
  <si>
    <t>14:53:11</t>
  </si>
  <si>
    <t>14:49:59</t>
  </si>
  <si>
    <t>14:59:32</t>
  </si>
  <si>
    <t>14:53:59</t>
  </si>
  <si>
    <t>15:04:04</t>
  </si>
  <si>
    <t>15:28:03</t>
  </si>
  <si>
    <t>15:36:09</t>
  </si>
  <si>
    <t>15:35:00</t>
  </si>
  <si>
    <t>15:43:22</t>
  </si>
  <si>
    <t>15:42:24</t>
  </si>
  <si>
    <t>15:51:48</t>
  </si>
  <si>
    <t>15:54:30</t>
  </si>
  <si>
    <t>16:15:36</t>
  </si>
  <si>
    <t>16:19:37</t>
  </si>
  <si>
    <t>16:30:00</t>
  </si>
  <si>
    <t>16:30:51</t>
  </si>
  <si>
    <t>16:42:01</t>
  </si>
  <si>
    <t>17:58:18</t>
  </si>
  <si>
    <t>18:18:37</t>
  </si>
  <si>
    <t>18:29:44</t>
  </si>
  <si>
    <t>19:41:10</t>
  </si>
  <si>
    <t>19:52:03</t>
  </si>
  <si>
    <t>19:45:20</t>
  </si>
  <si>
    <t>20:01:52</t>
  </si>
  <si>
    <t>19:48:19</t>
  </si>
  <si>
    <t>20:07:51</t>
  </si>
  <si>
    <t>20:09:24</t>
  </si>
  <si>
    <t>20:19:36</t>
  </si>
  <si>
    <t>20:17:53</t>
  </si>
  <si>
    <t>20:28:19</t>
  </si>
  <si>
    <t>20:29:22</t>
  </si>
  <si>
    <t>20:40:18</t>
  </si>
  <si>
    <t>20:48:07</t>
  </si>
  <si>
    <t>20:59:12</t>
  </si>
  <si>
    <t>20:53:07</t>
  </si>
  <si>
    <t>21:06:12</t>
  </si>
  <si>
    <t>20:54:17</t>
  </si>
  <si>
    <t>21:14:51</t>
  </si>
  <si>
    <t>21:04:53</t>
  </si>
  <si>
    <t>21:23:01</t>
  </si>
  <si>
    <t>21:07:30</t>
  </si>
  <si>
    <t>21:31:56</t>
  </si>
  <si>
    <t>22:11:29</t>
  </si>
  <si>
    <t>22:22:25</t>
  </si>
  <si>
    <t>22:50:08</t>
  </si>
  <si>
    <t>03:28:19</t>
  </si>
  <si>
    <t>23:56:29</t>
  </si>
  <si>
    <t>00:12:14</t>
  </si>
  <si>
    <t>00:00:32</t>
  </si>
  <si>
    <t>00:22:38</t>
  </si>
  <si>
    <t>00:06:28</t>
  </si>
  <si>
    <t>00:32:31</t>
  </si>
  <si>
    <t>01:09:40</t>
  </si>
  <si>
    <t>01:54:13</t>
  </si>
  <si>
    <t>02:02:28</t>
  </si>
  <si>
    <t>03:08:12</t>
  </si>
  <si>
    <t>04:33:11</t>
  </si>
  <si>
    <t>03:08:40</t>
  </si>
  <si>
    <t>04:40:36</t>
  </si>
  <si>
    <t>03:37:43</t>
  </si>
  <si>
    <t>05:13:59</t>
  </si>
  <si>
    <t>04:16:17</t>
  </si>
  <si>
    <t>05:04:58</t>
  </si>
  <si>
    <t>05:10:54</t>
  </si>
  <si>
    <t>05:31:26</t>
  </si>
  <si>
    <t>05:43:00</t>
  </si>
  <si>
    <t>05:52:37</t>
  </si>
  <si>
    <t>06:36:21</t>
  </si>
  <si>
    <t>06:25:48</t>
  </si>
  <si>
    <t>06:45:30</t>
  </si>
  <si>
    <t>06:30:07</t>
  </si>
  <si>
    <t>06:52:59</t>
  </si>
  <si>
    <t>06:42:59</t>
  </si>
  <si>
    <t>07:02:21</t>
  </si>
  <si>
    <t>07:29:52</t>
  </si>
  <si>
    <t>07:42:03</t>
  </si>
  <si>
    <t>07:50:01</t>
  </si>
  <si>
    <t>08:07:25</t>
  </si>
  <si>
    <t>08:16:55</t>
  </si>
  <si>
    <t>08:30:43</t>
  </si>
  <si>
    <t>08:39:36</t>
  </si>
  <si>
    <t>08:33:58</t>
  </si>
  <si>
    <t>08:47:19</t>
  </si>
  <si>
    <t>09:46:11</t>
  </si>
  <si>
    <t>09:56:24</t>
  </si>
  <si>
    <t>09:58:00</t>
  </si>
  <si>
    <t>10:09:53</t>
  </si>
  <si>
    <t>10:48:07</t>
  </si>
  <si>
    <t>11:02:47</t>
  </si>
  <si>
    <t>11:09:17</t>
  </si>
  <si>
    <t>11:21:32</t>
  </si>
  <si>
    <t>11:13:16</t>
  </si>
  <si>
    <t>11:27:22</t>
  </si>
  <si>
    <t>11:28:44</t>
  </si>
  <si>
    <t>11:42:11</t>
  </si>
  <si>
    <t>11:37:37</t>
  </si>
  <si>
    <t>11:52:08</t>
  </si>
  <si>
    <t>11:45:16</t>
  </si>
  <si>
    <t>11:58:55</t>
  </si>
  <si>
    <t>12:10:47</t>
  </si>
  <si>
    <t>12:16:45</t>
  </si>
  <si>
    <t>12:30:46</t>
  </si>
  <si>
    <t>12:17:20</t>
  </si>
  <si>
    <t>12:36:34</t>
  </si>
  <si>
    <t>12:31:46</t>
  </si>
  <si>
    <t>12:45:35</t>
  </si>
  <si>
    <t>14:03:52</t>
  </si>
  <si>
    <t>14:15:36</t>
  </si>
  <si>
    <t>14:26:39</t>
  </si>
  <si>
    <t>14:36:31</t>
  </si>
  <si>
    <t>14:28:43</t>
  </si>
  <si>
    <t>14:43:34</t>
  </si>
  <si>
    <t>14:31:47</t>
  </si>
  <si>
    <t>14:49:43</t>
  </si>
  <si>
    <t>15:07:59</t>
  </si>
  <si>
    <t>15:18:12</t>
  </si>
  <si>
    <t>16:21:51</t>
  </si>
  <si>
    <t>16:34:48</t>
  </si>
  <si>
    <t>16:22:57</t>
  </si>
  <si>
    <t>16:40:46</t>
  </si>
  <si>
    <t>16:31:30</t>
  </si>
  <si>
    <t>16:48:02</t>
  </si>
  <si>
    <t>16:33:43</t>
  </si>
  <si>
    <t>16:55:38</t>
  </si>
  <si>
    <t>16:37:12</t>
  </si>
  <si>
    <t>17:03:23</t>
  </si>
  <si>
    <t>16:58:14</t>
  </si>
  <si>
    <t>17:12:09</t>
  </si>
  <si>
    <t>17:01:39</t>
  </si>
  <si>
    <t>17:18:56</t>
  </si>
  <si>
    <t>17:26:27</t>
  </si>
  <si>
    <t>17:24:39</t>
  </si>
  <si>
    <t>17:34:28</t>
  </si>
  <si>
    <t>17:36:10</t>
  </si>
  <si>
    <t>17:44:37</t>
  </si>
  <si>
    <t>18:21:57</t>
  </si>
  <si>
    <t>18:37:13</t>
  </si>
  <si>
    <t>20:12:36</t>
  </si>
  <si>
    <t>20:25:56</t>
  </si>
  <si>
    <t>20:21:06</t>
  </si>
  <si>
    <t>20:33:06</t>
  </si>
  <si>
    <t>20:37:12</t>
  </si>
  <si>
    <t>20:46:59</t>
  </si>
  <si>
    <t>20:38:55</t>
  </si>
  <si>
    <t>20:54:59</t>
  </si>
  <si>
    <t>21:37:30</t>
  </si>
  <si>
    <t>21:47:48</t>
  </si>
  <si>
    <t>21:45:33</t>
  </si>
  <si>
    <t>21:55:02</t>
  </si>
  <si>
    <t>22:05:04</t>
  </si>
  <si>
    <t>22:15:03</t>
  </si>
  <si>
    <t>22:17:14</t>
  </si>
  <si>
    <t>22:26:24</t>
  </si>
  <si>
    <t>22:22:54</t>
  </si>
  <si>
    <t>22:35:35</t>
  </si>
  <si>
    <t>22:41:57</t>
  </si>
  <si>
    <t>22:56:07</t>
  </si>
  <si>
    <t>22:55:09</t>
  </si>
  <si>
    <t>23:05:46</t>
  </si>
  <si>
    <t>23:09:13</t>
  </si>
  <si>
    <t>23:19:17</t>
  </si>
  <si>
    <t>00:32:58</t>
  </si>
  <si>
    <t>00:45:13</t>
  </si>
  <si>
    <t>00:50:06</t>
  </si>
  <si>
    <t>01:34:48</t>
  </si>
  <si>
    <t>01:47:00</t>
  </si>
  <si>
    <t>01:57:47</t>
  </si>
  <si>
    <t>02:08:47</t>
  </si>
  <si>
    <t>02:09:25</t>
  </si>
  <si>
    <t>02:20:26</t>
  </si>
  <si>
    <t>02:28:53</t>
  </si>
  <si>
    <t>02:44:08</t>
  </si>
  <si>
    <t>03:10:07</t>
  </si>
  <si>
    <t>03:21:31</t>
  </si>
  <si>
    <t>03:38:25</t>
  </si>
  <si>
    <t>03:50:01</t>
  </si>
  <si>
    <t>04:27:05</t>
  </si>
  <si>
    <t>04:38:35</t>
  </si>
  <si>
    <t>04:40:25</t>
  </si>
  <si>
    <t>04:59:16</t>
  </si>
  <si>
    <t>04:48:07</t>
  </si>
  <si>
    <t>05:10:34</t>
  </si>
  <si>
    <t>05:41:04</t>
  </si>
  <si>
    <t>05:54:19</t>
  </si>
  <si>
    <t>06:01:39</t>
  </si>
  <si>
    <t>06:15:59</t>
  </si>
  <si>
    <t>06:03:43</t>
  </si>
  <si>
    <t>06:26:19</t>
  </si>
  <si>
    <t>06:32:18</t>
  </si>
  <si>
    <t>06:49:09</t>
  </si>
  <si>
    <t>06:50:51</t>
  </si>
  <si>
    <t>06:40:11</t>
  </si>
  <si>
    <t>06:58:40</t>
  </si>
  <si>
    <t>06:45:54</t>
  </si>
  <si>
    <t>07:07:02</t>
  </si>
  <si>
    <t>06:48:17</t>
  </si>
  <si>
    <t>07:15:17</t>
  </si>
  <si>
    <t>07:16:33</t>
  </si>
  <si>
    <t>07:31:45</t>
  </si>
  <si>
    <t>07:22:19</t>
  </si>
  <si>
    <t>07:51:16</t>
  </si>
  <si>
    <t>09:02:13</t>
  </si>
  <si>
    <t>09:37:12</t>
  </si>
  <si>
    <t>09:44:42</t>
  </si>
  <si>
    <t>09:56:43</t>
  </si>
  <si>
    <t>09:50:20</t>
  </si>
  <si>
    <t>10:06:30</t>
  </si>
  <si>
    <t>10:04:43</t>
  </si>
  <si>
    <t>10:08:59</t>
  </si>
  <si>
    <t>10:24:40</t>
  </si>
  <si>
    <t>10:19:02</t>
  </si>
  <si>
    <t>10:34:22</t>
  </si>
  <si>
    <t>10:45:30</t>
  </si>
  <si>
    <t>11:15:45</t>
  </si>
  <si>
    <t>10:59:05</t>
  </si>
  <si>
    <t>11:48:25</t>
  </si>
  <si>
    <t>11:06:05</t>
  </si>
  <si>
    <t>11:23:57</t>
  </si>
  <si>
    <t>11:09:50</t>
  </si>
  <si>
    <t>12:24:08</t>
  </si>
  <si>
    <t>11:10:55</t>
  </si>
  <si>
    <t>11:57:13</t>
  </si>
  <si>
    <t>11:19:36</t>
  </si>
  <si>
    <t>11:31:51</t>
  </si>
  <si>
    <t>11:20:36</t>
  </si>
  <si>
    <t>11:42:06</t>
  </si>
  <si>
    <t>12:05:37</t>
  </si>
  <si>
    <t>12:18:24</t>
  </si>
  <si>
    <t>12:32:36</t>
  </si>
  <si>
    <t>12:27:39</t>
  </si>
  <si>
    <t>12:41:00</t>
  </si>
  <si>
    <t>13:50:36</t>
  </si>
  <si>
    <t>14:10:08</t>
  </si>
  <si>
    <t>14:37:23</t>
  </si>
  <si>
    <t>14:49:14</t>
  </si>
  <si>
    <t>14:43:48</t>
  </si>
  <si>
    <t>14:58:23</t>
  </si>
  <si>
    <t>14:54:40</t>
  </si>
  <si>
    <t>14:59:47</t>
  </si>
  <si>
    <t>15:16:48</t>
  </si>
  <si>
    <t>15:07:49</t>
  </si>
  <si>
    <t>15:27:14</t>
  </si>
  <si>
    <t>15:14:31</t>
  </si>
  <si>
    <t>15:44:20</t>
  </si>
  <si>
    <t>15:51:35</t>
  </si>
  <si>
    <t>16:02:44</t>
  </si>
  <si>
    <t>16:01:05</t>
  </si>
  <si>
    <t>16:25:47</t>
  </si>
  <si>
    <t>16:19:22</t>
  </si>
  <si>
    <t>16:34:55</t>
  </si>
  <si>
    <t>16:24:37</t>
  </si>
  <si>
    <t>16:45:45</t>
  </si>
  <si>
    <t>16:28:29</t>
  </si>
  <si>
    <t>16:52:15</t>
  </si>
  <si>
    <t>16:33:15</t>
  </si>
  <si>
    <t>17:00:53</t>
  </si>
  <si>
    <t>16:49:28</t>
  </si>
  <si>
    <t>17:08:49</t>
  </si>
  <si>
    <t>17:05:06</t>
  </si>
  <si>
    <t>17:16:55</t>
  </si>
  <si>
    <t>17:18:13</t>
  </si>
  <si>
    <t>17:30:49</t>
  </si>
  <si>
    <t>17:28:56</t>
  </si>
  <si>
    <t>17:42:00</t>
  </si>
  <si>
    <t>18:57:20</t>
  </si>
  <si>
    <t>19:07:58</t>
  </si>
  <si>
    <t>20:07:40</t>
  </si>
  <si>
    <t>20:19:17</t>
  </si>
  <si>
    <t>20:10:02</t>
  </si>
  <si>
    <t>20:36:44</t>
  </si>
  <si>
    <t>20:21:09</t>
  </si>
  <si>
    <t>20:55:27</t>
  </si>
  <si>
    <t>20:34:48</t>
  </si>
  <si>
    <t>20:48:59</t>
  </si>
  <si>
    <t>20:38:23</t>
  </si>
  <si>
    <t>20:57:08</t>
  </si>
  <si>
    <t>21:01:59</t>
  </si>
  <si>
    <t>21:12:40</t>
  </si>
  <si>
    <t>21:03:42</t>
  </si>
  <si>
    <t>21:51:34</t>
  </si>
  <si>
    <t>22:13:32</t>
  </si>
  <si>
    <t>22:24:22</t>
  </si>
  <si>
    <t>23:31:57</t>
  </si>
  <si>
    <t>23:42:10</t>
  </si>
  <si>
    <t>23:45:43</t>
  </si>
  <si>
    <t>23:56:01</t>
  </si>
  <si>
    <t>23:58:18</t>
  </si>
  <si>
    <t>00:09:32</t>
  </si>
  <si>
    <t>00:04:25</t>
  </si>
  <si>
    <t>00:18:45</t>
  </si>
  <si>
    <t>00:21:57</t>
  </si>
  <si>
    <t>00:33:10</t>
  </si>
  <si>
    <t>00:46:48</t>
  </si>
  <si>
    <t>00:58:08</t>
  </si>
  <si>
    <t>01:25:04</t>
  </si>
  <si>
    <t>01:35:38</t>
  </si>
  <si>
    <t>01:29:52</t>
  </si>
  <si>
    <t>01:43:33</t>
  </si>
  <si>
    <t>02:01:22</t>
  </si>
  <si>
    <t>02:13:50</t>
  </si>
  <si>
    <t>02:11:49</t>
  </si>
  <si>
    <t>02:22:55</t>
  </si>
  <si>
    <t>02:27:48</t>
  </si>
  <si>
    <t>02:39:49</t>
  </si>
  <si>
    <t>03:14:54</t>
  </si>
  <si>
    <t>03:25:32</t>
  </si>
  <si>
    <t>03:57:04</t>
  </si>
  <si>
    <t>04:08:13</t>
  </si>
  <si>
    <t>03:58:21</t>
  </si>
  <si>
    <t>04:17:04</t>
  </si>
  <si>
    <t>03:59:51</t>
  </si>
  <si>
    <t>04:35:47</t>
  </si>
  <si>
    <t>04:44:28</t>
  </si>
  <si>
    <t>04:55:45</t>
  </si>
  <si>
    <t>04:57:28</t>
  </si>
  <si>
    <t>05:08:42</t>
  </si>
  <si>
    <t>04:58:53</t>
  </si>
  <si>
    <t>05:19:40</t>
  </si>
  <si>
    <t>05:10:15</t>
  </si>
  <si>
    <t>05:40:34</t>
  </si>
  <si>
    <t>05:11:25</t>
  </si>
  <si>
    <t>05:39:00</t>
  </si>
  <si>
    <t>05:24:13</t>
  </si>
  <si>
    <t>05:47:09</t>
  </si>
  <si>
    <t>06:07:29</t>
  </si>
  <si>
    <t>06:20:09</t>
  </si>
  <si>
    <t>06:10:41</t>
  </si>
  <si>
    <t>06:28:31</t>
  </si>
  <si>
    <t>06:44:59</t>
  </si>
  <si>
    <t>06:56:00</t>
  </si>
  <si>
    <t>07:05:24</t>
  </si>
  <si>
    <t>07:16:05</t>
  </si>
  <si>
    <t>07:20:21</t>
  </si>
  <si>
    <t>07:30:16</t>
  </si>
  <si>
    <t>08:50:39</t>
  </si>
  <si>
    <t>09:00:42</t>
  </si>
  <si>
    <t>09:30:13</t>
  </si>
  <si>
    <t>10:00:55</t>
  </si>
  <si>
    <t>09:43:34</t>
  </si>
  <si>
    <t>09:53:21</t>
  </si>
  <si>
    <t>09:51:44</t>
  </si>
  <si>
    <t>10:09:39</t>
  </si>
  <si>
    <t>10:14:59</t>
  </si>
  <si>
    <t>10:35:20</t>
  </si>
  <si>
    <t>11:05:36</t>
  </si>
  <si>
    <t>11:02:31</t>
  </si>
  <si>
    <t>11:10:43</t>
  </si>
  <si>
    <t>11:20:31</t>
  </si>
  <si>
    <t>11:44:59</t>
  </si>
  <si>
    <t>11:57:17</t>
  </si>
  <si>
    <t>12:09:26</t>
  </si>
  <si>
    <t>12:12:22</t>
  </si>
  <si>
    <t>12:22:11</t>
  </si>
  <si>
    <t>12:18:59</t>
  </si>
  <si>
    <t>12:29:55</t>
  </si>
  <si>
    <t>12:27:03</t>
  </si>
  <si>
    <t>12:38:32</t>
  </si>
  <si>
    <t>12:36:55</t>
  </si>
  <si>
    <t>12:52:38</t>
  </si>
  <si>
    <t>12:58:38</t>
  </si>
  <si>
    <t>13:08:58</t>
  </si>
  <si>
    <t>13:04:54</t>
  </si>
  <si>
    <t>13:16:51</t>
  </si>
  <si>
    <t>14:05:49</t>
  </si>
  <si>
    <t>14:16:03</t>
  </si>
  <si>
    <t>14:13:51</t>
  </si>
  <si>
    <t>14:24:21</t>
  </si>
  <si>
    <t>14:35:33</t>
  </si>
  <si>
    <t>14:50:20</t>
  </si>
  <si>
    <t>14:41:41</t>
  </si>
  <si>
    <t>14:56:28</t>
  </si>
  <si>
    <t>14:48:24</t>
  </si>
  <si>
    <t>15:07:12</t>
  </si>
  <si>
    <t>17:16:12</t>
  </si>
  <si>
    <t>17:35:14</t>
  </si>
  <si>
    <t>17:38:29</t>
  </si>
  <si>
    <t>17:57:10</t>
  </si>
  <si>
    <t>17:58:01</t>
  </si>
  <si>
    <t>18:09:01</t>
  </si>
  <si>
    <t>17:59:13</t>
  </si>
  <si>
    <t>18:16:44</t>
  </si>
  <si>
    <t>18:13:17</t>
  </si>
  <si>
    <t>18:26:00</t>
  </si>
  <si>
    <t>18:38:04</t>
  </si>
  <si>
    <t>18:45:45</t>
  </si>
  <si>
    <t>18:59:56</t>
  </si>
  <si>
    <t>19:03:51</t>
  </si>
  <si>
    <t>19:15:13</t>
  </si>
  <si>
    <t>19:06:55</t>
  </si>
  <si>
    <t>19:22:13</t>
  </si>
  <si>
    <t>19:11:44</t>
  </si>
  <si>
    <t>19:30:53</t>
  </si>
  <si>
    <t>19:13:18</t>
  </si>
  <si>
    <t>19:46:11</t>
  </si>
  <si>
    <t>19:13:42</t>
  </si>
  <si>
    <t>19:37:49</t>
  </si>
  <si>
    <t>19:14:02</t>
  </si>
  <si>
    <t>20:04:44</t>
  </si>
  <si>
    <t>19:23:49</t>
  </si>
  <si>
    <t>23:38:11</t>
  </si>
  <si>
    <t>19:38:53</t>
  </si>
  <si>
    <t>19:57:35</t>
  </si>
  <si>
    <t>19:52:19</t>
  </si>
  <si>
    <t>20:14:34</t>
  </si>
  <si>
    <t>22:59:18</t>
  </si>
  <si>
    <t>23:13:56</t>
  </si>
  <si>
    <t>23:00:36</t>
  </si>
  <si>
    <t>23:22:12</t>
  </si>
  <si>
    <t>23:02:38</t>
  </si>
  <si>
    <t>23:30:23</t>
  </si>
  <si>
    <t>23:16:41</t>
  </si>
  <si>
    <t>23:45:11</t>
  </si>
  <si>
    <t>23:27:32</t>
  </si>
  <si>
    <t>23:52:52</t>
  </si>
  <si>
    <t>23:56:06</t>
  </si>
  <si>
    <t>00:07:26</t>
  </si>
  <si>
    <t>00:09:02</t>
  </si>
  <si>
    <t>00:18:34</t>
  </si>
  <si>
    <t>00:37:10</t>
  </si>
  <si>
    <t>00:47:43</t>
  </si>
  <si>
    <t>02:48:50</t>
  </si>
  <si>
    <t>02:58:57</t>
  </si>
  <si>
    <t>02:50:26</t>
  </si>
  <si>
    <t>03:07:24</t>
  </si>
  <si>
    <t>02:51:36</t>
  </si>
  <si>
    <t>03:16:57</t>
  </si>
  <si>
    <t>02:57:51</t>
  </si>
  <si>
    <t>03:24:46</t>
  </si>
  <si>
    <t>03:26:12</t>
  </si>
  <si>
    <t>03:36:20</t>
  </si>
  <si>
    <t>03:28:28</t>
  </si>
  <si>
    <t>03:44:21</t>
  </si>
  <si>
    <t>03:46:31</t>
  </si>
  <si>
    <t>03:56:13</t>
  </si>
  <si>
    <t>04:03:05</t>
  </si>
  <si>
    <t>04:13:11</t>
  </si>
  <si>
    <t>04:30:42</t>
  </si>
  <si>
    <t>04:43:50</t>
  </si>
  <si>
    <t>04:41:49</t>
  </si>
  <si>
    <t>04:51:59</t>
  </si>
  <si>
    <t>04:47:19</t>
  </si>
  <si>
    <t>05:00:43</t>
  </si>
  <si>
    <t>05:04:01</t>
  </si>
  <si>
    <t>05:14:39</t>
  </si>
  <si>
    <t>05:08:51</t>
  </si>
  <si>
    <t>05:22:23</t>
  </si>
  <si>
    <t>05:36:05</t>
  </si>
  <si>
    <t>05:59:27</t>
  </si>
  <si>
    <t>06:06:36</t>
  </si>
  <si>
    <t>06:27:04</t>
  </si>
  <si>
    <t>07:18:30</t>
  </si>
  <si>
    <t>07:27:46</t>
  </si>
  <si>
    <t>07:56:38</t>
  </si>
  <si>
    <t>08:05:26</t>
  </si>
  <si>
    <t>08:12:06</t>
  </si>
  <si>
    <t>08:20:43</t>
  </si>
  <si>
    <t>08:13:56</t>
  </si>
  <si>
    <t>08:27:59</t>
  </si>
  <si>
    <t>08:23:10</t>
  </si>
  <si>
    <t>10:24:04</t>
  </si>
  <si>
    <t>08:44:48</t>
  </si>
  <si>
    <t>08:54:27</t>
  </si>
  <si>
    <t>08:58:31</t>
  </si>
  <si>
    <t>09:07:39</t>
  </si>
  <si>
    <t>09:09:39</t>
  </si>
  <si>
    <t>09:20:18</t>
  </si>
  <si>
    <t>09:40:11</t>
  </si>
  <si>
    <t>09:33:59</t>
  </si>
  <si>
    <t>09:47:58</t>
  </si>
  <si>
    <t>09:41:09</t>
  </si>
  <si>
    <t>09:56:32</t>
  </si>
  <si>
    <t>10:06:47</t>
  </si>
  <si>
    <t>10:16:13</t>
  </si>
  <si>
    <t>10:22:00</t>
  </si>
  <si>
    <t>10:31:12</t>
  </si>
  <si>
    <t>10:26:00</t>
  </si>
  <si>
    <t>10:37:28</t>
  </si>
  <si>
    <t>10:27:48</t>
  </si>
  <si>
    <t>10:55:17</t>
  </si>
  <si>
    <t>11:18:40</t>
  </si>
  <si>
    <t>11:28:16</t>
  </si>
  <si>
    <t>11:56:48</t>
  </si>
  <si>
    <t>12:05:55</t>
  </si>
  <si>
    <t>13:46:01</t>
  </si>
  <si>
    <t>13:55:19</t>
  </si>
  <si>
    <t>14:00:29</t>
  </si>
  <si>
    <t>14:09:33</t>
  </si>
  <si>
    <t>14:15:26</t>
  </si>
  <si>
    <t>14:24:45</t>
  </si>
  <si>
    <t>14:27:37</t>
  </si>
  <si>
    <t>14:36:42</t>
  </si>
  <si>
    <t>14:28:38</t>
  </si>
  <si>
    <t>14:43:44</t>
  </si>
  <si>
    <t>14:30:09</t>
  </si>
  <si>
    <t>14:50:24</t>
  </si>
  <si>
    <t>14:52:46</t>
  </si>
  <si>
    <t>15:02:08</t>
  </si>
  <si>
    <t>14:54:20</t>
  </si>
  <si>
    <t>15:10:05</t>
  </si>
  <si>
    <t>14:55:46</t>
  </si>
  <si>
    <t>15:16:32</t>
  </si>
  <si>
    <t>14:56:21</t>
  </si>
  <si>
    <t>15:24:21</t>
  </si>
  <si>
    <t>15:00:58</t>
  </si>
  <si>
    <t>15:31:20</t>
  </si>
  <si>
    <t>15:04:21</t>
  </si>
  <si>
    <t>15:38:11</t>
  </si>
  <si>
    <t>15:06:47</t>
  </si>
  <si>
    <t>15:45:21</t>
  </si>
  <si>
    <t>15:08:16</t>
  </si>
  <si>
    <t>15:52:42</t>
  </si>
  <si>
    <t>15:44:18</t>
  </si>
  <si>
    <t>16:00:14</t>
  </si>
  <si>
    <t>16:54:13</t>
  </si>
  <si>
    <t>17:03:41</t>
  </si>
  <si>
    <t>18:29:29</t>
  </si>
  <si>
    <t>18:38:57</t>
  </si>
  <si>
    <t>18:36:24</t>
  </si>
  <si>
    <t>18:46:15</t>
  </si>
  <si>
    <t>18:55:04</t>
  </si>
  <si>
    <t>19:05:12</t>
  </si>
  <si>
    <t>19:01:08</t>
  </si>
  <si>
    <t>19:13:02</t>
  </si>
  <si>
    <t>19:19:48</t>
  </si>
  <si>
    <t>19:30:15</t>
  </si>
  <si>
    <t>19:24:21</t>
  </si>
  <si>
    <t>19:38:44</t>
  </si>
  <si>
    <t>19:28:47</t>
  </si>
  <si>
    <t>19:48:10</t>
  </si>
  <si>
    <t>19:46:17</t>
  </si>
  <si>
    <t>19:56:00</t>
  </si>
  <si>
    <t>20:11:44</t>
  </si>
  <si>
    <t>20:21:36</t>
  </si>
  <si>
    <t>20:26:34</t>
  </si>
  <si>
    <t>20:36:36</t>
  </si>
  <si>
    <t>20:31:01</t>
  </si>
  <si>
    <t>20:46:17</t>
  </si>
  <si>
    <t>20:33:48</t>
  </si>
  <si>
    <t>20:53:27</t>
  </si>
  <si>
    <t>20:47:07</t>
  </si>
  <si>
    <t>21:00:39</t>
  </si>
  <si>
    <t>20:48:46</t>
  </si>
  <si>
    <t>21:07:33</t>
  </si>
  <si>
    <t>21:25:25</t>
  </si>
  <si>
    <t>21:35:28</t>
  </si>
  <si>
    <t>23:52:45</t>
  </si>
  <si>
    <t>00:03:38</t>
  </si>
  <si>
    <t>23:57:05</t>
  </si>
  <si>
    <t>00:11:43</t>
  </si>
  <si>
    <t>00:02:06</t>
  </si>
  <si>
    <t>00:21:25</t>
  </si>
  <si>
    <t>01:26:51</t>
  </si>
  <si>
    <t>01:36:54</t>
  </si>
  <si>
    <t>01:56:10</t>
  </si>
  <si>
    <t>02:07:03</t>
  </si>
  <si>
    <t>02:20:07</t>
  </si>
  <si>
    <t>03:22:32</t>
  </si>
  <si>
    <t>03:28:50</t>
  </si>
  <si>
    <t>03:38:29</t>
  </si>
  <si>
    <t>03:40:13</t>
  </si>
  <si>
    <t>03:49:12</t>
  </si>
  <si>
    <t>03:47:21</t>
  </si>
  <si>
    <t>03:57:01</t>
  </si>
  <si>
    <t>04:03:29</t>
  </si>
  <si>
    <t>04:14:44</t>
  </si>
  <si>
    <t>04:58:25</t>
  </si>
  <si>
    <t>05:08:56</t>
  </si>
  <si>
    <t>05:16:10</t>
  </si>
  <si>
    <t>05:27:49</t>
  </si>
  <si>
    <t>06:47:28</t>
  </si>
  <si>
    <t>07:01:09</t>
  </si>
  <si>
    <t>09:55:16</t>
  </si>
  <si>
    <t>10:11:39</t>
  </si>
  <si>
    <t>10:06:54</t>
  </si>
  <si>
    <t>10:20:02</t>
  </si>
  <si>
    <t>10:23:45</t>
  </si>
  <si>
    <t>10:39:03</t>
  </si>
  <si>
    <t>10:26:09</t>
  </si>
  <si>
    <t>10:42:23</t>
  </si>
  <si>
    <t>10:36:53</t>
  </si>
  <si>
    <t>10:50:09</t>
  </si>
  <si>
    <t>11:16:06</t>
  </si>
  <si>
    <t>11:54:54</t>
  </si>
  <si>
    <t>11:23:25</t>
  </si>
  <si>
    <t>11:58:15</t>
  </si>
  <si>
    <t>11:39:04</t>
  </si>
  <si>
    <t>12:22:45</t>
  </si>
  <si>
    <t>11:52:19</t>
  </si>
  <si>
    <t>12:03:24</t>
  </si>
  <si>
    <t>12:04:25</t>
  </si>
  <si>
    <t>12:18:13</t>
  </si>
  <si>
    <t>12:16:30</t>
  </si>
  <si>
    <t>12:31:02</t>
  </si>
  <si>
    <t>12:54:29</t>
  </si>
  <si>
    <t>13:04:37</t>
  </si>
  <si>
    <t>13:19:03</t>
  </si>
  <si>
    <t>13:46:35</t>
  </si>
  <si>
    <t>UTXK/ĐN-QS/0726</t>
  </si>
  <si>
    <t>( Vận chuyển từ ngày 18/09/2026 đến ngày 23/09/2026 )</t>
  </si>
  <si>
    <t>Quế Sơn Trung, ngày 24 tháng 09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</si>
</sst>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[$-F400]h:mm:ss\ AM/PM"/>
    <numFmt numFmtId="166" formatCode="_(* #,##0.0_);_(* \(#,##0.0\);_(* &quot;-&quot;??_);_(@_)"/>
    <numFmt numFmtId="167" formatCode="0.00_);\(0.00\)"/>
    <numFmt numFmtId="168" formatCode="dd/mm/yyyy"/>
  </numFmts>
  <fonts count="43" x14ac:knownFonts="1">
    <font>
      <sz val="14"/>
      <color theme="1"/>
      <name val="Times New Roman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Times New Roman"/>
      <family val="2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2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rgb="FF000000"/>
      <name val="Microsoft Sans Serif"/>
      <family val="2"/>
    </font>
    <font>
      <sz val="8"/>
      <name val="Microsoft Sans Serif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1"/>
      <color theme="1"/>
      <name val="Aptos Narrow"/>
      <family val="2"/>
      <charset val="163"/>
      <scheme val="minor"/>
    </font>
    <font>
      <sz val="12"/>
      <color theme="1"/>
      <name val="Times New Roman"/>
      <family val="2"/>
    </font>
    <font>
      <b/>
      <sz val="12"/>
      <color theme="1"/>
      <name val="Aptos Narrow"/>
      <family val="2"/>
      <charset val="163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sz val="14"/>
      <color theme="1"/>
      <name val="Times New Roman"/>
      <family val="1"/>
    </font>
    <font>
      <b/>
      <sz val="11"/>
      <name val="Times New Roman"/>
      <family val="1"/>
    </font>
    <font>
      <sz val="14"/>
      <color rgb="FFFF0000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C2CFF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8DA1DE"/>
      </left>
      <right style="thin">
        <color rgb="FF8DA1DE"/>
      </right>
      <top style="thin">
        <color rgb="FF8DA1DE"/>
      </top>
      <bottom/>
      <diagonal/>
    </border>
    <border>
      <left style="thin">
        <color rgb="FF8DA1DE"/>
      </left>
      <right/>
      <top style="thin">
        <color rgb="FF8DA1DE"/>
      </top>
      <bottom style="thin">
        <color rgb="FF8DA1DE"/>
      </bottom>
      <diagonal/>
    </border>
    <border>
      <left/>
      <right/>
      <top style="thin">
        <color rgb="FF8DA1DE"/>
      </top>
      <bottom style="thin">
        <color rgb="FF8DA1DE"/>
      </bottom>
      <diagonal/>
    </border>
    <border>
      <left/>
      <right style="thin">
        <color rgb="FF8DA1DE"/>
      </right>
      <top style="thin">
        <color rgb="FF8DA1DE"/>
      </top>
      <bottom style="thin">
        <color rgb="FF8DA1DE"/>
      </bottom>
      <diagonal/>
    </border>
    <border>
      <left style="thin">
        <color rgb="FF8DA1DE"/>
      </left>
      <right style="thin">
        <color rgb="FF8DA1DE"/>
      </right>
      <top/>
      <bottom style="thin">
        <color rgb="FF8DA1DE"/>
      </bottom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6">
    <xf numFmtId="0" fontId="0" fillId="0" borderId="0"/>
    <xf numFmtId="43" fontId="16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8" fillId="0" borderId="0"/>
    <xf numFmtId="9" fontId="12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30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43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349">
    <xf numFmtId="0" fontId="0" fillId="0" borderId="0" xfId="0"/>
    <xf numFmtId="14" fontId="0" fillId="0" borderId="0" xfId="0" applyNumberFormat="1"/>
    <xf numFmtId="40" fontId="0" fillId="0" borderId="0" xfId="0" applyNumberFormat="1"/>
    <xf numFmtId="38" fontId="0" fillId="0" borderId="0" xfId="0" applyNumberFormat="1"/>
    <xf numFmtId="0" fontId="14" fillId="0" borderId="0" xfId="0" applyFont="1"/>
    <xf numFmtId="3" fontId="14" fillId="0" borderId="0" xfId="0" applyNumberFormat="1" applyFont="1"/>
    <xf numFmtId="4" fontId="14" fillId="0" borderId="0" xfId="0" applyNumberFormat="1" applyFont="1"/>
    <xf numFmtId="40" fontId="14" fillId="0" borderId="0" xfId="0" applyNumberFormat="1" applyFont="1"/>
    <xf numFmtId="38" fontId="14" fillId="0" borderId="0" xfId="0" applyNumberFormat="1" applyFont="1"/>
    <xf numFmtId="0" fontId="17" fillId="0" borderId="0" xfId="0" applyFont="1"/>
    <xf numFmtId="0" fontId="17" fillId="0" borderId="0" xfId="0" applyFont="1" applyAlignment="1">
      <alignment horizontal="left"/>
    </xf>
    <xf numFmtId="0" fontId="19" fillId="0" borderId="0" xfId="0" applyFont="1"/>
    <xf numFmtId="43" fontId="19" fillId="0" borderId="0" xfId="1" applyFont="1"/>
    <xf numFmtId="0" fontId="20" fillId="0" borderId="0" xfId="0" applyFont="1"/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43" fontId="19" fillId="0" borderId="0" xfId="1" applyFont="1" applyAlignment="1">
      <alignment horizontal="center"/>
    </xf>
    <xf numFmtId="0" fontId="19" fillId="0" borderId="6" xfId="0" applyFont="1" applyBorder="1"/>
    <xf numFmtId="14" fontId="19" fillId="0" borderId="6" xfId="0" applyNumberFormat="1" applyFont="1" applyBorder="1" applyAlignment="1">
      <alignment horizontal="left"/>
    </xf>
    <xf numFmtId="164" fontId="19" fillId="0" borderId="6" xfId="1" applyNumberFormat="1" applyFont="1" applyBorder="1" applyAlignment="1"/>
    <xf numFmtId="0" fontId="19" fillId="0" borderId="6" xfId="0" applyFont="1" applyBorder="1" applyAlignment="1">
      <alignment horizontal="left"/>
    </xf>
    <xf numFmtId="43" fontId="19" fillId="0" borderId="0" xfId="0" applyNumberFormat="1" applyFont="1"/>
    <xf numFmtId="0" fontId="21" fillId="0" borderId="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14" fontId="21" fillId="0" borderId="1" xfId="0" applyNumberFormat="1" applyFont="1" applyBorder="1" applyAlignment="1">
      <alignment horizontal="center" vertical="center"/>
    </xf>
    <xf numFmtId="165" fontId="21" fillId="0" borderId="1" xfId="0" applyNumberFormat="1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5" xfId="0" quotePrefix="1" applyFont="1" applyBorder="1" applyAlignment="1">
      <alignment horizontal="center" vertical="center"/>
    </xf>
    <xf numFmtId="43" fontId="21" fillId="0" borderId="5" xfId="1" applyFont="1" applyFill="1" applyBorder="1" applyAlignment="1">
      <alignment horizontal="center" vertical="center"/>
    </xf>
    <xf numFmtId="43" fontId="19" fillId="0" borderId="0" xfId="1" applyFont="1" applyFill="1" applyAlignment="1">
      <alignment horizontal="center"/>
    </xf>
    <xf numFmtId="0" fontId="22" fillId="0" borderId="8" xfId="0" applyFont="1" applyBorder="1"/>
    <xf numFmtId="0" fontId="23" fillId="0" borderId="5" xfId="0" quotePrefix="1" applyFont="1" applyBorder="1"/>
    <xf numFmtId="14" fontId="23" fillId="0" borderId="1" xfId="0" applyNumberFormat="1" applyFont="1" applyBorder="1"/>
    <xf numFmtId="165" fontId="23" fillId="0" borderId="1" xfId="0" applyNumberFormat="1" applyFont="1" applyBorder="1"/>
    <xf numFmtId="0" fontId="23" fillId="0" borderId="1" xfId="0" applyFont="1" applyBorder="1"/>
    <xf numFmtId="3" fontId="23" fillId="0" borderId="1" xfId="0" applyNumberFormat="1" applyFont="1" applyBorder="1"/>
    <xf numFmtId="0" fontId="22" fillId="0" borderId="1" xfId="0" applyFont="1" applyBorder="1"/>
    <xf numFmtId="43" fontId="19" fillId="0" borderId="5" xfId="1" applyFont="1" applyFill="1" applyBorder="1" applyAlignment="1"/>
    <xf numFmtId="43" fontId="19" fillId="0" borderId="0" xfId="1" applyFont="1" applyFill="1" applyAlignment="1"/>
    <xf numFmtId="14" fontId="19" fillId="0" borderId="0" xfId="0" applyNumberFormat="1" applyFont="1" applyAlignment="1">
      <alignment horizontal="left"/>
    </xf>
    <xf numFmtId="0" fontId="19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43" fontId="24" fillId="0" borderId="0" xfId="1" applyFont="1" applyBorder="1" applyAlignment="1">
      <alignment horizontal="center"/>
    </xf>
    <xf numFmtId="38" fontId="25" fillId="2" borderId="9" xfId="0" applyNumberFormat="1" applyFont="1" applyFill="1" applyBorder="1" applyAlignment="1">
      <alignment horizontal="center" vertical="center" wrapText="1"/>
    </xf>
    <xf numFmtId="0" fontId="25" fillId="2" borderId="10" xfId="0" applyFont="1" applyFill="1" applyBorder="1" applyAlignment="1">
      <alignment horizontal="center" vertical="center" wrapText="1"/>
    </xf>
    <xf numFmtId="40" fontId="25" fillId="2" borderId="9" xfId="0" applyNumberFormat="1" applyFont="1" applyFill="1" applyBorder="1" applyAlignment="1">
      <alignment horizontal="center" vertical="center" wrapText="1"/>
    </xf>
    <xf numFmtId="0" fontId="26" fillId="0" borderId="14" xfId="0" applyFont="1" applyBorder="1" applyAlignment="1">
      <alignment horizontal="left" vertical="center"/>
    </xf>
    <xf numFmtId="14" fontId="26" fillId="0" borderId="14" xfId="0" applyNumberFormat="1" applyFont="1" applyBorder="1" applyAlignment="1">
      <alignment horizontal="center" vertical="center"/>
    </xf>
    <xf numFmtId="38" fontId="26" fillId="0" borderId="14" xfId="0" applyNumberFormat="1" applyFont="1" applyBorder="1" applyAlignment="1">
      <alignment horizontal="right" vertical="center"/>
    </xf>
    <xf numFmtId="40" fontId="26" fillId="0" borderId="14" xfId="0" applyNumberFormat="1" applyFont="1" applyBorder="1" applyAlignment="1">
      <alignment horizontal="right" vertical="center"/>
    </xf>
    <xf numFmtId="0" fontId="26" fillId="3" borderId="14" xfId="0" applyFont="1" applyFill="1" applyBorder="1" applyAlignment="1">
      <alignment horizontal="left" vertical="center"/>
    </xf>
    <xf numFmtId="40" fontId="26" fillId="3" borderId="14" xfId="0" applyNumberFormat="1" applyFont="1" applyFill="1" applyBorder="1" applyAlignment="1">
      <alignment horizontal="right" vertical="center"/>
    </xf>
    <xf numFmtId="38" fontId="26" fillId="3" borderId="14" xfId="0" applyNumberFormat="1" applyFont="1" applyFill="1" applyBorder="1" applyAlignment="1">
      <alignment horizontal="right" vertical="center"/>
    </xf>
    <xf numFmtId="0" fontId="27" fillId="0" borderId="0" xfId="7" applyFont="1" applyAlignment="1">
      <alignment horizontal="left"/>
    </xf>
    <xf numFmtId="0" fontId="28" fillId="0" borderId="0" xfId="7" applyFont="1" applyAlignment="1">
      <alignment horizontal="left"/>
    </xf>
    <xf numFmtId="2" fontId="28" fillId="0" borderId="0" xfId="7" applyNumberFormat="1" applyFont="1" applyAlignment="1">
      <alignment horizontal="center"/>
    </xf>
    <xf numFmtId="2" fontId="28" fillId="0" borderId="0" xfId="7" applyNumberFormat="1" applyFont="1" applyAlignment="1">
      <alignment horizontal="center" vertical="center"/>
    </xf>
    <xf numFmtId="0" fontId="28" fillId="0" borderId="0" xfId="7" applyFont="1" applyAlignment="1">
      <alignment horizontal="center" vertical="center"/>
    </xf>
    <xf numFmtId="164" fontId="28" fillId="0" borderId="0" xfId="8" applyNumberFormat="1" applyFont="1" applyFill="1" applyAlignment="1">
      <alignment horizontal="center" vertical="center"/>
    </xf>
    <xf numFmtId="0" fontId="28" fillId="0" borderId="0" xfId="7" applyFont="1"/>
    <xf numFmtId="0" fontId="17" fillId="0" borderId="0" xfId="7" applyFont="1"/>
    <xf numFmtId="0" fontId="27" fillId="0" borderId="5" xfId="7" applyFont="1" applyBorder="1" applyAlignment="1">
      <alignment horizontal="center" vertical="center" wrapText="1"/>
    </xf>
    <xf numFmtId="2" fontId="27" fillId="0" borderId="5" xfId="7" applyNumberFormat="1" applyFont="1" applyBorder="1" applyAlignment="1">
      <alignment horizontal="center" vertical="center" wrapText="1"/>
    </xf>
    <xf numFmtId="164" fontId="27" fillId="0" borderId="5" xfId="8" applyNumberFormat="1" applyFont="1" applyFill="1" applyBorder="1" applyAlignment="1">
      <alignment horizontal="center" vertical="center" wrapText="1"/>
    </xf>
    <xf numFmtId="3" fontId="17" fillId="0" borderId="5" xfId="7" applyNumberFormat="1" applyFont="1" applyBorder="1" applyAlignment="1">
      <alignment horizontal="center" vertical="center"/>
    </xf>
    <xf numFmtId="3" fontId="17" fillId="0" borderId="5" xfId="7" applyNumberFormat="1" applyFont="1" applyBorder="1" applyAlignment="1">
      <alignment horizontal="right" vertical="center"/>
    </xf>
    <xf numFmtId="4" fontId="17" fillId="0" borderId="0" xfId="7" applyNumberFormat="1" applyFont="1" applyAlignment="1">
      <alignment vertical="center"/>
    </xf>
    <xf numFmtId="3" fontId="17" fillId="0" borderId="0" xfId="7" applyNumberFormat="1" applyFont="1" applyAlignment="1">
      <alignment vertical="center"/>
    </xf>
    <xf numFmtId="2" fontId="28" fillId="0" borderId="0" xfId="7" applyNumberFormat="1" applyFont="1" applyAlignment="1">
      <alignment vertical="center"/>
    </xf>
    <xf numFmtId="164" fontId="28" fillId="0" borderId="0" xfId="7" applyNumberFormat="1" applyFont="1" applyAlignment="1">
      <alignment vertical="center"/>
    </xf>
    <xf numFmtId="0" fontId="28" fillId="0" borderId="0" xfId="7" applyFont="1" applyAlignment="1">
      <alignment vertical="center"/>
    </xf>
    <xf numFmtId="0" fontId="17" fillId="0" borderId="0" xfId="7" applyFont="1" applyAlignment="1">
      <alignment vertical="center"/>
    </xf>
    <xf numFmtId="164" fontId="27" fillId="0" borderId="5" xfId="6" applyNumberFormat="1" applyFont="1" applyFill="1" applyBorder="1" applyAlignment="1">
      <alignment horizontal="center" vertical="center"/>
    </xf>
    <xf numFmtId="3" fontId="15" fillId="0" borderId="5" xfId="7" applyNumberFormat="1" applyFont="1" applyBorder="1" applyAlignment="1">
      <alignment horizontal="center" vertical="center"/>
    </xf>
    <xf numFmtId="164" fontId="27" fillId="0" borderId="5" xfId="8" applyNumberFormat="1" applyFont="1" applyFill="1" applyBorder="1" applyAlignment="1">
      <alignment horizontal="center" vertical="center"/>
    </xf>
    <xf numFmtId="43" fontId="27" fillId="0" borderId="5" xfId="6" applyFont="1" applyFill="1" applyBorder="1" applyAlignment="1">
      <alignment horizontal="center" vertical="center"/>
    </xf>
    <xf numFmtId="164" fontId="27" fillId="0" borderId="5" xfId="6" applyNumberFormat="1" applyFont="1" applyFill="1" applyBorder="1" applyAlignment="1">
      <alignment horizontal="right" vertical="center"/>
    </xf>
    <xf numFmtId="0" fontId="27" fillId="0" borderId="0" xfId="7" applyFont="1" applyAlignment="1">
      <alignment vertical="center"/>
    </xf>
    <xf numFmtId="0" fontId="15" fillId="0" borderId="0" xfId="7" applyFont="1" applyAlignment="1">
      <alignment vertical="center"/>
    </xf>
    <xf numFmtId="0" fontId="29" fillId="0" borderId="5" xfId="7" applyFont="1" applyBorder="1" applyAlignment="1">
      <alignment vertical="center"/>
    </xf>
    <xf numFmtId="0" fontId="29" fillId="0" borderId="0" xfId="7" applyFont="1" applyAlignment="1">
      <alignment horizontal="center"/>
    </xf>
    <xf numFmtId="0" fontId="29" fillId="0" borderId="0" xfId="7" applyFont="1" applyAlignment="1">
      <alignment horizontal="center" vertical="center"/>
    </xf>
    <xf numFmtId="0" fontId="28" fillId="0" borderId="0" xfId="9" applyFont="1"/>
    <xf numFmtId="0" fontId="27" fillId="0" borderId="0" xfId="7" applyFont="1"/>
    <xf numFmtId="0" fontId="27" fillId="0" borderId="0" xfId="7" applyFont="1" applyAlignment="1">
      <alignment horizontal="center" vertical="center"/>
    </xf>
    <xf numFmtId="0" fontId="28" fillId="0" borderId="0" xfId="4" applyFont="1"/>
    <xf numFmtId="164" fontId="28" fillId="0" borderId="0" xfId="8" applyNumberFormat="1" applyFont="1" applyFill="1" applyAlignment="1">
      <alignment horizontal="center"/>
    </xf>
    <xf numFmtId="0" fontId="28" fillId="0" borderId="0" xfId="4" applyFont="1" applyAlignment="1">
      <alignment horizontal="center" vertical="center"/>
    </xf>
    <xf numFmtId="0" fontId="28" fillId="0" borderId="0" xfId="4" applyFont="1" applyAlignment="1">
      <alignment horizontal="left"/>
    </xf>
    <xf numFmtId="0" fontId="27" fillId="0" borderId="0" xfId="4" applyFont="1"/>
    <xf numFmtId="0" fontId="27" fillId="0" borderId="0" xfId="9" applyFont="1"/>
    <xf numFmtId="0" fontId="28" fillId="0" borderId="0" xfId="9" applyFont="1" applyAlignment="1">
      <alignment horizontal="left"/>
    </xf>
    <xf numFmtId="0" fontId="28" fillId="0" borderId="0" xfId="9" applyFont="1" applyAlignment="1">
      <alignment horizontal="center"/>
    </xf>
    <xf numFmtId="0" fontId="28" fillId="0" borderId="0" xfId="9" applyFont="1" applyAlignment="1">
      <alignment horizontal="center" vertical="center"/>
    </xf>
    <xf numFmtId="2" fontId="28" fillId="0" borderId="0" xfId="9" applyNumberFormat="1" applyFont="1"/>
    <xf numFmtId="0" fontId="28" fillId="0" borderId="0" xfId="7" applyFont="1" applyAlignment="1">
      <alignment horizontal="center"/>
    </xf>
    <xf numFmtId="4" fontId="17" fillId="0" borderId="5" xfId="7" applyNumberFormat="1" applyFont="1" applyBorder="1" applyAlignment="1">
      <alignment horizontal="right" vertical="center"/>
    </xf>
    <xf numFmtId="166" fontId="17" fillId="0" borderId="0" xfId="8" applyNumberFormat="1" applyFont="1" applyFill="1" applyAlignment="1">
      <alignment horizontal="left" vertical="center"/>
    </xf>
    <xf numFmtId="0" fontId="17" fillId="0" borderId="5" xfId="0" applyFont="1" applyBorder="1"/>
    <xf numFmtId="14" fontId="17" fillId="0" borderId="5" xfId="0" applyNumberFormat="1" applyFont="1" applyBorder="1"/>
    <xf numFmtId="0" fontId="27" fillId="4" borderId="0" xfId="16" applyFont="1" applyFill="1" applyAlignment="1">
      <alignment horizontal="left"/>
    </xf>
    <xf numFmtId="0" fontId="28" fillId="4" borderId="0" xfId="16" applyFont="1" applyFill="1" applyAlignment="1">
      <alignment horizontal="left"/>
    </xf>
    <xf numFmtId="2" fontId="28" fillId="4" borderId="0" xfId="16" applyNumberFormat="1" applyFont="1" applyFill="1" applyAlignment="1">
      <alignment horizontal="left"/>
    </xf>
    <xf numFmtId="0" fontId="28" fillId="4" borderId="0" xfId="16" applyFont="1" applyFill="1" applyAlignment="1">
      <alignment horizontal="center"/>
    </xf>
    <xf numFmtId="164" fontId="28" fillId="4" borderId="0" xfId="17" applyNumberFormat="1" applyFont="1" applyFill="1"/>
    <xf numFmtId="0" fontId="28" fillId="4" borderId="0" xfId="16" applyFont="1" applyFill="1"/>
    <xf numFmtId="0" fontId="27" fillId="4" borderId="5" xfId="16" applyFont="1" applyFill="1" applyBorder="1" applyAlignment="1">
      <alignment horizontal="center" vertical="center" wrapText="1"/>
    </xf>
    <xf numFmtId="2" fontId="27" fillId="4" borderId="5" xfId="16" applyNumberFormat="1" applyFont="1" applyFill="1" applyBorder="1" applyAlignment="1">
      <alignment horizontal="center" vertical="center" wrapText="1"/>
    </xf>
    <xf numFmtId="164" fontId="27" fillId="4" borderId="5" xfId="17" applyNumberFormat="1" applyFont="1" applyFill="1" applyBorder="1" applyAlignment="1">
      <alignment horizontal="center" vertical="center" wrapText="1"/>
    </xf>
    <xf numFmtId="164" fontId="28" fillId="4" borderId="5" xfId="17" applyNumberFormat="1" applyFont="1" applyFill="1" applyBorder="1" applyAlignment="1">
      <alignment horizontal="center" vertical="center" wrapText="1"/>
    </xf>
    <xf numFmtId="43" fontId="28" fillId="4" borderId="5" xfId="17" applyFont="1" applyFill="1" applyBorder="1" applyAlignment="1">
      <alignment horizontal="center" vertical="center" wrapText="1"/>
    </xf>
    <xf numFmtId="164" fontId="28" fillId="4" borderId="5" xfId="17" applyNumberFormat="1" applyFont="1" applyFill="1" applyBorder="1" applyAlignment="1">
      <alignment horizontal="center"/>
    </xf>
    <xf numFmtId="167" fontId="27" fillId="4" borderId="5" xfId="16" applyNumberFormat="1" applyFont="1" applyFill="1" applyBorder="1" applyAlignment="1">
      <alignment horizontal="center" vertical="center" wrapText="1"/>
    </xf>
    <xf numFmtId="164" fontId="27" fillId="4" borderId="5" xfId="6" applyNumberFormat="1" applyFont="1" applyFill="1" applyBorder="1" applyAlignment="1"/>
    <xf numFmtId="43" fontId="27" fillId="4" borderId="5" xfId="1" applyFont="1" applyFill="1" applyBorder="1" applyAlignment="1"/>
    <xf numFmtId="164" fontId="27" fillId="4" borderId="5" xfId="6" applyNumberFormat="1" applyFont="1" applyFill="1" applyBorder="1" applyAlignment="1">
      <alignment horizontal="right"/>
    </xf>
    <xf numFmtId="37" fontId="27" fillId="4" borderId="0" xfId="16" applyNumberFormat="1" applyFont="1" applyFill="1"/>
    <xf numFmtId="0" fontId="27" fillId="4" borderId="0" xfId="16" applyFont="1" applyFill="1"/>
    <xf numFmtId="0" fontId="28" fillId="4" borderId="0" xfId="0" applyFont="1" applyFill="1"/>
    <xf numFmtId="0" fontId="29" fillId="4" borderId="0" xfId="0" applyFont="1" applyFill="1" applyAlignment="1">
      <alignment horizontal="center"/>
    </xf>
    <xf numFmtId="0" fontId="28" fillId="4" borderId="0" xfId="9" applyFont="1" applyFill="1"/>
    <xf numFmtId="0" fontId="27" fillId="4" borderId="0" xfId="0" applyFont="1" applyFill="1"/>
    <xf numFmtId="0" fontId="28" fillId="4" borderId="0" xfId="4" applyFont="1" applyFill="1"/>
    <xf numFmtId="0" fontId="28" fillId="4" borderId="0" xfId="4" applyFont="1" applyFill="1" applyAlignment="1">
      <alignment horizontal="left"/>
    </xf>
    <xf numFmtId="0" fontId="27" fillId="4" borderId="0" xfId="4" applyFont="1" applyFill="1"/>
    <xf numFmtId="0" fontId="27" fillId="4" borderId="0" xfId="9" applyFont="1" applyFill="1"/>
    <xf numFmtId="2" fontId="28" fillId="4" borderId="0" xfId="16" applyNumberFormat="1" applyFont="1" applyFill="1"/>
    <xf numFmtId="1" fontId="27" fillId="4" borderId="5" xfId="16" applyNumberFormat="1" applyFont="1" applyFill="1" applyBorder="1" applyAlignment="1">
      <alignment horizontal="center" vertical="center" wrapText="1"/>
    </xf>
    <xf numFmtId="1" fontId="29" fillId="4" borderId="0" xfId="0" applyNumberFormat="1" applyFont="1" applyFill="1" applyAlignment="1">
      <alignment horizontal="center"/>
    </xf>
    <xf numFmtId="0" fontId="31" fillId="0" borderId="0" xfId="0" applyFont="1"/>
    <xf numFmtId="0" fontId="32" fillId="0" borderId="0" xfId="0" applyFont="1"/>
    <xf numFmtId="0" fontId="28" fillId="4" borderId="0" xfId="0" applyFont="1" applyFill="1" applyAlignment="1">
      <alignment horizontal="left"/>
    </xf>
    <xf numFmtId="0" fontId="28" fillId="4" borderId="0" xfId="0" applyFont="1" applyFill="1" applyAlignment="1">
      <alignment horizontal="center"/>
    </xf>
    <xf numFmtId="0" fontId="28" fillId="4" borderId="0" xfId="9" applyFont="1" applyFill="1" applyAlignment="1">
      <alignment horizontal="left"/>
    </xf>
    <xf numFmtId="0" fontId="28" fillId="4" borderId="0" xfId="9" applyFont="1" applyFill="1" applyAlignment="1">
      <alignment horizontal="center"/>
    </xf>
    <xf numFmtId="2" fontId="28" fillId="4" borderId="0" xfId="9" applyNumberFormat="1" applyFont="1" applyFill="1"/>
    <xf numFmtId="0" fontId="33" fillId="0" borderId="0" xfId="0" applyFont="1"/>
    <xf numFmtId="0" fontId="34" fillId="0" borderId="0" xfId="0" applyFont="1"/>
    <xf numFmtId="0" fontId="28" fillId="4" borderId="0" xfId="18" applyFont="1" applyFill="1"/>
    <xf numFmtId="1" fontId="28" fillId="4" borderId="0" xfId="19" applyNumberFormat="1" applyFont="1" applyFill="1" applyAlignment="1">
      <alignment horizontal="center"/>
    </xf>
    <xf numFmtId="164" fontId="28" fillId="4" borderId="0" xfId="19" applyNumberFormat="1" applyFont="1" applyFill="1"/>
    <xf numFmtId="0" fontId="29" fillId="4" borderId="0" xfId="0" applyFont="1" applyFill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8" fillId="4" borderId="0" xfId="4" applyFont="1" applyFill="1" applyAlignment="1">
      <alignment horizontal="center" vertical="center"/>
    </xf>
    <xf numFmtId="0" fontId="27" fillId="4" borderId="0" xfId="4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28" fillId="0" borderId="5" xfId="0" quotePrefix="1" applyFont="1" applyBorder="1" applyAlignment="1">
      <alignment horizontal="center" vertical="center"/>
    </xf>
    <xf numFmtId="14" fontId="28" fillId="0" borderId="5" xfId="0" applyNumberFormat="1" applyFont="1" applyBorder="1" applyAlignment="1">
      <alignment horizontal="left"/>
    </xf>
    <xf numFmtId="21" fontId="28" fillId="0" borderId="5" xfId="0" applyNumberFormat="1" applyFont="1" applyBorder="1" applyAlignment="1">
      <alignment horizontal="left"/>
    </xf>
    <xf numFmtId="0" fontId="28" fillId="0" borderId="5" xfId="0" applyFont="1" applyBorder="1"/>
    <xf numFmtId="3" fontId="28" fillId="0" borderId="5" xfId="0" applyNumberFormat="1" applyFont="1" applyBorder="1"/>
    <xf numFmtId="0" fontId="28" fillId="0" borderId="5" xfId="0" applyFont="1" applyBorder="1" applyAlignment="1">
      <alignment horizontal="left"/>
    </xf>
    <xf numFmtId="0" fontId="28" fillId="0" borderId="5" xfId="0" applyFont="1" applyBorder="1" applyAlignment="1">
      <alignment horizontal="center" vertical="center"/>
    </xf>
    <xf numFmtId="14" fontId="28" fillId="0" borderId="5" xfId="0" applyNumberFormat="1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3" fontId="28" fillId="0" borderId="5" xfId="0" applyNumberFormat="1" applyFont="1" applyBorder="1" applyAlignment="1">
      <alignment horizontal="center"/>
    </xf>
    <xf numFmtId="14" fontId="28" fillId="0" borderId="5" xfId="0" applyNumberFormat="1" applyFont="1" applyBorder="1" applyAlignment="1">
      <alignment horizontal="center" vertical="center"/>
    </xf>
    <xf numFmtId="3" fontId="28" fillId="0" borderId="5" xfId="0" applyNumberFormat="1" applyFont="1" applyBorder="1" applyAlignment="1">
      <alignment horizontal="center" vertical="center"/>
    </xf>
    <xf numFmtId="3" fontId="33" fillId="0" borderId="5" xfId="0" applyNumberFormat="1" applyFont="1" applyBorder="1"/>
    <xf numFmtId="0" fontId="34" fillId="0" borderId="5" xfId="0" applyFont="1" applyBorder="1" applyAlignment="1">
      <alignment horizontal="center" vertical="center"/>
    </xf>
    <xf numFmtId="0" fontId="34" fillId="0" borderId="5" xfId="0" applyFont="1" applyBorder="1"/>
    <xf numFmtId="0" fontId="37" fillId="0" borderId="0" xfId="0" applyFont="1"/>
    <xf numFmtId="14" fontId="37" fillId="0" borderId="7" xfId="0" applyNumberFormat="1" applyFont="1" applyBorder="1"/>
    <xf numFmtId="0" fontId="37" fillId="0" borderId="7" xfId="0" applyFont="1" applyBorder="1"/>
    <xf numFmtId="43" fontId="37" fillId="0" borderId="7" xfId="0" applyNumberFormat="1" applyFont="1" applyBorder="1"/>
    <xf numFmtId="2" fontId="39" fillId="4" borderId="0" xfId="0" applyNumberFormat="1" applyFont="1" applyFill="1"/>
    <xf numFmtId="0" fontId="39" fillId="4" borderId="0" xfId="0" applyFont="1" applyFill="1" applyAlignment="1">
      <alignment horizontal="center"/>
    </xf>
    <xf numFmtId="0" fontId="38" fillId="4" borderId="0" xfId="4" applyFont="1" applyFill="1"/>
    <xf numFmtId="164" fontId="38" fillId="4" borderId="0" xfId="19" applyNumberFormat="1" applyFont="1" applyFill="1"/>
    <xf numFmtId="0" fontId="38" fillId="4" borderId="0" xfId="4" applyFont="1" applyFill="1" applyAlignment="1">
      <alignment horizontal="left"/>
    </xf>
    <xf numFmtId="164" fontId="39" fillId="4" borderId="0" xfId="6" applyNumberFormat="1" applyFont="1" applyFill="1" applyAlignment="1">
      <alignment horizontal="center" vertical="center"/>
    </xf>
    <xf numFmtId="14" fontId="37" fillId="0" borderId="3" xfId="0" applyNumberFormat="1" applyFont="1" applyBorder="1"/>
    <xf numFmtId="14" fontId="37" fillId="0" borderId="4" xfId="0" applyNumberFormat="1" applyFont="1" applyBorder="1"/>
    <xf numFmtId="0" fontId="37" fillId="0" borderId="4" xfId="0" applyFont="1" applyBorder="1"/>
    <xf numFmtId="0" fontId="37" fillId="0" borderId="2" xfId="0" applyFont="1" applyBorder="1"/>
    <xf numFmtId="14" fontId="28" fillId="0" borderId="18" xfId="0" applyNumberFormat="1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40" fontId="28" fillId="0" borderId="5" xfId="0" applyNumberFormat="1" applyFont="1" applyBorder="1" applyAlignment="1">
      <alignment horizontal="right" vertical="center"/>
    </xf>
    <xf numFmtId="0" fontId="17" fillId="0" borderId="19" xfId="0" applyFont="1" applyBorder="1"/>
    <xf numFmtId="14" fontId="17" fillId="0" borderId="18" xfId="0" applyNumberFormat="1" applyFont="1" applyBorder="1" applyAlignment="1">
      <alignment horizontal="center"/>
    </xf>
    <xf numFmtId="14" fontId="37" fillId="0" borderId="21" xfId="0" applyNumberFormat="1" applyFont="1" applyBorder="1"/>
    <xf numFmtId="0" fontId="37" fillId="0" borderId="1" xfId="0" applyFont="1" applyBorder="1"/>
    <xf numFmtId="1" fontId="28" fillId="4" borderId="0" xfId="16" applyNumberFormat="1" applyFont="1" applyFill="1" applyAlignment="1">
      <alignment horizontal="center" vertical="center"/>
    </xf>
    <xf numFmtId="1" fontId="27" fillId="4" borderId="5" xfId="6" applyNumberFormat="1" applyFont="1" applyFill="1" applyBorder="1" applyAlignment="1">
      <alignment horizontal="center" vertical="center"/>
    </xf>
    <xf numFmtId="1" fontId="29" fillId="4" borderId="0" xfId="0" applyNumberFormat="1" applyFont="1" applyFill="1" applyAlignment="1">
      <alignment horizontal="center" vertical="center"/>
    </xf>
    <xf numFmtId="1" fontId="28" fillId="4" borderId="0" xfId="17" applyNumberFormat="1" applyFont="1" applyFill="1" applyAlignment="1">
      <alignment horizontal="center" vertical="center"/>
    </xf>
    <xf numFmtId="1" fontId="28" fillId="4" borderId="0" xfId="9" applyNumberFormat="1" applyFont="1" applyFill="1" applyAlignment="1">
      <alignment horizontal="center" vertical="center"/>
    </xf>
    <xf numFmtId="164" fontId="28" fillId="4" borderId="0" xfId="0" applyNumberFormat="1" applyFont="1" applyFill="1"/>
    <xf numFmtId="0" fontId="0" fillId="0" borderId="0" xfId="0" applyAlignment="1">
      <alignment horizontal="left"/>
    </xf>
    <xf numFmtId="0" fontId="0" fillId="0" borderId="0" xfId="0" pivotButton="1"/>
    <xf numFmtId="2" fontId="27" fillId="0" borderId="5" xfId="16" applyNumberFormat="1" applyFont="1" applyBorder="1" applyAlignment="1">
      <alignment horizontal="center" vertical="center" wrapText="1"/>
    </xf>
    <xf numFmtId="0" fontId="28" fillId="0" borderId="0" xfId="16" applyFont="1"/>
    <xf numFmtId="0" fontId="0" fillId="0" borderId="5" xfId="0" applyBorder="1" applyAlignment="1">
      <alignment horizontal="left"/>
    </xf>
    <xf numFmtId="164" fontId="0" fillId="0" borderId="5" xfId="1" applyNumberFormat="1" applyFont="1" applyBorder="1"/>
    <xf numFmtId="164" fontId="0" fillId="0" borderId="5" xfId="1" applyNumberFormat="1" applyFont="1" applyFill="1" applyBorder="1"/>
    <xf numFmtId="0" fontId="14" fillId="0" borderId="0" xfId="0" applyFont="1" applyAlignment="1">
      <alignment horizontal="center"/>
    </xf>
    <xf numFmtId="0" fontId="40" fillId="0" borderId="0" xfId="0" applyFont="1"/>
    <xf numFmtId="38" fontId="40" fillId="0" borderId="0" xfId="0" applyNumberFormat="1" applyFont="1"/>
    <xf numFmtId="3" fontId="40" fillId="0" borderId="0" xfId="0" applyNumberFormat="1" applyFont="1"/>
    <xf numFmtId="4" fontId="40" fillId="0" borderId="0" xfId="0" applyNumberFormat="1" applyFont="1"/>
    <xf numFmtId="40" fontId="40" fillId="0" borderId="0" xfId="0" applyNumberFormat="1" applyFont="1"/>
    <xf numFmtId="0" fontId="40" fillId="0" borderId="3" xfId="0" applyFont="1" applyBorder="1" applyAlignment="1">
      <alignment horizontal="center" vertical="center" wrapText="1"/>
    </xf>
    <xf numFmtId="4" fontId="40" fillId="0" borderId="4" xfId="0" applyNumberFormat="1" applyFont="1" applyBorder="1" applyAlignment="1">
      <alignment horizontal="center" vertical="center" wrapText="1"/>
    </xf>
    <xf numFmtId="0" fontId="40" fillId="0" borderId="4" xfId="0" applyFont="1" applyBorder="1" applyAlignment="1">
      <alignment horizontal="center" vertical="center" wrapText="1"/>
    </xf>
    <xf numFmtId="3" fontId="40" fillId="0" borderId="4" xfId="0" applyNumberFormat="1" applyFont="1" applyBorder="1" applyAlignment="1">
      <alignment horizontal="center" vertical="center" wrapText="1"/>
    </xf>
    <xf numFmtId="3" fontId="40" fillId="0" borderId="2" xfId="0" applyNumberFormat="1" applyFont="1" applyBorder="1" applyAlignment="1">
      <alignment horizontal="center" vertical="center" wrapText="1"/>
    </xf>
    <xf numFmtId="0" fontId="40" fillId="0" borderId="15" xfId="0" applyFont="1" applyBorder="1" applyAlignment="1">
      <alignment vertical="center"/>
    </xf>
    <xf numFmtId="0" fontId="40" fillId="0" borderId="16" xfId="0" applyFont="1" applyBorder="1" applyAlignment="1">
      <alignment vertical="center"/>
    </xf>
    <xf numFmtId="14" fontId="40" fillId="0" borderId="16" xfId="0" applyNumberFormat="1" applyFont="1" applyBorder="1" applyAlignment="1">
      <alignment vertical="center"/>
    </xf>
    <xf numFmtId="164" fontId="40" fillId="0" borderId="16" xfId="1" applyNumberFormat="1" applyFont="1" applyBorder="1" applyAlignment="1">
      <alignment vertical="center"/>
    </xf>
    <xf numFmtId="3" fontId="40" fillId="0" borderId="16" xfId="0" applyNumberFormat="1" applyFont="1" applyBorder="1" applyAlignment="1">
      <alignment vertical="center"/>
    </xf>
    <xf numFmtId="4" fontId="40" fillId="0" borderId="16" xfId="0" applyNumberFormat="1" applyFont="1" applyBorder="1" applyAlignment="1">
      <alignment vertical="center"/>
    </xf>
    <xf numFmtId="40" fontId="40" fillId="0" borderId="16" xfId="0" applyNumberFormat="1" applyFont="1" applyBorder="1" applyAlignment="1">
      <alignment vertical="center"/>
    </xf>
    <xf numFmtId="38" fontId="40" fillId="0" borderId="16" xfId="0" applyNumberFormat="1" applyFont="1" applyBorder="1" applyAlignment="1">
      <alignment vertical="center"/>
    </xf>
    <xf numFmtId="3" fontId="40" fillId="0" borderId="17" xfId="0" applyNumberFormat="1" applyFont="1" applyBorder="1" applyAlignment="1">
      <alignment vertical="center"/>
    </xf>
    <xf numFmtId="0" fontId="40" fillId="0" borderId="0" xfId="0" applyFont="1" applyAlignment="1">
      <alignment vertical="center"/>
    </xf>
    <xf numFmtId="0" fontId="33" fillId="0" borderId="5" xfId="0" applyFont="1" applyBorder="1" applyAlignment="1">
      <alignment horizontal="left"/>
    </xf>
    <xf numFmtId="14" fontId="33" fillId="0" borderId="5" xfId="0" applyNumberFormat="1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33" fillId="0" borderId="5" xfId="0" applyFont="1" applyBorder="1"/>
    <xf numFmtId="164" fontId="33" fillId="0" borderId="5" xfId="1" applyNumberFormat="1" applyFont="1" applyFill="1" applyBorder="1" applyAlignment="1">
      <alignment vertical="center"/>
    </xf>
    <xf numFmtId="3" fontId="34" fillId="0" borderId="5" xfId="0" applyNumberFormat="1" applyFont="1" applyBorder="1"/>
    <xf numFmtId="0" fontId="28" fillId="4" borderId="0" xfId="20" applyFont="1" applyFill="1"/>
    <xf numFmtId="1" fontId="28" fillId="4" borderId="0" xfId="21" applyNumberFormat="1" applyFont="1" applyFill="1" applyAlignment="1">
      <alignment horizontal="center"/>
    </xf>
    <xf numFmtId="164" fontId="28" fillId="4" borderId="0" xfId="21" applyNumberFormat="1" applyFont="1" applyFill="1"/>
    <xf numFmtId="0" fontId="0" fillId="0" borderId="0" xfId="0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40" fillId="0" borderId="5" xfId="0" applyFont="1" applyBorder="1"/>
    <xf numFmtId="14" fontId="40" fillId="0" borderId="5" xfId="0" applyNumberFormat="1" applyFont="1" applyBorder="1" applyAlignment="1">
      <alignment horizontal="center"/>
    </xf>
    <xf numFmtId="14" fontId="40" fillId="0" borderId="5" xfId="0" applyNumberFormat="1" applyFont="1" applyBorder="1"/>
    <xf numFmtId="0" fontId="33" fillId="0" borderId="5" xfId="0" applyFont="1" applyBorder="1" applyAlignment="1">
      <alignment horizontal="left" vertical="center"/>
    </xf>
    <xf numFmtId="40" fontId="33" fillId="0" borderId="5" xfId="0" applyNumberFormat="1" applyFont="1" applyBorder="1" applyAlignment="1">
      <alignment horizontal="right"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14" fillId="0" borderId="0" xfId="0" applyFont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164" fontId="0" fillId="0" borderId="5" xfId="1" applyNumberFormat="1" applyFont="1" applyBorder="1" applyAlignment="1">
      <alignment horizontal="center"/>
    </xf>
    <xf numFmtId="2" fontId="39" fillId="0" borderId="0" xfId="0" applyNumberFormat="1" applyFont="1"/>
    <xf numFmtId="0" fontId="39" fillId="0" borderId="0" xfId="0" applyFont="1" applyAlignment="1">
      <alignment horizontal="center"/>
    </xf>
    <xf numFmtId="164" fontId="39" fillId="0" borderId="0" xfId="6" applyNumberFormat="1" applyFont="1" applyFill="1" applyAlignment="1">
      <alignment horizontal="center" vertical="center"/>
    </xf>
    <xf numFmtId="0" fontId="38" fillId="0" borderId="0" xfId="4" applyFont="1"/>
    <xf numFmtId="164" fontId="38" fillId="0" borderId="0" xfId="21" applyNumberFormat="1" applyFont="1" applyFill="1"/>
    <xf numFmtId="164" fontId="14" fillId="0" borderId="5" xfId="1" applyNumberFormat="1" applyFont="1" applyBorder="1"/>
    <xf numFmtId="0" fontId="0" fillId="0" borderId="5" xfId="0" applyBorder="1" applyAlignment="1">
      <alignment horizontal="center" vertical="center"/>
    </xf>
    <xf numFmtId="0" fontId="42" fillId="0" borderId="0" xfId="0" applyFont="1" applyAlignment="1">
      <alignment horizontal="left"/>
    </xf>
    <xf numFmtId="164" fontId="27" fillId="4" borderId="0" xfId="1" applyNumberFormat="1" applyFont="1" applyFill="1"/>
    <xf numFmtId="164" fontId="27" fillId="4" borderId="0" xfId="16" applyNumberFormat="1" applyFont="1" applyFill="1"/>
    <xf numFmtId="0" fontId="28" fillId="4" borderId="0" xfId="22" applyFont="1" applyFill="1"/>
    <xf numFmtId="1" fontId="28" fillId="4" borderId="0" xfId="23" applyNumberFormat="1" applyFont="1" applyFill="1" applyAlignment="1">
      <alignment horizontal="center"/>
    </xf>
    <xf numFmtId="164" fontId="28" fillId="4" borderId="0" xfId="23" applyNumberFormat="1" applyFont="1" applyFill="1"/>
    <xf numFmtId="0" fontId="40" fillId="0" borderId="18" xfId="0" applyFont="1" applyBorder="1"/>
    <xf numFmtId="14" fontId="14" fillId="0" borderId="5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164" fontId="33" fillId="0" borderId="5" xfId="1" applyNumberFormat="1" applyFont="1" applyFill="1" applyBorder="1"/>
    <xf numFmtId="14" fontId="33" fillId="0" borderId="5" xfId="0" applyNumberFormat="1" applyFont="1" applyBorder="1"/>
    <xf numFmtId="14" fontId="14" fillId="0" borderId="5" xfId="0" applyNumberFormat="1" applyFont="1" applyBorder="1" applyAlignment="1">
      <alignment horizontal="center"/>
    </xf>
    <xf numFmtId="0" fontId="14" fillId="0" borderId="5" xfId="0" applyFont="1" applyBorder="1"/>
    <xf numFmtId="14" fontId="40" fillId="0" borderId="0" xfId="0" applyNumberFormat="1" applyFont="1" applyAlignment="1">
      <alignment horizontal="center"/>
    </xf>
    <xf numFmtId="164" fontId="40" fillId="0" borderId="0" xfId="1" applyNumberFormat="1" applyFont="1" applyFill="1" applyBorder="1"/>
    <xf numFmtId="14" fontId="40" fillId="0" borderId="0" xfId="0" applyNumberFormat="1" applyFont="1"/>
    <xf numFmtId="164" fontId="38" fillId="0" borderId="0" xfId="23" applyNumberFormat="1" applyFont="1" applyFill="1"/>
    <xf numFmtId="164" fontId="14" fillId="0" borderId="5" xfId="0" applyNumberFormat="1" applyFont="1" applyBorder="1"/>
    <xf numFmtId="0" fontId="17" fillId="0" borderId="19" xfId="0" applyFont="1" applyBorder="1" applyAlignment="1">
      <alignment horizontal="left"/>
    </xf>
    <xf numFmtId="0" fontId="17" fillId="0" borderId="18" xfId="0" applyFont="1" applyBorder="1" applyAlignment="1">
      <alignment horizontal="left"/>
    </xf>
    <xf numFmtId="14" fontId="17" fillId="0" borderId="18" xfId="0" applyNumberFormat="1" applyFont="1" applyBorder="1"/>
    <xf numFmtId="3" fontId="17" fillId="0" borderId="5" xfId="0" applyNumberFormat="1" applyFont="1" applyBorder="1"/>
    <xf numFmtId="0" fontId="40" fillId="0" borderId="4" xfId="0" applyFont="1" applyBorder="1" applyAlignment="1">
      <alignment vertical="center"/>
    </xf>
    <xf numFmtId="0" fontId="28" fillId="4" borderId="0" xfId="24" applyFont="1" applyFill="1"/>
    <xf numFmtId="1" fontId="28" fillId="4" borderId="0" xfId="25" applyNumberFormat="1" applyFont="1" applyFill="1" applyAlignment="1">
      <alignment horizontal="center"/>
    </xf>
    <xf numFmtId="164" fontId="28" fillId="4" borderId="0" xfId="25" applyNumberFormat="1" applyFont="1" applyFill="1"/>
    <xf numFmtId="164" fontId="38" fillId="0" borderId="0" xfId="25" applyNumberFormat="1" applyFont="1" applyFill="1"/>
    <xf numFmtId="0" fontId="40" fillId="0" borderId="18" xfId="0" applyFont="1" applyBorder="1" applyAlignment="1">
      <alignment vertical="center"/>
    </xf>
    <xf numFmtId="0" fontId="40" fillId="0" borderId="5" xfId="0" applyFont="1" applyBorder="1" applyAlignment="1">
      <alignment vertical="center"/>
    </xf>
    <xf numFmtId="14" fontId="14" fillId="0" borderId="0" xfId="0" applyNumberFormat="1" applyFont="1" applyAlignment="1">
      <alignment horizontal="center" vertical="center"/>
    </xf>
    <xf numFmtId="0" fontId="14" fillId="0" borderId="16" xfId="0" applyFont="1" applyBorder="1" applyAlignment="1">
      <alignment vertical="center"/>
    </xf>
    <xf numFmtId="0" fontId="39" fillId="0" borderId="0" xfId="0" applyFont="1"/>
    <xf numFmtId="164" fontId="33" fillId="0" borderId="5" xfId="1" applyNumberFormat="1" applyFont="1" applyBorder="1"/>
    <xf numFmtId="164" fontId="40" fillId="0" borderId="5" xfId="1" applyNumberFormat="1" applyFont="1" applyBorder="1"/>
    <xf numFmtId="0" fontId="27" fillId="4" borderId="15" xfId="16" applyFont="1" applyFill="1" applyBorder="1"/>
    <xf numFmtId="164" fontId="39" fillId="0" borderId="6" xfId="6" applyNumberFormat="1" applyFont="1" applyFill="1" applyBorder="1" applyAlignment="1">
      <alignment horizontal="center" vertical="center"/>
    </xf>
    <xf numFmtId="14" fontId="14" fillId="0" borderId="0" xfId="0" applyNumberFormat="1" applyFont="1" applyAlignment="1">
      <alignment horizontal="left" vertical="center" wrapText="1"/>
    </xf>
    <xf numFmtId="14" fontId="14" fillId="0" borderId="15" xfId="0" applyNumberFormat="1" applyFont="1" applyBorder="1" applyAlignment="1">
      <alignment horizontal="left" vertical="center" wrapText="1"/>
    </xf>
    <xf numFmtId="14" fontId="40" fillId="0" borderId="2" xfId="0" applyNumberFormat="1" applyFont="1" applyBorder="1" applyAlignment="1">
      <alignment horizontal="left"/>
    </xf>
    <xf numFmtId="14" fontId="40" fillId="0" borderId="6" xfId="0" applyNumberFormat="1" applyFont="1" applyBorder="1" applyAlignment="1">
      <alignment horizontal="left"/>
    </xf>
    <xf numFmtId="14" fontId="40" fillId="0" borderId="3" xfId="0" applyNumberFormat="1" applyFont="1" applyBorder="1" applyAlignment="1">
      <alignment horizontal="left"/>
    </xf>
    <xf numFmtId="0" fontId="39" fillId="0" borderId="0" xfId="0" applyFont="1" applyAlignment="1">
      <alignment horizontal="center"/>
    </xf>
    <xf numFmtId="14" fontId="40" fillId="0" borderId="8" xfId="0" applyNumberFormat="1" applyFont="1" applyBorder="1" applyAlignment="1">
      <alignment horizontal="left" vertical="center"/>
    </xf>
    <xf numFmtId="14" fontId="40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29" fillId="0" borderId="8" xfId="7" applyFont="1" applyBorder="1" applyAlignment="1">
      <alignment horizontal="center"/>
    </xf>
    <xf numFmtId="0" fontId="27" fillId="0" borderId="0" xfId="7" applyFont="1" applyAlignment="1">
      <alignment horizontal="center"/>
    </xf>
    <xf numFmtId="0" fontId="27" fillId="0" borderId="6" xfId="7" applyFont="1" applyBorder="1" applyAlignment="1">
      <alignment horizontal="center"/>
    </xf>
    <xf numFmtId="164" fontId="27" fillId="0" borderId="5" xfId="6" applyNumberFormat="1" applyFont="1" applyFill="1" applyBorder="1" applyAlignment="1">
      <alignment horizontal="center" vertical="center"/>
    </xf>
    <xf numFmtId="0" fontId="29" fillId="0" borderId="5" xfId="7" applyFont="1" applyBorder="1" applyAlignment="1">
      <alignment horizontal="center" vertical="center"/>
    </xf>
    <xf numFmtId="0" fontId="27" fillId="0" borderId="0" xfId="7" applyFont="1" applyAlignment="1">
      <alignment horizontal="center" vertical="center"/>
    </xf>
    <xf numFmtId="2" fontId="27" fillId="0" borderId="0" xfId="7" applyNumberFormat="1" applyFont="1" applyAlignment="1">
      <alignment horizontal="center"/>
    </xf>
    <xf numFmtId="164" fontId="27" fillId="0" borderId="0" xfId="6" applyNumberFormat="1" applyFont="1" applyFill="1" applyAlignment="1">
      <alignment horizontal="center" vertical="center"/>
    </xf>
    <xf numFmtId="0" fontId="39" fillId="4" borderId="0" xfId="0" applyFont="1" applyFill="1" applyAlignment="1">
      <alignment horizontal="center"/>
    </xf>
    <xf numFmtId="164" fontId="39" fillId="4" borderId="0" xfId="6" applyNumberFormat="1" applyFont="1" applyFill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27" fillId="4" borderId="0" xfId="0" applyFont="1" applyFill="1" applyAlignment="1">
      <alignment horizontal="center"/>
    </xf>
    <xf numFmtId="164" fontId="27" fillId="4" borderId="0" xfId="6" applyNumberFormat="1" applyFont="1" applyFill="1" applyAlignment="1">
      <alignment horizontal="center" vertical="center"/>
    </xf>
    <xf numFmtId="0" fontId="27" fillId="4" borderId="0" xfId="18" applyFont="1" applyFill="1" applyAlignment="1">
      <alignment horizontal="left" vertical="center"/>
    </xf>
    <xf numFmtId="0" fontId="34" fillId="0" borderId="0" xfId="0" applyFont="1" applyAlignment="1">
      <alignment horizontal="center" wrapText="1"/>
    </xf>
    <xf numFmtId="0" fontId="34" fillId="0" borderId="0" xfId="0" applyFont="1" applyAlignment="1">
      <alignment horizontal="center"/>
    </xf>
    <xf numFmtId="0" fontId="35" fillId="0" borderId="5" xfId="0" applyFont="1" applyBorder="1" applyAlignment="1">
      <alignment horizontal="center"/>
    </xf>
    <xf numFmtId="0" fontId="29" fillId="4" borderId="8" xfId="0" applyFont="1" applyFill="1" applyBorder="1" applyAlignment="1">
      <alignment horizontal="center"/>
    </xf>
    <xf numFmtId="2" fontId="27" fillId="4" borderId="0" xfId="0" applyNumberFormat="1" applyFont="1" applyFill="1" applyAlignment="1">
      <alignment horizontal="center"/>
    </xf>
    <xf numFmtId="0" fontId="27" fillId="4" borderId="0" xfId="20" applyFont="1" applyFill="1" applyAlignment="1">
      <alignment horizontal="left" vertical="center"/>
    </xf>
    <xf numFmtId="0" fontId="41" fillId="0" borderId="5" xfId="0" applyFont="1" applyBorder="1" applyAlignment="1">
      <alignment horizontal="center"/>
    </xf>
    <xf numFmtId="164" fontId="39" fillId="0" borderId="0" xfId="6" applyNumberFormat="1" applyFont="1" applyFill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27" fillId="4" borderId="0" xfId="22" applyFont="1" applyFill="1" applyAlignment="1">
      <alignment horizontal="left" vertical="center"/>
    </xf>
    <xf numFmtId="0" fontId="27" fillId="4" borderId="0" xfId="24" applyFont="1" applyFill="1" applyAlignment="1">
      <alignment horizontal="left" vertical="center"/>
    </xf>
    <xf numFmtId="0" fontId="27" fillId="4" borderId="0" xfId="16" applyFont="1" applyFill="1" applyAlignment="1">
      <alignment horizontal="center"/>
    </xf>
    <xf numFmtId="0" fontId="27" fillId="4" borderId="6" xfId="16" applyFont="1" applyFill="1" applyBorder="1" applyAlignment="1">
      <alignment horizontal="center" vertical="center"/>
    </xf>
    <xf numFmtId="164" fontId="27" fillId="4" borderId="5" xfId="6" applyNumberFormat="1" applyFont="1" applyFill="1" applyBorder="1" applyAlignment="1">
      <alignment horizontal="center"/>
    </xf>
    <xf numFmtId="0" fontId="29" fillId="4" borderId="19" xfId="0" applyFont="1" applyFill="1" applyBorder="1" applyAlignment="1">
      <alignment horizontal="center" vertical="center"/>
    </xf>
    <xf numFmtId="0" fontId="29" fillId="4" borderId="20" xfId="0" applyFont="1" applyFill="1" applyBorder="1" applyAlignment="1">
      <alignment horizontal="center" vertical="center"/>
    </xf>
    <xf numFmtId="0" fontId="29" fillId="4" borderId="18" xfId="0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4" fillId="0" borderId="1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5" fillId="2" borderId="9" xfId="0" applyFont="1" applyFill="1" applyBorder="1" applyAlignment="1">
      <alignment horizontal="center" vertical="center" wrapText="1"/>
    </xf>
    <xf numFmtId="0" fontId="25" fillId="2" borderId="13" xfId="0" applyFont="1" applyFill="1" applyBorder="1" applyAlignment="1">
      <alignment horizontal="center" vertical="center" wrapText="1"/>
    </xf>
    <xf numFmtId="14" fontId="25" fillId="2" borderId="9" xfId="0" applyNumberFormat="1" applyFont="1" applyFill="1" applyBorder="1" applyAlignment="1">
      <alignment horizontal="center" vertical="center" wrapText="1"/>
    </xf>
    <xf numFmtId="14" fontId="25" fillId="2" borderId="13" xfId="0" applyNumberFormat="1" applyFont="1" applyFill="1" applyBorder="1" applyAlignment="1">
      <alignment horizontal="center" vertical="center" wrapText="1"/>
    </xf>
    <xf numFmtId="38" fontId="25" fillId="2" borderId="9" xfId="0" applyNumberFormat="1" applyFont="1" applyFill="1" applyBorder="1" applyAlignment="1">
      <alignment horizontal="center" vertical="center" wrapText="1"/>
    </xf>
    <xf numFmtId="38" fontId="25" fillId="2" borderId="13" xfId="0" applyNumberFormat="1" applyFont="1" applyFill="1" applyBorder="1" applyAlignment="1">
      <alignment horizontal="center" vertical="center" wrapText="1"/>
    </xf>
    <xf numFmtId="0" fontId="25" fillId="2" borderId="10" xfId="0" applyFont="1" applyFill="1" applyBorder="1" applyAlignment="1">
      <alignment horizontal="center" vertical="center" wrapText="1"/>
    </xf>
    <xf numFmtId="0" fontId="25" fillId="2" borderId="11" xfId="0" applyFont="1" applyFill="1" applyBorder="1" applyAlignment="1">
      <alignment horizontal="center" vertical="center" wrapText="1"/>
    </xf>
    <xf numFmtId="0" fontId="25" fillId="2" borderId="12" xfId="0" applyFont="1" applyFill="1" applyBorder="1" applyAlignment="1">
      <alignment horizontal="center" vertical="center" wrapText="1"/>
    </xf>
    <xf numFmtId="168" fontId="40" fillId="0" borderId="21" xfId="0" applyNumberFormat="1" applyFont="1" applyBorder="1" applyAlignment="1">
      <alignment horizontal="center"/>
    </xf>
    <xf numFmtId="168" fontId="40" fillId="0" borderId="7" xfId="0" applyNumberFormat="1" applyFont="1" applyBorder="1"/>
    <xf numFmtId="0" fontId="40" fillId="0" borderId="7" xfId="0" applyFont="1" applyBorder="1"/>
    <xf numFmtId="2" fontId="40" fillId="0" borderId="7" xfId="1" applyNumberFormat="1" applyFont="1" applyBorder="1"/>
    <xf numFmtId="0" fontId="40" fillId="0" borderId="1" xfId="0" applyFont="1" applyBorder="1"/>
    <xf numFmtId="168" fontId="33" fillId="0" borderId="5" xfId="0" applyNumberFormat="1" applyFont="1" applyBorder="1" applyAlignment="1">
      <alignment horizontal="center" vertical="center"/>
    </xf>
    <xf numFmtId="0" fontId="0" fillId="0" borderId="0" xfId="0" applyNumberFormat="1"/>
  </cellXfs>
  <cellStyles count="26">
    <cellStyle name="Comma" xfId="1" builtinId="3"/>
    <cellStyle name="Comma 2 3 2" xfId="6" xr:uid="{00000000-0005-0000-0000-000001000000}"/>
    <cellStyle name="Comma 3" xfId="3" xr:uid="{00000000-0005-0000-0000-000002000000}"/>
    <cellStyle name="Comma 3 2" xfId="8" xr:uid="{D045C18F-80B9-4CA0-9378-5191C51FC067}"/>
    <cellStyle name="Comma 3 3" xfId="15" xr:uid="{C593F4A7-7715-42E0-9848-FE2860C62D15}"/>
    <cellStyle name="Comma 3 4" xfId="17" xr:uid="{B55CE32B-B321-4350-9A1A-130DF4A71A73}"/>
    <cellStyle name="Comma 3 4 2" xfId="19" xr:uid="{54B900C6-1BF8-4978-8F93-F5F54D709055}"/>
    <cellStyle name="Comma 3 4 2 2" xfId="21" xr:uid="{EC2DE3AE-CFED-4C70-94A1-F15EDF5C8C5B}"/>
    <cellStyle name="Comma 3 4 2 2 2" xfId="23" xr:uid="{CB5BF14A-DC33-476E-B522-BCC064FEEA9C}"/>
    <cellStyle name="Comma 3 4 2 2 2 2" xfId="25" xr:uid="{9B662ED5-4B73-4186-908D-E95EB6C8EDF7}"/>
    <cellStyle name="Normal" xfId="0" builtinId="0"/>
    <cellStyle name="Normal 10" xfId="2" xr:uid="{00000000-0005-0000-0000-000004000000}"/>
    <cellStyle name="Normal 10 2" xfId="7" xr:uid="{CE689CC7-50FA-4F02-A385-935B77B34D57}"/>
    <cellStyle name="Normal 10 3" xfId="14" xr:uid="{AFFC7F62-ACD7-4748-90A1-1A392B554546}"/>
    <cellStyle name="Normal 10 4" xfId="16" xr:uid="{157CB480-ED5F-4E9D-A0FA-4E0D5FCD0371}"/>
    <cellStyle name="Normal 10 4 2" xfId="18" xr:uid="{6D62ED18-9B27-4064-8A27-0BC1EAC61026}"/>
    <cellStyle name="Normal 10 4 2 2" xfId="20" xr:uid="{E2EED59B-9608-48EF-9F21-73C32AAA5169}"/>
    <cellStyle name="Normal 10 4 2 2 2" xfId="22" xr:uid="{EF739C98-C19C-47B9-A7A1-F0FFC627EA60}"/>
    <cellStyle name="Normal 10 4 2 2 2 2" xfId="24" xr:uid="{7CE96E13-0DA8-4E41-A41C-4451DD033B7B}"/>
    <cellStyle name="Normal 2" xfId="10" xr:uid="{6FA56D9E-B386-4F0D-8B47-3961BDE9B873}"/>
    <cellStyle name="Normal 2 2" xfId="4" xr:uid="{00000000-0005-0000-0000-000005000000}"/>
    <cellStyle name="Normal 3" xfId="11" xr:uid="{64F2FE19-27FD-4204-AAA0-0F69CABC739F}"/>
    <cellStyle name="Normal 3 2" xfId="9" xr:uid="{3D8D1400-77AD-41C3-AC1F-7CD723CA554A}"/>
    <cellStyle name="Normal 4" xfId="12" xr:uid="{3DA2A416-754D-4681-A792-330463120595}"/>
    <cellStyle name="Normal 5" xfId="13" xr:uid="{286943C7-593A-402E-9DCC-BD5AC9E82FB9}"/>
    <cellStyle name="Percent 2" xfId="5" xr:uid="{00000000-0005-0000-0000-000006000000}"/>
  </cellStyles>
  <dxfs count="153"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" formatCode="#,##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6" formatCode="#,##0_);[Red]\(#,##0\)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9" formatCode="m/d/yyyy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8" formatCode="#,##0.00_);[Red]\(#,##0.00\)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" formatCode="#,##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9" formatCode="m/d/yyyy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9" formatCode="m/d/yyyy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8" formatCode="dd/mm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8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8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8" formatCode="dd/mm/yyyy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3" formatCode="#,##0"/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3" formatCode="#,##0"/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3" formatCode="#,##0"/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165" formatCode="[$-F400]h:mm:ss\ AM/PM"/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168" formatCode="dd/mm/yyyy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165" formatCode="[$-F400]h:mm:ss\ AM/PM"/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168" formatCode="dd/mm/yyyy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0" formatCode="General"/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none">
          <bgColor auto="1"/>
        </patternFill>
      </fill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none"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40404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40404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8" formatCode="dd/mm/yyyy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8" formatCode="dd/mm/yyyy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border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8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8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8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8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>
        <left style="thin">
          <color indexed="64"/>
        </left>
        <right/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68" formatCode="dd/mm/yyyy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35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8" formatCode="#,##0.00_);[Red]\(#,##0.00\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168" formatCode="dd/mm/yyyy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68" formatCode="dd/mm/yyyy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168" formatCode="dd/mm/yyyy"/>
      <border diagonalUp="0" diagonalDown="0">
        <left/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68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3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rgb="FF000000"/>
        <name val="Times New Roman"/>
        <family val="1"/>
        <scheme val="none"/>
      </font>
      <numFmt numFmtId="168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rgb="FF000000"/>
        <name val="Times New Roman"/>
        <family val="1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4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8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8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%20(x86)\vnTools\Ufunctions.xlam" TargetMode="External"/><Relationship Id="rId1" Type="http://schemas.openxmlformats.org/officeDocument/2006/relationships/externalLinkPath" Target="file:///C:\Program%20Files%20(x86)\vnTools\Ufunction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Base"/>
      <sheetName val="vniBase"/>
      <sheetName val="abcBase"/>
      <sheetName val="Ufunctions"/>
    </sheetNames>
    <definedNames>
      <definedName name="vnd"/>
    </definedNames>
    <sheetDataSet>
      <sheetData sheetId="0"/>
      <sheetData sheetId="1"/>
      <sheetData sheetId="2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B" refreshedDate="46289.720195833332" createdVersion="8" refreshedVersion="8" minRefreshableVersion="3" recordCount="326" xr:uid="{8DF079F8-C6A5-487A-81EC-71C81A62B70D}">
  <cacheSource type="worksheet">
    <worksheetSource name="TBL_VC"/>
  </cacheSource>
  <cacheFields count="16">
    <cacheField name="Stt" numFmtId="0">
      <sharedItems/>
    </cacheField>
    <cacheField name="Số_x000a_ phiếu" numFmtId="0">
      <sharedItems containsSemiMixedTypes="0" containsString="0" containsNumber="1" containsInteger="1" minValue="573" maxValue="902"/>
    </cacheField>
    <cacheField name="Ngày cân 1" numFmtId="14">
      <sharedItems containsSemiMixedTypes="0" containsNonDate="0" containsDate="1" containsString="0" minDate="2026-09-18T00:00:00" maxDate="2026-09-24T00:00:00"/>
    </cacheField>
    <cacheField name="Giờ cân 1" numFmtId="0">
      <sharedItems/>
    </cacheField>
    <cacheField name="Ngày cân 2" numFmtId="14">
      <sharedItems containsSemiMixedTypes="0" containsNonDate="0" containsDate="1" containsString="0" minDate="2026-09-18T00:00:00" maxDate="2026-09-24T00:00:00"/>
    </cacheField>
    <cacheField name="Giờ cân 2" numFmtId="0">
      <sharedItems/>
    </cacheField>
    <cacheField name="Biển số 1" numFmtId="0">
      <sharedItems count="17">
        <s v="43H-01080"/>
        <s v="92H-00979"/>
        <s v="43H-01021"/>
        <s v="92H-00192"/>
        <s v="92H-00865"/>
        <s v="92H-00834"/>
        <s v="43H-01055"/>
        <s v="92H-00994"/>
        <s v="92H-00903"/>
        <s v="92H-00844"/>
        <s v="43H-01068"/>
        <s v="43H-01098"/>
        <s v="92H-00893"/>
        <s v="92H-00057"/>
        <s v="92H-00195"/>
        <s v="92H-00141"/>
        <s v="92H-00133"/>
      </sharedItems>
    </cacheField>
    <cacheField name="Cân lần 1" numFmtId="0">
      <sharedItems containsSemiMixedTypes="0" containsString="0" containsNumber="1" containsInteger="1" minValue="13700" maxValue="14280"/>
    </cacheField>
    <cacheField name="Cân lần 2" numFmtId="0">
      <sharedItems containsSemiMixedTypes="0" containsString="0" containsNumber="1" containsInteger="1" minValue="30100" maxValue="35950"/>
    </cacheField>
    <cacheField name="KL hàng (KG)" numFmtId="0">
      <sharedItems containsSemiMixedTypes="0" containsString="0" containsNumber="1" containsInteger="1" minValue="16200" maxValue="21920"/>
    </cacheField>
    <cacheField name="Nguồn gốc" numFmtId="0">
      <sharedItems/>
    </cacheField>
    <cacheField name="Khách hàng" numFmtId="0">
      <sharedItems containsNonDate="0" containsString="0" containsBlank="1"/>
    </cacheField>
    <cacheField name="LDĐ" numFmtId="0">
      <sharedItems/>
    </cacheField>
    <cacheField name="Kiểu cân" numFmtId="0">
      <sharedItems/>
    </cacheField>
    <cacheField name="Mã cự ly VC" numFmtId="0">
      <sharedItems/>
    </cacheField>
    <cacheField name="Đơn vị VC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">
  <r>
    <s v="01"/>
    <n v="573"/>
    <d v="2026-09-18T00:00:00"/>
    <s v="08:11:18"/>
    <d v="2026-09-18T00:00:00"/>
    <s v="08:19:42"/>
    <x v="0"/>
    <n v="13810"/>
    <n v="31280"/>
    <n v="17470"/>
    <s v="ĐN"/>
    <m/>
    <s v="UTXK/ĐN-QS/0726"/>
    <s v="XBUT"/>
    <s v="VC.007"/>
    <s v="Công ty TNHH Hoàng Anh Khôi"/>
  </r>
  <r>
    <s v="02"/>
    <n v="574"/>
    <d v="2026-09-18T00:00:00"/>
    <s v="08:11:58"/>
    <d v="2026-09-18T00:00:00"/>
    <s v="08:26:03"/>
    <x v="1"/>
    <n v="14030"/>
    <n v="32870"/>
    <n v="18840"/>
    <s v="ĐN"/>
    <m/>
    <s v="UTXK/ĐN-QS/0726"/>
    <s v="XBUT"/>
    <s v="VC.007"/>
    <s v="Công ty TNHH Hoàng Anh Khôi Quảng Nam"/>
  </r>
  <r>
    <s v="03"/>
    <n v="575"/>
    <d v="2026-09-18T00:00:00"/>
    <s v="08:38:09"/>
    <d v="2026-09-18T00:00:00"/>
    <s v="08:48:44"/>
    <x v="2"/>
    <n v="14040"/>
    <n v="30750"/>
    <n v="16710"/>
    <s v="ĐN"/>
    <m/>
    <s v="UTXK/ĐN-QS/0726"/>
    <s v="XBUT"/>
    <s v="VC.007"/>
    <s v="Công ty TNHH Hoàng Anh Khôi"/>
  </r>
  <r>
    <s v="04"/>
    <n v="576"/>
    <d v="2026-09-18T00:00:00"/>
    <s v="08:39:26"/>
    <d v="2026-09-18T00:00:00"/>
    <s v="08:55:08"/>
    <x v="3"/>
    <n v="14060"/>
    <n v="30780"/>
    <n v="16720"/>
    <s v="ĐN"/>
    <m/>
    <s v="UTXK/ĐN-QS/0726"/>
    <s v="XBUT"/>
    <s v="VC.007"/>
    <s v="Công ty TNHH SX TM DV Đại Hiệp"/>
  </r>
  <r>
    <s v="05"/>
    <n v="577"/>
    <d v="2026-09-18T00:00:00"/>
    <s v="08:41:34"/>
    <d v="2026-09-18T00:00:00"/>
    <s v="08:59:08"/>
    <x v="4"/>
    <n v="13810"/>
    <n v="30890"/>
    <n v="17080"/>
    <s v="ĐN"/>
    <m/>
    <s v="UTXK/ĐN-QS/0726"/>
    <s v="XBUT"/>
    <s v="VC.007"/>
    <s v="Công ty TNHH Hoàng Anh Khôi Quảng Nam"/>
  </r>
  <r>
    <s v="06"/>
    <n v="578"/>
    <d v="2026-09-18T00:00:00"/>
    <s v="08:56:41"/>
    <d v="2026-09-18T00:00:00"/>
    <s v="09:04:56"/>
    <x v="5"/>
    <n v="13970"/>
    <n v="30880"/>
    <n v="16910"/>
    <s v="ĐN"/>
    <m/>
    <s v="UTXK/ĐN-QS/0726"/>
    <s v="XBUT"/>
    <s v="VC.007"/>
    <s v="Công ty TNHH Hoàng Anh Khôi Quảng Nam"/>
  </r>
  <r>
    <s v="07"/>
    <n v="579"/>
    <d v="2026-09-18T00:00:00"/>
    <s v="09:21:20"/>
    <d v="2026-09-18T00:00:00"/>
    <s v="09:30:35"/>
    <x v="6"/>
    <n v="14050"/>
    <n v="30570"/>
    <n v="16520"/>
    <s v="ĐN"/>
    <m/>
    <s v="UTXK/ĐN-QS/0726"/>
    <s v="XBUT"/>
    <s v="VC.007"/>
    <s v="Công ty TNHH Hoàng Anh Khôi"/>
  </r>
  <r>
    <s v="08"/>
    <n v="580"/>
    <d v="2026-09-18T00:00:00"/>
    <s v="09:36:56"/>
    <d v="2026-09-18T00:00:00"/>
    <s v="09:46:44"/>
    <x v="7"/>
    <n v="13870"/>
    <n v="31440"/>
    <n v="17570"/>
    <s v="ĐN"/>
    <m/>
    <s v="UTXK/ĐN-QS/0726"/>
    <s v="XBUT"/>
    <s v="VC.007"/>
    <s v="Công ty TNHH Hoàng Anh Khôi Quảng Nam"/>
  </r>
  <r>
    <s v="09"/>
    <n v="581"/>
    <d v="2026-09-18T00:00:00"/>
    <s v="10:51:36"/>
    <d v="2026-09-18T00:00:00"/>
    <s v="11:29:29"/>
    <x v="8"/>
    <n v="13940"/>
    <n v="31000"/>
    <n v="17060"/>
    <s v="ĐN"/>
    <m/>
    <s v="UTXK/ĐN-QS/0726"/>
    <s v="XBUT"/>
    <s v="VC.007"/>
    <s v="Công ty TNHH Hoàng Anh Khôi Quảng Nam"/>
  </r>
  <r>
    <s v="10"/>
    <n v="582"/>
    <d v="2026-09-18T00:00:00"/>
    <s v="11:02:07"/>
    <d v="2026-09-18T00:00:00"/>
    <s v="11:33:20"/>
    <x v="9"/>
    <n v="14070"/>
    <n v="31580"/>
    <n v="17510"/>
    <s v="ĐN"/>
    <m/>
    <s v="UTXK/ĐN-QS/0726"/>
    <s v="XBUT"/>
    <s v="VC.007"/>
    <s v="Công ty TNHH Hoàng Anh Khôi Quảng Nam"/>
  </r>
  <r>
    <s v="11"/>
    <n v="583"/>
    <d v="2026-09-18T00:00:00"/>
    <s v="11:05:12"/>
    <d v="2026-09-18T00:00:00"/>
    <s v="11:39:27"/>
    <x v="10"/>
    <n v="14080"/>
    <n v="31110"/>
    <n v="17030"/>
    <s v="ĐN"/>
    <m/>
    <s v="UTXK/ĐN-QS/0726"/>
    <s v="XBUT"/>
    <s v="VC.007"/>
    <s v="Công ty TNHH Hoàng Anh Khôi"/>
  </r>
  <r>
    <s v="12"/>
    <n v="584"/>
    <d v="2026-09-18T00:00:00"/>
    <s v="12:00:25"/>
    <d v="2026-09-18T00:00:00"/>
    <s v="12:06:26"/>
    <x v="11"/>
    <n v="13840"/>
    <n v="31040"/>
    <n v="17200"/>
    <s v="ĐN"/>
    <m/>
    <s v="UTXK/ĐN-QS/0726"/>
    <s v="XBUT"/>
    <s v="VC.007"/>
    <s v="Công ty TNHH Hoàng Anh Khôi"/>
  </r>
  <r>
    <s v="13"/>
    <n v="585"/>
    <d v="2026-09-18T00:00:00"/>
    <s v="12:20:34"/>
    <d v="2026-09-18T00:00:00"/>
    <s v="12:27:00"/>
    <x v="12"/>
    <n v="14170"/>
    <n v="31790"/>
    <n v="17620"/>
    <s v="ĐN"/>
    <m/>
    <s v="UTXK/ĐN-QS/0726"/>
    <s v="XBUT"/>
    <s v="VC.007"/>
    <s v="Công ty TNHH Hoàng Anh Khôi Quảng Nam"/>
  </r>
  <r>
    <s v="14"/>
    <n v="586"/>
    <d v="2026-09-18T00:00:00"/>
    <s v="13:16:49"/>
    <d v="2026-09-18T00:00:00"/>
    <s v="13:26:52"/>
    <x v="1"/>
    <n v="14050"/>
    <n v="31440"/>
    <n v="17390"/>
    <s v="ĐN"/>
    <m/>
    <s v="UTXK/ĐN-QS/0726"/>
    <s v="XBUT"/>
    <s v="VC.007"/>
    <s v="Công ty TNHH Hoàng Anh Khôi Quảng Nam"/>
  </r>
  <r>
    <s v="15"/>
    <n v="587"/>
    <d v="2026-09-18T00:00:00"/>
    <s v="13:46:14"/>
    <d v="2026-09-18T00:00:00"/>
    <s v="13:52:56"/>
    <x v="2"/>
    <n v="14070"/>
    <n v="30980"/>
    <n v="16910"/>
    <s v="ĐN"/>
    <m/>
    <s v="UTXK/ĐN-QS/0726"/>
    <s v="XBUT"/>
    <s v="VC.007"/>
    <s v="Công ty TNHH Hoàng Anh Khôi"/>
  </r>
  <r>
    <s v="16"/>
    <n v="588"/>
    <d v="2026-09-18T00:00:00"/>
    <s v="14:34:21"/>
    <d v="2026-09-18T00:00:00"/>
    <s v="14:43:41"/>
    <x v="0"/>
    <n v="13780"/>
    <n v="30920"/>
    <n v="17140"/>
    <s v="ĐN"/>
    <m/>
    <s v="UTXK/ĐN-QS/0726"/>
    <s v="XBUT"/>
    <s v="VC.007"/>
    <s v="Công ty TNHH Hoàng Anh Khôi"/>
  </r>
  <r>
    <s v="17"/>
    <n v="589"/>
    <d v="2026-09-18T00:00:00"/>
    <s v="14:45:52"/>
    <d v="2026-09-18T00:00:00"/>
    <s v="14:53:11"/>
    <x v="6"/>
    <n v="14010"/>
    <n v="31060"/>
    <n v="17050"/>
    <s v="ĐN"/>
    <m/>
    <s v="UTXK/ĐN-QS/0726"/>
    <s v="XBUT"/>
    <s v="VC.007"/>
    <s v="Công ty TNHH Hoàng Anh Khôi"/>
  </r>
  <r>
    <s v="18"/>
    <n v="590"/>
    <d v="2026-09-18T00:00:00"/>
    <s v="14:49:59"/>
    <d v="2026-09-18T00:00:00"/>
    <s v="14:59:32"/>
    <x v="7"/>
    <n v="13830"/>
    <n v="31000"/>
    <n v="17170"/>
    <s v="ĐN"/>
    <m/>
    <s v="UTXK/ĐN-QS/0726"/>
    <s v="XBUT"/>
    <s v="VC.007"/>
    <s v="Công ty TNHH Hoàng Anh Khôi Quảng Nam"/>
  </r>
  <r>
    <s v="19"/>
    <n v="591"/>
    <d v="2026-09-18T00:00:00"/>
    <s v="14:53:59"/>
    <d v="2026-09-18T00:00:00"/>
    <s v="15:04:04"/>
    <x v="5"/>
    <n v="13930"/>
    <n v="31450"/>
    <n v="17520"/>
    <s v="ĐN"/>
    <m/>
    <s v="UTXK/ĐN-QS/0726"/>
    <s v="XBUT"/>
    <s v="VC.007"/>
    <s v="Công ty TNHH Hoàng Anh Khôi Quảng Nam"/>
  </r>
  <r>
    <s v="20"/>
    <n v="592"/>
    <d v="2026-09-18T00:00:00"/>
    <s v="15:28:03"/>
    <d v="2026-09-18T00:00:00"/>
    <s v="15:36:09"/>
    <x v="8"/>
    <n v="13900"/>
    <n v="30100"/>
    <n v="16200"/>
    <s v="ĐN"/>
    <m/>
    <s v="UTXK/ĐN-QS/0726"/>
    <s v="XBUT"/>
    <s v="VC.007"/>
    <s v="Công ty TNHH Hoàng Anh Khôi Quảng Nam"/>
  </r>
  <r>
    <s v="21"/>
    <n v="593"/>
    <d v="2026-09-18T00:00:00"/>
    <s v="15:35:00"/>
    <d v="2026-09-18T00:00:00"/>
    <s v="15:43:22"/>
    <x v="9"/>
    <n v="14030"/>
    <n v="31240"/>
    <n v="17210"/>
    <s v="ĐN"/>
    <m/>
    <s v="UTXK/ĐN-QS/0726"/>
    <s v="XBUT"/>
    <s v="VC.007"/>
    <s v="Công ty TNHH Hoàng Anh Khôi Quảng Nam"/>
  </r>
  <r>
    <s v="22"/>
    <n v="594"/>
    <d v="2026-09-18T00:00:00"/>
    <s v="15:42:24"/>
    <d v="2026-09-18T00:00:00"/>
    <s v="15:51:48"/>
    <x v="4"/>
    <n v="14030"/>
    <n v="30930"/>
    <n v="16900"/>
    <s v="ĐN"/>
    <m/>
    <s v="UTXK/ĐN-QS/0726"/>
    <s v="XBUT"/>
    <s v="VC.007"/>
    <s v="Công ty TNHH Hoàng Anh Khôi Quảng Nam"/>
  </r>
  <r>
    <s v="23"/>
    <n v="595"/>
    <d v="2026-09-18T00:00:00"/>
    <s v="15:54:30"/>
    <d v="2026-09-18T00:00:00"/>
    <s v="16:15:36"/>
    <x v="10"/>
    <n v="14050"/>
    <n v="31100"/>
    <n v="17050"/>
    <s v="ĐN"/>
    <m/>
    <s v="UTXK/ĐN-QS/0726"/>
    <s v="XBUT"/>
    <s v="VC.007"/>
    <s v="Công ty TNHH Hoàng Anh Khôi"/>
  </r>
  <r>
    <s v="24"/>
    <n v="596"/>
    <d v="2026-09-18T00:00:00"/>
    <s v="16:19:37"/>
    <d v="2026-09-18T00:00:00"/>
    <s v="16:30:00"/>
    <x v="11"/>
    <n v="14040"/>
    <n v="31010"/>
    <n v="16970"/>
    <s v="ĐN"/>
    <m/>
    <s v="UTXK/ĐN-QS/0726"/>
    <s v="XBUT"/>
    <s v="VC.007"/>
    <s v="Công ty TNHH Hoàng Anh Khôi"/>
  </r>
  <r>
    <s v="25"/>
    <n v="597"/>
    <d v="2026-09-18T00:00:00"/>
    <s v="16:30:51"/>
    <d v="2026-09-18T00:00:00"/>
    <s v="16:42:01"/>
    <x v="12"/>
    <n v="14010"/>
    <n v="31970"/>
    <n v="17960"/>
    <s v="ĐN"/>
    <m/>
    <s v="UTXK/ĐN-QS/0726"/>
    <s v="XBUT"/>
    <s v="VC.007"/>
    <s v="Công ty TNHH Hoàng Anh Khôi Quảng Nam"/>
  </r>
  <r>
    <s v="26"/>
    <n v="598"/>
    <d v="2026-09-18T00:00:00"/>
    <s v="17:58:18"/>
    <d v="2026-09-18T00:00:00"/>
    <s v="18:10:27"/>
    <x v="1"/>
    <n v="13890"/>
    <n v="31620"/>
    <n v="17730"/>
    <s v="ĐN"/>
    <m/>
    <s v="UTXK/ĐN-QS/0726"/>
    <s v="XBUT"/>
    <s v="VC.007"/>
    <s v="Công ty TNHH Hoàng Anh Khôi Quảng Nam"/>
  </r>
  <r>
    <s v="27"/>
    <n v="599"/>
    <d v="2026-09-18T00:00:00"/>
    <s v="18:18:37"/>
    <d v="2026-09-18T00:00:00"/>
    <s v="18:29:44"/>
    <x v="3"/>
    <n v="14040"/>
    <n v="31330"/>
    <n v="17290"/>
    <s v="ĐN"/>
    <m/>
    <s v="UTXK/ĐN-QS/0726"/>
    <s v="XBUT"/>
    <s v="VC.007"/>
    <s v="Công ty TNHH SX TM DV Đại Hiệp"/>
  </r>
  <r>
    <s v="28"/>
    <n v="600"/>
    <d v="2026-09-18T00:00:00"/>
    <s v="19:41:10"/>
    <d v="2026-09-18T00:00:00"/>
    <s v="19:52:03"/>
    <x v="0"/>
    <n v="13770"/>
    <n v="31390"/>
    <n v="17620"/>
    <s v="ĐN"/>
    <m/>
    <s v="UTXK/ĐN-QS/0726"/>
    <s v="XBUT"/>
    <s v="VC.007"/>
    <s v="Công ty TNHH Hoàng Anh Khôi"/>
  </r>
  <r>
    <s v="29"/>
    <n v="601"/>
    <d v="2026-09-18T00:00:00"/>
    <s v="19:45:20"/>
    <d v="2026-09-18T00:00:00"/>
    <s v="20:01:52"/>
    <x v="6"/>
    <n v="14000"/>
    <n v="31460"/>
    <n v="17460"/>
    <s v="ĐN"/>
    <m/>
    <s v="UTXK/ĐN-QS/0726"/>
    <s v="XBUT"/>
    <s v="VC.007"/>
    <s v="Công ty TNHH Hoàng Anh Khôi"/>
  </r>
  <r>
    <s v="30"/>
    <n v="602"/>
    <d v="2026-09-18T00:00:00"/>
    <s v="19:48:19"/>
    <d v="2026-09-18T00:00:00"/>
    <s v="20:07:51"/>
    <x v="2"/>
    <n v="13980"/>
    <n v="30910"/>
    <n v="16930"/>
    <s v="ĐN"/>
    <m/>
    <s v="UTXK/ĐN-QS/0726"/>
    <s v="XBUT"/>
    <s v="VC.007"/>
    <s v="Công ty TNHH Hoàng Anh Khôi"/>
  </r>
  <r>
    <s v="31"/>
    <n v="603"/>
    <d v="2026-09-18T00:00:00"/>
    <s v="20:09:24"/>
    <d v="2026-09-18T00:00:00"/>
    <s v="20:19:36"/>
    <x v="7"/>
    <n v="13790"/>
    <n v="31350"/>
    <n v="17560"/>
    <s v="ĐN"/>
    <m/>
    <s v="UTXK/ĐN-QS/0726"/>
    <s v="XBUT"/>
    <s v="VC.007"/>
    <s v="Công ty TNHH Hoàng Anh Khôi Quảng Nam"/>
  </r>
  <r>
    <s v="32"/>
    <n v="604"/>
    <d v="2026-09-18T00:00:00"/>
    <s v="20:17:53"/>
    <d v="2026-09-18T00:00:00"/>
    <s v="20:28:19"/>
    <x v="9"/>
    <n v="13990"/>
    <n v="31490"/>
    <n v="17500"/>
    <s v="ĐN"/>
    <m/>
    <s v="UTXK/ĐN-QS/0726"/>
    <s v="XBUT"/>
    <s v="VC.007"/>
    <s v="Công ty TNHH Hoàng Anh Khôi Quảng Nam"/>
  </r>
  <r>
    <s v="33"/>
    <n v="605"/>
    <d v="2026-09-18T00:00:00"/>
    <s v="20:29:22"/>
    <d v="2026-09-18T00:00:00"/>
    <s v="20:40:18"/>
    <x v="8"/>
    <n v="13870"/>
    <n v="31730"/>
    <n v="17860"/>
    <s v="ĐN"/>
    <m/>
    <s v="UTXK/ĐN-QS/0726"/>
    <s v="XBUT"/>
    <s v="VC.007"/>
    <s v="Công ty TNHH Hoàng Anh Khôi Quảng Nam"/>
  </r>
  <r>
    <s v="34"/>
    <n v="606"/>
    <d v="2026-09-18T00:00:00"/>
    <s v="20:48:07"/>
    <d v="2026-09-18T00:00:00"/>
    <s v="20:59:12"/>
    <x v="4"/>
    <n v="13990"/>
    <n v="31660"/>
    <n v="17670"/>
    <s v="ĐN"/>
    <m/>
    <s v="UTXK/ĐN-QS/0726"/>
    <s v="XBUT"/>
    <s v="VC.007"/>
    <s v="Công ty TNHH Hoàng Anh Khôi Quảng Nam"/>
  </r>
  <r>
    <s v="35"/>
    <n v="607"/>
    <d v="2026-09-18T00:00:00"/>
    <s v="20:53:07"/>
    <d v="2026-09-18T00:00:00"/>
    <s v="21:06:12"/>
    <x v="12"/>
    <n v="14030"/>
    <n v="31880"/>
    <n v="17850"/>
    <s v="ĐN"/>
    <m/>
    <s v="UTXK/ĐN-QS/0726"/>
    <s v="XBUT"/>
    <s v="VC.007"/>
    <s v="Công ty TNHH Hoàng Anh Khôi Quảng Nam"/>
  </r>
  <r>
    <s v="36"/>
    <n v="608"/>
    <d v="2026-09-18T00:00:00"/>
    <s v="20:54:17"/>
    <d v="2026-09-18T00:00:00"/>
    <s v="21:14:51"/>
    <x v="5"/>
    <n v="13950"/>
    <n v="31050"/>
    <n v="17100"/>
    <s v="ĐN"/>
    <m/>
    <s v="UTXK/ĐN-QS/0726"/>
    <s v="XBUT"/>
    <s v="VC.007"/>
    <s v="Công ty TNHH Hoàng Anh Khôi Quảng Nam"/>
  </r>
  <r>
    <s v="37"/>
    <n v="609"/>
    <d v="2026-09-18T00:00:00"/>
    <s v="21:04:53"/>
    <d v="2026-09-18T00:00:00"/>
    <s v="21:23:01"/>
    <x v="10"/>
    <n v="14030"/>
    <n v="31190"/>
    <n v="17160"/>
    <s v="ĐN"/>
    <m/>
    <s v="UTXK/ĐN-QS/0726"/>
    <s v="XBUT"/>
    <s v="VC.007"/>
    <s v="Công ty TNHH Hoàng Anh Khôi"/>
  </r>
  <r>
    <s v="38"/>
    <n v="610"/>
    <d v="2026-09-18T00:00:00"/>
    <s v="21:07:30"/>
    <d v="2026-09-18T00:00:00"/>
    <s v="21:31:56"/>
    <x v="11"/>
    <n v="14020"/>
    <n v="31560"/>
    <n v="17540"/>
    <s v="ĐN"/>
    <m/>
    <s v="UTXK/ĐN-QS/0726"/>
    <s v="XBUT"/>
    <s v="VC.007"/>
    <s v="Công ty TNHH Hoàng Anh Khôi"/>
  </r>
  <r>
    <s v="39"/>
    <n v="611"/>
    <d v="2026-09-18T00:00:00"/>
    <s v="22:11:29"/>
    <d v="2026-09-18T00:00:00"/>
    <s v="22:22:25"/>
    <x v="1"/>
    <n v="13920"/>
    <n v="32300"/>
    <n v="18380"/>
    <s v="ĐN"/>
    <m/>
    <s v="UTXK/ĐN-QS/0726"/>
    <s v="XBUT"/>
    <s v="VC.007"/>
    <s v="Công ty TNHH Hoàng Anh Khôi Quảng Nam"/>
  </r>
  <r>
    <s v="40"/>
    <n v="612"/>
    <d v="2026-09-18T00:00:00"/>
    <s v="22:50:08"/>
    <d v="2026-09-19T00:00:00"/>
    <s v="03:28:19"/>
    <x v="3"/>
    <n v="14070"/>
    <n v="33160"/>
    <n v="19090"/>
    <s v="ĐN"/>
    <m/>
    <s v="UTXK/ĐN-QS/0726"/>
    <s v="XBUT"/>
    <s v="VC.007"/>
    <s v="Công ty TNHH SX TM DV Đại Hiệp"/>
  </r>
  <r>
    <s v="41"/>
    <n v="613"/>
    <d v="2026-09-18T00:00:00"/>
    <s v="23:56:29"/>
    <d v="2026-09-19T00:00:00"/>
    <s v="00:12:14"/>
    <x v="0"/>
    <n v="13730"/>
    <n v="32300"/>
    <n v="18570"/>
    <s v="ĐN"/>
    <m/>
    <s v="UTXK/ĐN-QS/0726"/>
    <s v="XBUT"/>
    <s v="VC.007"/>
    <s v="Công ty TNHH Hoàng Anh Khôi"/>
  </r>
  <r>
    <s v="42"/>
    <n v="614"/>
    <d v="2026-09-19T00:00:00"/>
    <s v="00:00:32"/>
    <d v="2026-09-19T00:00:00"/>
    <s v="00:22:38"/>
    <x v="7"/>
    <n v="13770"/>
    <n v="32280"/>
    <n v="18510"/>
    <s v="ĐN"/>
    <m/>
    <s v="UTXK/ĐN-QS/0726"/>
    <s v="XBUT"/>
    <s v="VC.007"/>
    <s v="Công ty TNHH Hoàng Anh Khôi Quảng Nam"/>
  </r>
  <r>
    <s v="43"/>
    <n v="615"/>
    <d v="2026-09-19T00:00:00"/>
    <s v="00:06:28"/>
    <d v="2026-09-19T00:00:00"/>
    <s v="00:32:31"/>
    <x v="6"/>
    <n v="14010"/>
    <n v="32360"/>
    <n v="18350"/>
    <s v="ĐN"/>
    <m/>
    <s v="UTXK/ĐN-QS/0726"/>
    <s v="XBUT"/>
    <s v="VC.007"/>
    <s v="Công ty TNHH Hoàng Anh Khôi"/>
  </r>
  <r>
    <s v="44"/>
    <n v="616"/>
    <d v="2026-09-19T00:00:00"/>
    <s v="00:56:57"/>
    <d v="2026-09-19T00:00:00"/>
    <s v="01:09:40"/>
    <x v="4"/>
    <n v="13980"/>
    <n v="33810"/>
    <n v="19830"/>
    <s v="ĐN"/>
    <m/>
    <s v="UTXK/ĐN-QS/0726"/>
    <s v="XBUT"/>
    <s v="VC.007"/>
    <s v="Công ty TNHH Hoàng Anh Khôi Quảng Nam"/>
  </r>
  <r>
    <s v="45"/>
    <n v="617"/>
    <d v="2026-09-19T00:00:00"/>
    <s v="01:54:13"/>
    <d v="2026-09-19T00:00:00"/>
    <s v="02:02:28"/>
    <x v="5"/>
    <n v="13910"/>
    <n v="33530"/>
    <n v="19620"/>
    <s v="ĐN"/>
    <m/>
    <s v="UTXK/ĐN-QS/0726"/>
    <s v="XBUT"/>
    <s v="VC.007"/>
    <s v="Công ty TNHH Hoàng Anh Khôi Quảng Nam"/>
  </r>
  <r>
    <s v="46"/>
    <n v="618"/>
    <d v="2026-09-19T00:00:00"/>
    <s v="03:08:12"/>
    <d v="2026-09-19T00:00:00"/>
    <s v="04:33:11"/>
    <x v="8"/>
    <n v="13930"/>
    <n v="34740"/>
    <n v="20810"/>
    <s v="ĐN"/>
    <m/>
    <s v="UTXK/ĐN-QS/0726"/>
    <s v="XBUT"/>
    <s v="VC.007"/>
    <s v="Công ty TNHH Hoàng Anh Khôi Quảng Nam"/>
  </r>
  <r>
    <s v="47"/>
    <n v="619"/>
    <d v="2026-09-19T00:00:00"/>
    <s v="03:08:40"/>
    <d v="2026-09-19T00:00:00"/>
    <s v="04:40:36"/>
    <x v="12"/>
    <n v="14100"/>
    <n v="35580"/>
    <n v="21480"/>
    <s v="ĐN"/>
    <m/>
    <s v="UTXK/ĐN-QS/0726"/>
    <s v="XBUT"/>
    <s v="VC.007"/>
    <s v="Công ty TNHH Hoàng Anh Khôi Quảng Nam"/>
  </r>
  <r>
    <s v="48"/>
    <n v="620"/>
    <d v="2026-09-19T00:00:00"/>
    <s v="03:37:43"/>
    <d v="2026-09-19T00:00:00"/>
    <s v="05:13:59"/>
    <x v="2"/>
    <n v="13990"/>
    <n v="34470"/>
    <n v="20480"/>
    <s v="ĐN"/>
    <m/>
    <s v="UTXK/ĐN-QS/0726"/>
    <s v="XBUT"/>
    <s v="VC.007"/>
    <s v="Công ty TNHH Hoàng Anh Khôi"/>
  </r>
  <r>
    <s v="49"/>
    <n v="621"/>
    <d v="2026-09-19T00:00:00"/>
    <s v="04:16:17"/>
    <d v="2026-09-19T00:00:00"/>
    <s v="05:04:58"/>
    <x v="9"/>
    <n v="13930"/>
    <n v="35360"/>
    <n v="21430"/>
    <s v="ĐN"/>
    <m/>
    <s v="UTXK/ĐN-QS/0726"/>
    <s v="XBUT"/>
    <s v="VC.007"/>
    <s v="Công ty TNHH Hoàng Anh Khôi Quảng Nam"/>
  </r>
  <r>
    <s v="50"/>
    <n v="622"/>
    <d v="2026-09-19T00:00:00"/>
    <s v="05:10:54"/>
    <d v="2026-09-19T00:00:00"/>
    <s v="05:31:26"/>
    <x v="11"/>
    <n v="14000"/>
    <n v="33660"/>
    <n v="19660"/>
    <s v="ĐN"/>
    <m/>
    <s v="UTXK/ĐN-QS/0726"/>
    <s v="XBUT"/>
    <s v="VC.007"/>
    <s v="Công ty TNHH Hoàng Anh Khôi"/>
  </r>
  <r>
    <s v="51"/>
    <n v="623"/>
    <d v="2026-09-19T00:00:00"/>
    <s v="05:43:00"/>
    <d v="2026-09-19T00:00:00"/>
    <s v="05:52:37"/>
    <x v="10"/>
    <n v="14000"/>
    <n v="34380"/>
    <n v="20380"/>
    <s v="ĐN"/>
    <m/>
    <s v="UTXK/ĐN-QS/0726"/>
    <s v="XBUT"/>
    <s v="VC.007"/>
    <s v="Công ty TNHH Hoàng Anh Khôi"/>
  </r>
  <r>
    <s v="52"/>
    <n v="624"/>
    <d v="2026-09-19T00:00:00"/>
    <s v="06:07:07"/>
    <d v="2026-09-19T00:00:00"/>
    <s v="06:36:21"/>
    <x v="1"/>
    <n v="13870"/>
    <n v="33420"/>
    <n v="19550"/>
    <s v="ĐN"/>
    <m/>
    <s v="UTXK/ĐN-QS/0726"/>
    <s v="XBUT"/>
    <s v="VC.007"/>
    <s v="Công ty TNHH Hoàng Anh Khôi Quảng Nam"/>
  </r>
  <r>
    <s v="53"/>
    <n v="625"/>
    <d v="2026-09-19T00:00:00"/>
    <s v="06:25:48"/>
    <d v="2026-09-19T00:00:00"/>
    <s v="06:45:30"/>
    <x v="4"/>
    <n v="13950"/>
    <n v="33730"/>
    <n v="19780"/>
    <s v="ĐN"/>
    <m/>
    <s v="UTXK/ĐN-QS/0726"/>
    <s v="XBUT"/>
    <s v="VC.007"/>
    <s v="Công ty TNHH Hoàng Anh Khôi Quảng Nam"/>
  </r>
  <r>
    <s v="54"/>
    <n v="626"/>
    <d v="2026-09-19T00:00:00"/>
    <s v="06:30:07"/>
    <d v="2026-09-19T00:00:00"/>
    <s v="06:52:59"/>
    <x v="7"/>
    <n v="13760"/>
    <n v="34660"/>
    <n v="20900"/>
    <s v="ĐN"/>
    <m/>
    <s v="UTXK/ĐN-QS/0726"/>
    <s v="XBUT"/>
    <s v="VC.007"/>
    <s v="Công ty TNHH Hoàng Anh Khôi Quảng Nam"/>
  </r>
  <r>
    <s v="55"/>
    <n v="627"/>
    <d v="2026-09-19T00:00:00"/>
    <s v="06:42:59"/>
    <d v="2026-09-19T00:00:00"/>
    <s v="07:02:21"/>
    <x v="6"/>
    <n v="13970"/>
    <n v="34650"/>
    <n v="20680"/>
    <s v="ĐN"/>
    <m/>
    <s v="UTXK/ĐN-QS/0726"/>
    <s v="XBUT"/>
    <s v="VC.007"/>
    <s v="Công ty TNHH Hoàng Anh Khôi"/>
  </r>
  <r>
    <s v="56"/>
    <n v="628"/>
    <d v="2026-09-19T00:00:00"/>
    <s v="07:18:49"/>
    <d v="2026-09-19T00:00:00"/>
    <s v="07:29:52"/>
    <x v="3"/>
    <n v="14020"/>
    <n v="34800"/>
    <n v="20780"/>
    <s v="ĐN"/>
    <m/>
    <s v="UTXK/ĐN-QS/0726"/>
    <s v="XBUT"/>
    <s v="VC.007"/>
    <s v="Công ty TNHH SX TM DV Đại Hiệp"/>
  </r>
  <r>
    <s v="57"/>
    <n v="629"/>
    <d v="2026-09-19T00:00:00"/>
    <s v="07:42:03"/>
    <d v="2026-09-19T00:00:00"/>
    <s v="07:50:01"/>
    <x v="5"/>
    <n v="13870"/>
    <n v="35300"/>
    <n v="21430"/>
    <s v="ĐN"/>
    <m/>
    <s v="UTXK/ĐN-QS/0726"/>
    <s v="XBUT"/>
    <s v="VC.007"/>
    <s v="Công ty TNHH Hoàng Anh Khôi Quảng Nam"/>
  </r>
  <r>
    <s v="58"/>
    <n v="630"/>
    <d v="2026-09-19T00:00:00"/>
    <s v="08:07:25"/>
    <d v="2026-09-19T00:00:00"/>
    <s v="08:16:55"/>
    <x v="12"/>
    <n v="13930"/>
    <n v="35340"/>
    <n v="21410"/>
    <s v="ĐN"/>
    <m/>
    <s v="UTXK/ĐN-QS/0726"/>
    <s v="XBUT"/>
    <s v="VC.007"/>
    <s v="Công ty TNHH Hoàng Anh Khôi Quảng Nam"/>
  </r>
  <r>
    <s v="59"/>
    <n v="631"/>
    <d v="2026-09-19T00:00:00"/>
    <s v="08:30:43"/>
    <d v="2026-09-19T00:00:00"/>
    <s v="08:39:36"/>
    <x v="8"/>
    <n v="13820"/>
    <n v="35190"/>
    <n v="21370"/>
    <s v="ĐN"/>
    <m/>
    <s v="UTXK/ĐN-QS/0726"/>
    <s v="XBUT"/>
    <s v="VC.007"/>
    <s v="Công ty TNHH Hoàng Anh Khôi Quảng Nam"/>
  </r>
  <r>
    <s v="60"/>
    <n v="632"/>
    <d v="2026-09-19T00:00:00"/>
    <s v="08:33:58"/>
    <d v="2026-09-19T00:00:00"/>
    <s v="08:47:19"/>
    <x v="0"/>
    <n v="14010"/>
    <n v="34840"/>
    <n v="20830"/>
    <s v="ĐN"/>
    <m/>
    <s v="UTXK/ĐN-QS/0726"/>
    <s v="XBUT"/>
    <s v="VC.007"/>
    <s v="Công ty TNHH Hoàng Anh Khôi"/>
  </r>
  <r>
    <s v="61"/>
    <n v="633"/>
    <d v="2026-09-19T00:00:00"/>
    <s v="09:46:11"/>
    <d v="2026-09-19T00:00:00"/>
    <s v="09:56:24"/>
    <x v="2"/>
    <n v="13910"/>
    <n v="34150"/>
    <n v="20240"/>
    <s v="ĐN"/>
    <m/>
    <s v="UTXK/ĐN-QS/0726"/>
    <s v="XBUT"/>
    <s v="VC.007"/>
    <s v="Công ty TNHH Hoàng Anh Khôi"/>
  </r>
  <r>
    <s v="62"/>
    <n v="634"/>
    <d v="2026-09-19T00:00:00"/>
    <s v="09:58:00"/>
    <d v="2026-09-19T00:00:00"/>
    <s v="10:09:53"/>
    <x v="11"/>
    <n v="13980"/>
    <n v="34790"/>
    <n v="20810"/>
    <s v="ĐN"/>
    <m/>
    <s v="UTXK/ĐN-QS/0726"/>
    <s v="XBUT"/>
    <s v="VC.007"/>
    <s v="Công ty TNHH Hoàng Anh Khôi"/>
  </r>
  <r>
    <s v="63"/>
    <n v="635"/>
    <d v="2026-09-19T00:00:00"/>
    <s v="10:48:07"/>
    <d v="2026-09-19T00:00:00"/>
    <s v="11:02:47"/>
    <x v="10"/>
    <n v="13890"/>
    <n v="32350"/>
    <n v="18460"/>
    <s v="ĐN"/>
    <m/>
    <s v="UTXK/ĐN-QS/0726"/>
    <s v="XBUT"/>
    <s v="VC.007"/>
    <s v="Công ty TNHH Hoàng Anh Khôi"/>
  </r>
  <r>
    <s v="64"/>
    <n v="636"/>
    <d v="2026-09-19T00:00:00"/>
    <s v="11:09:17"/>
    <d v="2026-09-19T00:00:00"/>
    <s v="11:21:32"/>
    <x v="4"/>
    <n v="13880"/>
    <n v="31970"/>
    <n v="18090"/>
    <s v="ĐN"/>
    <m/>
    <s v="UTXK/ĐN-QS/0726"/>
    <s v="XBUT"/>
    <s v="VC.007"/>
    <s v="Công ty TNHH Hoàng Anh Khôi Quảng Nam"/>
  </r>
  <r>
    <s v="65"/>
    <n v="637"/>
    <d v="2026-09-19T00:00:00"/>
    <s v="11:13:16"/>
    <d v="2026-09-19T00:00:00"/>
    <s v="11:27:22"/>
    <x v="1"/>
    <n v="13790"/>
    <n v="31980"/>
    <n v="18190"/>
    <s v="ĐN"/>
    <m/>
    <s v="UTXK/ĐN-QS/0726"/>
    <s v="XBUT"/>
    <s v="VC.007"/>
    <s v="Công ty TNHH Hoàng Anh Khôi Quảng Nam"/>
  </r>
  <r>
    <s v="66"/>
    <n v="638"/>
    <d v="2026-09-19T00:00:00"/>
    <s v="11:28:44"/>
    <d v="2026-09-19T00:00:00"/>
    <s v="11:42:11"/>
    <x v="6"/>
    <n v="13920"/>
    <n v="30890"/>
    <n v="16970"/>
    <s v="ĐN"/>
    <m/>
    <s v="UTXK/ĐN-QS/0726"/>
    <s v="XBUT"/>
    <s v="VC.007"/>
    <s v="Công ty TNHH Hoàng Anh Khôi"/>
  </r>
  <r>
    <s v="67"/>
    <n v="639"/>
    <d v="2026-09-19T00:00:00"/>
    <s v="11:37:37"/>
    <d v="2026-09-19T00:00:00"/>
    <s v="11:52:08"/>
    <x v="3"/>
    <n v="13930"/>
    <n v="31980"/>
    <n v="18050"/>
    <s v="ĐN"/>
    <m/>
    <s v="UTXK/ĐN-QS/0726"/>
    <s v="XBUT"/>
    <s v="VC.007"/>
    <s v="Công ty TNHH SX TM DV Đại Hiệp"/>
  </r>
  <r>
    <s v="68"/>
    <n v="640"/>
    <d v="2026-09-19T00:00:00"/>
    <s v="11:45:16"/>
    <d v="2026-09-19T00:00:00"/>
    <s v="11:58:55"/>
    <x v="13"/>
    <n v="14170"/>
    <n v="32550"/>
    <n v="18380"/>
    <s v="ĐN"/>
    <m/>
    <s v="UTXK/ĐN-QS/0726"/>
    <s v="XBUT"/>
    <s v="VC.007"/>
    <s v="Công ty TNHH SX TM DV Đại Hiệp"/>
  </r>
  <r>
    <s v="69"/>
    <n v="641"/>
    <d v="2026-09-19T00:00:00"/>
    <s v="12:10:47"/>
    <d v="2026-09-19T00:00:00"/>
    <s v="12:22:58"/>
    <x v="9"/>
    <n v="13910"/>
    <n v="32770"/>
    <n v="18860"/>
    <s v="ĐN"/>
    <m/>
    <s v="UTXK/ĐN-QS/0726"/>
    <s v="XBUT"/>
    <s v="VC.007"/>
    <s v="Công ty TNHH Hoàng Anh Khôi Quảng Nam"/>
  </r>
  <r>
    <s v="70"/>
    <n v="642"/>
    <d v="2026-09-19T00:00:00"/>
    <s v="12:16:45"/>
    <d v="2026-09-19T00:00:00"/>
    <s v="12:30:46"/>
    <x v="7"/>
    <n v="13700"/>
    <n v="33050"/>
    <n v="19350"/>
    <s v="ĐN"/>
    <m/>
    <s v="UTXK/ĐN-QS/0726"/>
    <s v="XBUT"/>
    <s v="VC.007"/>
    <s v="Công ty TNHH Hoàng Anh Khôi Quảng Nam"/>
  </r>
  <r>
    <s v="71"/>
    <n v="643"/>
    <d v="2026-09-19T00:00:00"/>
    <s v="12:17:20"/>
    <d v="2026-09-19T00:00:00"/>
    <s v="12:36:34"/>
    <x v="12"/>
    <n v="13930"/>
    <n v="33290"/>
    <n v="19360"/>
    <s v="ĐN"/>
    <m/>
    <s v="UTXK/ĐN-QS/0726"/>
    <s v="XBUT"/>
    <s v="VC.007"/>
    <s v="Công ty TNHH Hoàng Anh Khôi Quảng Nam"/>
  </r>
  <r>
    <s v="72"/>
    <n v="644"/>
    <d v="2026-09-19T00:00:00"/>
    <s v="12:31:46"/>
    <d v="2026-09-19T00:00:00"/>
    <s v="12:45:35"/>
    <x v="5"/>
    <n v="13830"/>
    <n v="33030"/>
    <n v="19200"/>
    <s v="ĐN"/>
    <m/>
    <s v="UTXK/ĐN-QS/0726"/>
    <s v="XBUT"/>
    <s v="VC.007"/>
    <s v="Công ty TNHH Hoàng Anh Khôi Quảng Nam"/>
  </r>
  <r>
    <s v="73"/>
    <n v="645"/>
    <d v="2026-09-19T00:00:00"/>
    <s v="14:03:52"/>
    <d v="2026-09-19T00:00:00"/>
    <s v="14:15:36"/>
    <x v="0"/>
    <n v="13930"/>
    <n v="32580"/>
    <n v="18650"/>
    <s v="ĐN"/>
    <m/>
    <s v="UTXK/ĐN-QS/0726"/>
    <s v="XBUT"/>
    <s v="VC.007"/>
    <s v="Công ty TNHH Hoàng Anh Khôi"/>
  </r>
  <r>
    <s v="74"/>
    <n v="646"/>
    <d v="2026-09-19T00:00:00"/>
    <s v="14:26:39"/>
    <d v="2026-09-19T00:00:00"/>
    <s v="14:36:31"/>
    <x v="2"/>
    <n v="13900"/>
    <n v="32560"/>
    <n v="18660"/>
    <s v="ĐN"/>
    <m/>
    <s v="UTXK/ĐN-QS/0726"/>
    <s v="XBUT"/>
    <s v="VC.007"/>
    <s v="Công ty TNHH Hoàng Anh Khôi"/>
  </r>
  <r>
    <s v="75"/>
    <n v="647"/>
    <d v="2026-09-19T00:00:00"/>
    <s v="14:28:43"/>
    <d v="2026-09-19T00:00:00"/>
    <s v="14:43:34"/>
    <x v="11"/>
    <n v="13890"/>
    <n v="33300"/>
    <n v="19410"/>
    <s v="ĐN"/>
    <m/>
    <s v="UTXK/ĐN-QS/0726"/>
    <s v="XBUT"/>
    <s v="VC.007"/>
    <s v="Công ty TNHH Hoàng Anh Khôi"/>
  </r>
  <r>
    <s v="76"/>
    <n v="648"/>
    <d v="2026-09-19T00:00:00"/>
    <s v="14:31:47"/>
    <d v="2026-09-19T00:00:00"/>
    <s v="14:49:43"/>
    <x v="14"/>
    <n v="14020"/>
    <n v="33760"/>
    <n v="19740"/>
    <s v="ĐN"/>
    <m/>
    <s v="UTXK/ĐN-QS/0726"/>
    <s v="XBUT"/>
    <s v="VC.007"/>
    <s v="Công ty TNHH SX TM DV Đại Hiệp"/>
  </r>
  <r>
    <s v="77"/>
    <n v="649"/>
    <d v="2026-09-19T00:00:00"/>
    <s v="15:07:59"/>
    <d v="2026-09-19T00:00:00"/>
    <s v="15:18:12"/>
    <x v="8"/>
    <n v="13980"/>
    <n v="34290"/>
    <n v="20310"/>
    <s v="ĐN"/>
    <m/>
    <s v="UTXK/ĐN-QS/0726"/>
    <s v="XBUT"/>
    <s v="VC.007"/>
    <s v="Công ty TNHH Hoàng Anh Khôi Quảng Nam"/>
  </r>
  <r>
    <s v="78"/>
    <n v="650"/>
    <d v="2026-09-19T00:00:00"/>
    <s v="16:21:51"/>
    <d v="2026-09-19T00:00:00"/>
    <s v="16:34:48"/>
    <x v="4"/>
    <n v="13830"/>
    <n v="33600"/>
    <n v="19770"/>
    <s v="ĐN"/>
    <m/>
    <s v="UTXK/ĐN-QS/0726"/>
    <s v="XBUT"/>
    <s v="VC.007"/>
    <s v="Công ty TNHH Hoàng Anh Khôi Quảng Nam"/>
  </r>
  <r>
    <s v="79"/>
    <n v="651"/>
    <d v="2026-09-19T00:00:00"/>
    <s v="16:22:57"/>
    <d v="2026-09-19T00:00:00"/>
    <s v="16:40:46"/>
    <x v="13"/>
    <n v="14130"/>
    <n v="34130"/>
    <n v="20000"/>
    <s v="ĐN"/>
    <m/>
    <s v="UTXK/ĐN-QS/0726"/>
    <s v="XBUT"/>
    <s v="VC.007"/>
    <s v="Công ty TNHH SX TM DV Đại Hiệp"/>
  </r>
  <r>
    <s v="80"/>
    <n v="652"/>
    <d v="2026-09-19T00:00:00"/>
    <s v="16:31:30"/>
    <d v="2026-09-19T00:00:00"/>
    <s v="16:48:02"/>
    <x v="3"/>
    <n v="13890"/>
    <n v="33180"/>
    <n v="19290"/>
    <s v="ĐN"/>
    <m/>
    <s v="UTXK/ĐN-QS/0726"/>
    <s v="XBUT"/>
    <s v="VC.007"/>
    <s v="Công ty TNHH SX TM DV Đại Hiệp"/>
  </r>
  <r>
    <s v="81"/>
    <n v="653"/>
    <d v="2026-09-19T00:00:00"/>
    <s v="16:33:43"/>
    <d v="2026-09-19T00:00:00"/>
    <s v="16:55:38"/>
    <x v="10"/>
    <n v="14230"/>
    <n v="32780"/>
    <n v="18550"/>
    <s v="ĐN"/>
    <m/>
    <s v="UTXK/ĐN-QS/0726"/>
    <s v="XBUT"/>
    <s v="VC.007"/>
    <s v="Công ty TNHH Hoàng Anh Khôi"/>
  </r>
  <r>
    <s v="82"/>
    <n v="654"/>
    <d v="2026-09-19T00:00:00"/>
    <s v="16:37:12"/>
    <d v="2026-09-19T00:00:00"/>
    <s v="17:03:23"/>
    <x v="1"/>
    <n v="14030"/>
    <n v="33140"/>
    <n v="19110"/>
    <s v="ĐN"/>
    <m/>
    <s v="UTXK/ĐN-QS/0726"/>
    <s v="XBUT"/>
    <s v="VC.007"/>
    <s v="Công ty TNHH Hoàng Anh Khôi Quảng Nam"/>
  </r>
  <r>
    <s v="83"/>
    <n v="655"/>
    <d v="2026-09-19T00:00:00"/>
    <s v="16:58:14"/>
    <d v="2026-09-19T00:00:00"/>
    <s v="17:12:09"/>
    <x v="12"/>
    <n v="13830"/>
    <n v="32020"/>
    <n v="18190"/>
    <s v="ĐN"/>
    <m/>
    <s v="UTXK/ĐN-QS/0726"/>
    <s v="XBUT"/>
    <s v="VC.007"/>
    <s v="Công ty TNHH Hoàng Anh Khôi Quảng Nam"/>
  </r>
  <r>
    <s v="84"/>
    <n v="656"/>
    <d v="2026-09-19T00:00:00"/>
    <s v="17:01:39"/>
    <d v="2026-09-19T00:00:00"/>
    <s v="17:18:56"/>
    <x v="5"/>
    <n v="13790"/>
    <n v="32880"/>
    <n v="19090"/>
    <s v="ĐN"/>
    <m/>
    <s v="UTXK/ĐN-QS/0726"/>
    <s v="XBUT"/>
    <s v="VC.007"/>
    <s v="Công ty TNHH Hoàng Anh Khôi Quảng Nam"/>
  </r>
  <r>
    <s v="85"/>
    <n v="657"/>
    <d v="2026-09-19T00:00:00"/>
    <s v="17:11:13"/>
    <d v="2026-09-19T00:00:00"/>
    <s v="17:26:27"/>
    <x v="15"/>
    <n v="14000"/>
    <n v="33520"/>
    <n v="19520"/>
    <s v="ĐN"/>
    <m/>
    <s v="UTXK/ĐN-QS/0726"/>
    <s v="XBUT"/>
    <s v="VC.007"/>
    <s v="Công ty TNHH SX TM DV Đại Hiệp"/>
  </r>
  <r>
    <s v="86"/>
    <n v="658"/>
    <d v="2026-09-19T00:00:00"/>
    <s v="17:24:39"/>
    <d v="2026-09-19T00:00:00"/>
    <s v="17:34:28"/>
    <x v="7"/>
    <n v="13930"/>
    <n v="32820"/>
    <n v="18890"/>
    <s v="ĐN"/>
    <m/>
    <s v="UTXK/ĐN-QS/0726"/>
    <s v="XBUT"/>
    <s v="VC.007"/>
    <s v="Công ty TNHH Hoàng Anh Khôi Quảng Nam"/>
  </r>
  <r>
    <s v="87"/>
    <n v="659"/>
    <d v="2026-09-19T00:00:00"/>
    <s v="17:36:10"/>
    <d v="2026-09-19T00:00:00"/>
    <s v="17:44:37"/>
    <x v="6"/>
    <n v="13870"/>
    <n v="33040"/>
    <n v="19170"/>
    <s v="ĐN"/>
    <m/>
    <s v="UTXK/ĐN-QS/0726"/>
    <s v="XBUT"/>
    <s v="VC.007"/>
    <s v="Công ty TNHH Hoàng Anh Khôi"/>
  </r>
  <r>
    <s v="88"/>
    <n v="660"/>
    <d v="2026-09-19T00:00:00"/>
    <s v="18:21:57"/>
    <d v="2026-09-19T00:00:00"/>
    <s v="18:37:13"/>
    <x v="9"/>
    <n v="13890"/>
    <n v="34040"/>
    <n v="20150"/>
    <s v="ĐN"/>
    <m/>
    <s v="UTXK/ĐN-QS/0726"/>
    <s v="XBUT"/>
    <s v="VC.007"/>
    <s v="Công ty TNHH Hoàng Anh Khôi Quảng Nam"/>
  </r>
  <r>
    <s v="89"/>
    <n v="661"/>
    <d v="2026-09-19T00:00:00"/>
    <s v="20:12:36"/>
    <d v="2026-09-19T00:00:00"/>
    <s v="20:25:56"/>
    <x v="0"/>
    <n v="13900"/>
    <n v="34030"/>
    <n v="20130"/>
    <s v="ĐN"/>
    <m/>
    <s v="UTXK/ĐN-QS/0726"/>
    <s v="XBUT"/>
    <s v="VC.007"/>
    <s v="Công ty TNHH Hoàng Anh Khôi"/>
  </r>
  <r>
    <s v="90"/>
    <n v="662"/>
    <d v="2026-09-19T00:00:00"/>
    <s v="20:21:06"/>
    <d v="2026-09-19T00:00:00"/>
    <s v="20:33:06"/>
    <x v="14"/>
    <n v="14000"/>
    <n v="34560"/>
    <n v="20560"/>
    <s v="ĐN"/>
    <m/>
    <s v="UTXK/ĐN-QS/0726"/>
    <s v="XBUT"/>
    <s v="VC.007"/>
    <s v="Công ty TNHH SX TM DV Đại Hiệp"/>
  </r>
  <r>
    <s v="91"/>
    <n v="663"/>
    <d v="2026-09-19T00:00:00"/>
    <s v="20:37:12"/>
    <d v="2026-09-19T00:00:00"/>
    <s v="20:46:59"/>
    <x v="11"/>
    <n v="13890"/>
    <n v="32980"/>
    <n v="19090"/>
    <s v="ĐN"/>
    <m/>
    <s v="UTXK/ĐN-QS/0726"/>
    <s v="XBUT"/>
    <s v="VC.007"/>
    <s v="Công ty TNHH Hoàng Anh Khôi"/>
  </r>
  <r>
    <s v="92"/>
    <n v="664"/>
    <d v="2026-09-19T00:00:00"/>
    <s v="20:38:55"/>
    <d v="2026-09-19T00:00:00"/>
    <s v="20:54:59"/>
    <x v="2"/>
    <n v="13810"/>
    <n v="32020"/>
    <n v="18210"/>
    <s v="ĐN"/>
    <m/>
    <s v="UTXK/ĐN-QS/0726"/>
    <s v="XBUT"/>
    <s v="VC.007"/>
    <s v="Công ty TNHH Hoàng Anh Khôi"/>
  </r>
  <r>
    <s v="93"/>
    <n v="665"/>
    <d v="2026-09-19T00:00:00"/>
    <s v="21:37:30"/>
    <d v="2026-09-19T00:00:00"/>
    <s v="21:47:48"/>
    <x v="13"/>
    <n v="14060"/>
    <n v="32300"/>
    <n v="18240"/>
    <s v="ĐN"/>
    <m/>
    <s v="UTXK/ĐN-QS/0726"/>
    <s v="XBUT"/>
    <s v="VC.007"/>
    <s v="Công ty TNHH SX TM DV Đại Hiệp"/>
  </r>
  <r>
    <s v="94"/>
    <n v="666"/>
    <d v="2026-09-19T00:00:00"/>
    <s v="21:45:33"/>
    <d v="2026-09-19T00:00:00"/>
    <s v="21:55:02"/>
    <x v="4"/>
    <n v="13840"/>
    <n v="32610"/>
    <n v="18770"/>
    <s v="ĐN"/>
    <m/>
    <s v="UTXK/ĐN-QS/0726"/>
    <s v="XBUT"/>
    <s v="VC.007"/>
    <s v="Công ty TNHH Hoàng Anh Khôi Quảng Nam"/>
  </r>
  <r>
    <s v="95"/>
    <n v="667"/>
    <d v="2026-09-19T00:00:00"/>
    <s v="22:05:04"/>
    <d v="2026-09-19T00:00:00"/>
    <s v="22:15:03"/>
    <x v="1"/>
    <n v="14110"/>
    <n v="33270"/>
    <n v="19160"/>
    <s v="ĐN"/>
    <m/>
    <s v="UTXK/ĐN-QS/0726"/>
    <s v="XBUT"/>
    <s v="VC.007"/>
    <s v="Công ty TNHH Hoàng Anh Khôi Quảng Nam"/>
  </r>
  <r>
    <s v="96"/>
    <n v="668"/>
    <d v="2026-09-19T00:00:00"/>
    <s v="22:17:14"/>
    <d v="2026-09-19T00:00:00"/>
    <s v="22:26:24"/>
    <x v="15"/>
    <n v="13950"/>
    <n v="31320"/>
    <n v="17370"/>
    <s v="ĐN"/>
    <m/>
    <s v="UTXK/ĐN-QS/0726"/>
    <s v="XBUT"/>
    <s v="VC.007"/>
    <s v="Công ty TNHH SX TM DV Đại Hiệp"/>
  </r>
  <r>
    <s v="97"/>
    <n v="669"/>
    <d v="2026-09-19T00:00:00"/>
    <s v="22:22:54"/>
    <d v="2026-09-19T00:00:00"/>
    <s v="22:35:35"/>
    <x v="10"/>
    <n v="14230"/>
    <n v="31790"/>
    <n v="17560"/>
    <s v="ĐN"/>
    <m/>
    <s v="UTXK/ĐN-QS/0726"/>
    <s v="XBUT"/>
    <s v="VC.007"/>
    <s v="Công ty TNHH Hoàng Anh Khôi"/>
  </r>
  <r>
    <s v="98"/>
    <n v="670"/>
    <d v="2026-09-19T00:00:00"/>
    <s v="22:41:57"/>
    <d v="2026-09-19T00:00:00"/>
    <s v="22:56:07"/>
    <x v="7"/>
    <n v="13850"/>
    <n v="32670"/>
    <n v="18820"/>
    <s v="ĐN"/>
    <m/>
    <s v="UTXK/ĐN-QS/0726"/>
    <s v="XBUT"/>
    <s v="VC.007"/>
    <s v="Công ty TNHH Hoàng Anh Khôi Quảng Nam"/>
  </r>
  <r>
    <s v="99"/>
    <n v="671"/>
    <d v="2026-09-19T00:00:00"/>
    <s v="22:55:09"/>
    <d v="2026-09-19T00:00:00"/>
    <s v="23:05:46"/>
    <x v="9"/>
    <n v="13750"/>
    <n v="33630"/>
    <n v="19880"/>
    <s v="ĐN"/>
    <m/>
    <s v="UTXK/ĐN-QS/0726"/>
    <s v="XBUT"/>
    <s v="VC.007"/>
    <s v="Công ty TNHH Hoàng Anh Khôi Quảng Nam"/>
  </r>
  <r>
    <s v="100"/>
    <n v="672"/>
    <d v="2026-09-19T00:00:00"/>
    <s v="23:09:13"/>
    <d v="2026-09-19T00:00:00"/>
    <s v="23:19:17"/>
    <x v="6"/>
    <n v="13820"/>
    <n v="33680"/>
    <n v="19860"/>
    <s v="ĐN"/>
    <m/>
    <s v="UTXK/ĐN-QS/0726"/>
    <s v="XBUT"/>
    <s v="VC.007"/>
    <s v="Công ty TNHH Hoàng Anh Khôi"/>
  </r>
  <r>
    <s v="101"/>
    <n v="673"/>
    <d v="2026-09-20T00:00:00"/>
    <s v="00:32:58"/>
    <d v="2026-09-20T00:00:00"/>
    <s v="00:45:13"/>
    <x v="2"/>
    <n v="13790"/>
    <n v="34930"/>
    <n v="21140"/>
    <s v="ĐN"/>
    <m/>
    <s v="UTXK/ĐN-QS/0726"/>
    <s v="XBUT"/>
    <s v="VC.007"/>
    <s v="Công ty TNHH Hoàng Anh Khôi"/>
  </r>
  <r>
    <s v="102"/>
    <n v="674"/>
    <d v="2026-09-20T00:00:00"/>
    <s v="00:50:06"/>
    <d v="2026-09-20T00:00:00"/>
    <s v="01:02:19"/>
    <x v="8"/>
    <n v="13970"/>
    <n v="34460"/>
    <n v="20490"/>
    <s v="ĐN"/>
    <m/>
    <s v="UTXK/ĐN-QS/0726"/>
    <s v="XBUT"/>
    <s v="VC.007"/>
    <s v="Công ty TNHH Hoàng Anh Khôi Quảng Nam"/>
  </r>
  <r>
    <s v="103"/>
    <n v="675"/>
    <d v="2026-09-20T00:00:00"/>
    <s v="01:34:48"/>
    <d v="2026-09-20T00:00:00"/>
    <s v="01:47:00"/>
    <x v="11"/>
    <n v="13860"/>
    <n v="33470"/>
    <n v="19610"/>
    <s v="ĐN"/>
    <m/>
    <s v="UTXK/ĐN-QS/0726"/>
    <s v="XBUT"/>
    <s v="VC.007"/>
    <s v="Công ty TNHH Hoàng Anh Khôi"/>
  </r>
  <r>
    <s v="104"/>
    <n v="676"/>
    <d v="2026-09-20T00:00:00"/>
    <s v="01:57:47"/>
    <d v="2026-09-20T00:00:00"/>
    <s v="02:08:47"/>
    <x v="15"/>
    <n v="13950"/>
    <n v="33900"/>
    <n v="19950"/>
    <s v="ĐN"/>
    <m/>
    <s v="UTXK/ĐN-QS/0726"/>
    <s v="XBUT"/>
    <s v="VC.007"/>
    <s v="Công ty TNHH SX TM DV Đại Hiệp"/>
  </r>
  <r>
    <s v="105"/>
    <n v="677"/>
    <d v="2026-09-20T00:00:00"/>
    <s v="02:09:25"/>
    <d v="2026-09-20T00:00:00"/>
    <s v="02:20:26"/>
    <x v="12"/>
    <n v="13860"/>
    <n v="32470"/>
    <n v="18610"/>
    <s v="ĐN"/>
    <m/>
    <s v="UTXK/ĐN-QS/0726"/>
    <s v="XBUT"/>
    <s v="VC.007"/>
    <s v="Công ty TNHH Hoàng Anh Khôi Quảng Nam"/>
  </r>
  <r>
    <s v="106"/>
    <n v="678"/>
    <d v="2026-09-20T00:00:00"/>
    <s v="02:28:53"/>
    <d v="2026-09-20T00:00:00"/>
    <s v="02:44:08"/>
    <x v="3"/>
    <n v="13930"/>
    <n v="32100"/>
    <n v="18170"/>
    <s v="ĐN"/>
    <m/>
    <s v="UTXK/ĐN-QS/0726"/>
    <s v="XBUT"/>
    <s v="VC.007"/>
    <s v="Công ty TNHH SX TM DV Đại Hiệp"/>
  </r>
  <r>
    <s v="107"/>
    <n v="679"/>
    <d v="2026-09-20T00:00:00"/>
    <s v="03:10:07"/>
    <d v="2026-09-20T00:00:00"/>
    <s v="03:21:31"/>
    <x v="13"/>
    <n v="14060"/>
    <n v="33050"/>
    <n v="18990"/>
    <s v="ĐN"/>
    <m/>
    <s v="UTXK/ĐN-QS/0726"/>
    <s v="XBUT"/>
    <s v="VC.007"/>
    <s v="Công ty TNHH SX TM DV Đại Hiệp"/>
  </r>
  <r>
    <s v="108"/>
    <n v="680"/>
    <d v="2026-09-20T00:00:00"/>
    <s v="03:38:25"/>
    <d v="2026-09-20T00:00:00"/>
    <s v="03:50:01"/>
    <x v="5"/>
    <n v="13750"/>
    <n v="34120"/>
    <n v="20370"/>
    <s v="ĐN"/>
    <m/>
    <s v="UTXK/ĐN-QS/0726"/>
    <s v="XBUT"/>
    <s v="VC.007"/>
    <s v="Công ty TNHH Hoàng Anh Khôi Quảng Nam"/>
  </r>
  <r>
    <s v="109"/>
    <n v="681"/>
    <d v="2026-09-20T00:00:00"/>
    <s v="04:27:05"/>
    <d v="2026-09-20T00:00:00"/>
    <s v="04:38:35"/>
    <x v="4"/>
    <n v="13810"/>
    <n v="33100"/>
    <n v="19290"/>
    <s v="ĐN"/>
    <m/>
    <s v="UTXK/ĐN-QS/0726"/>
    <s v="XBUT"/>
    <s v="VC.007"/>
    <s v="Công ty TNHH Hoàng Anh Khôi Quảng Nam"/>
  </r>
  <r>
    <s v="110"/>
    <n v="682"/>
    <d v="2026-09-20T00:00:00"/>
    <s v="04:40:25"/>
    <d v="2026-09-20T00:00:00"/>
    <s v="04:59:16"/>
    <x v="14"/>
    <n v="13930"/>
    <n v="34250"/>
    <n v="20320"/>
    <s v="ĐN"/>
    <m/>
    <s v="UTXK/ĐN-QS/0726"/>
    <s v="XBUT"/>
    <s v="VC.007"/>
    <s v="Công ty TNHH SX TM DV Đại Hiệp"/>
  </r>
  <r>
    <s v="111"/>
    <n v="683"/>
    <d v="2026-09-20T00:00:00"/>
    <s v="04:48:07"/>
    <d v="2026-09-20T00:00:00"/>
    <s v="05:10:34"/>
    <x v="7"/>
    <n v="13850"/>
    <n v="34780"/>
    <n v="20930"/>
    <s v="ĐN"/>
    <m/>
    <s v="UTXK/ĐN-QS/0726"/>
    <s v="XBUT"/>
    <s v="VC.007"/>
    <s v="Công ty TNHH Hoàng Anh Khôi Quảng Nam"/>
  </r>
  <r>
    <s v="112"/>
    <n v="684"/>
    <d v="2026-09-20T00:00:00"/>
    <s v="05:41:04"/>
    <d v="2026-09-20T00:00:00"/>
    <s v="05:54:19"/>
    <x v="8"/>
    <n v="13930"/>
    <n v="33580"/>
    <n v="19650"/>
    <s v="ĐN"/>
    <m/>
    <s v="UTXK/ĐN-QS/0726"/>
    <s v="XBUT"/>
    <s v="VC.007"/>
    <s v="Công ty TNHH Hoàng Anh Khôi Quảng Nam"/>
  </r>
  <r>
    <s v="113"/>
    <n v="685"/>
    <d v="2026-09-20T00:00:00"/>
    <s v="06:01:39"/>
    <d v="2026-09-20T00:00:00"/>
    <s v="06:15:59"/>
    <x v="11"/>
    <n v="13850"/>
    <n v="32820"/>
    <n v="18970"/>
    <s v="ĐN"/>
    <m/>
    <s v="UTXK/ĐN-QS/0726"/>
    <s v="XBUT"/>
    <s v="VC.007"/>
    <s v="Công ty TNHH Hoàng Anh Khôi"/>
  </r>
  <r>
    <s v="114"/>
    <n v="686"/>
    <d v="2026-09-20T00:00:00"/>
    <s v="06:03:43"/>
    <d v="2026-09-20T00:00:00"/>
    <s v="06:26:19"/>
    <x v="1"/>
    <n v="13990"/>
    <n v="34510"/>
    <n v="20520"/>
    <s v="ĐN"/>
    <m/>
    <s v="UTXK/ĐN-QS/0726"/>
    <s v="XBUT"/>
    <s v="VC.007"/>
    <s v="Công ty TNHH Hoàng Anh Khôi Quảng Nam"/>
  </r>
  <r>
    <s v="115"/>
    <n v="687"/>
    <d v="2026-09-20T00:00:00"/>
    <s v="06:32:18"/>
    <d v="2026-09-20T00:00:00"/>
    <s v="06:49:09"/>
    <x v="3"/>
    <n v="13870"/>
    <n v="33780"/>
    <n v="19910"/>
    <s v="ĐN"/>
    <m/>
    <s v="UTXK/ĐN-QS/0726"/>
    <s v="XBUT"/>
    <s v="VC.007"/>
    <s v="Công ty TNHH SX TM DV Đại Hiệp"/>
  </r>
  <r>
    <s v="116"/>
    <n v="688"/>
    <d v="2026-09-20T00:00:00"/>
    <s v="06:39:08"/>
    <d v="2026-09-20T00:00:00"/>
    <s v="06:50:51"/>
    <x v="10"/>
    <n v="14150"/>
    <n v="33290"/>
    <n v="19140"/>
    <s v="ĐN"/>
    <m/>
    <s v="UTXK/ĐN-QS/0726"/>
    <s v="XBUT"/>
    <s v="VC.007"/>
    <s v="Công ty TNHH Hoàng Anh Khôi"/>
  </r>
  <r>
    <s v="117"/>
    <n v="689"/>
    <d v="2026-09-20T00:00:00"/>
    <s v="06:40:11"/>
    <d v="2026-09-20T00:00:00"/>
    <s v="06:58:40"/>
    <x v="9"/>
    <n v="13760"/>
    <n v="33400"/>
    <n v="19640"/>
    <s v="ĐN"/>
    <m/>
    <s v="UTXK/ĐN-QS/0726"/>
    <s v="XBUT"/>
    <s v="VC.007"/>
    <s v="Công ty TNHH Hoàng Anh Khôi Quảng Nam"/>
  </r>
  <r>
    <s v="118"/>
    <n v="690"/>
    <d v="2026-09-20T00:00:00"/>
    <s v="06:45:54"/>
    <d v="2026-09-20T00:00:00"/>
    <s v="07:07:02"/>
    <x v="6"/>
    <n v="13800"/>
    <n v="33260"/>
    <n v="19460"/>
    <s v="ĐN"/>
    <m/>
    <s v="UTXK/ĐN-QS/0726"/>
    <s v="XBUT"/>
    <s v="VC.007"/>
    <s v="Công ty TNHH Hoàng Anh Khôi"/>
  </r>
  <r>
    <s v="119"/>
    <n v="691"/>
    <d v="2026-09-20T00:00:00"/>
    <s v="06:48:17"/>
    <d v="2026-09-20T00:00:00"/>
    <s v="07:15:17"/>
    <x v="15"/>
    <n v="13900"/>
    <n v="32320"/>
    <n v="18420"/>
    <s v="ĐN"/>
    <m/>
    <s v="UTXK/ĐN-QS/0726"/>
    <s v="XBUT"/>
    <s v="VC.007"/>
    <s v="Công ty TNHH SX TM DV Đại Hiệp"/>
  </r>
  <r>
    <s v="120"/>
    <n v="692"/>
    <d v="2026-09-20T00:00:00"/>
    <s v="07:16:33"/>
    <d v="2026-09-20T00:00:00"/>
    <s v="07:31:45"/>
    <x v="12"/>
    <n v="13800"/>
    <n v="31610"/>
    <n v="17810"/>
    <s v="ĐN"/>
    <m/>
    <s v="UTXK/ĐN-QS/0726"/>
    <s v="XBUT"/>
    <s v="VC.007"/>
    <s v="Công ty TNHH Hoàng Anh Khôi Quảng Nam"/>
  </r>
  <r>
    <s v="121"/>
    <n v="693"/>
    <d v="2026-09-20T00:00:00"/>
    <s v="07:22:19"/>
    <d v="2026-09-20T00:00:00"/>
    <s v="07:51:16"/>
    <x v="5"/>
    <n v="13730"/>
    <n v="32440"/>
    <n v="18710"/>
    <s v="ĐN"/>
    <m/>
    <s v="UTXK/ĐN-QS/0726"/>
    <s v="XBUT"/>
    <s v="VC.007"/>
    <s v="Công ty TNHH Hoàng Anh Khôi Quảng Nam"/>
  </r>
  <r>
    <s v="122"/>
    <n v="694"/>
    <d v="2026-09-20T00:00:00"/>
    <s v="09:02:13"/>
    <d v="2026-09-20T00:00:00"/>
    <s v="09:14:53"/>
    <x v="0"/>
    <n v="13800"/>
    <n v="34090"/>
    <n v="20290"/>
    <s v="ĐN"/>
    <m/>
    <s v="UTXK/ĐN-QS/0726"/>
    <s v="XBUT"/>
    <s v="VC.007"/>
    <s v="Công ty TNHH Hoàng Anh Khôi"/>
  </r>
  <r>
    <s v="123"/>
    <n v="695"/>
    <d v="2026-09-20T00:00:00"/>
    <s v="09:37:12"/>
    <d v="2026-09-20T00:00:00"/>
    <s v="09:48:15"/>
    <x v="13"/>
    <n v="14050"/>
    <n v="33530"/>
    <n v="19480"/>
    <s v="ĐN"/>
    <m/>
    <s v="UTXK/ĐN-QS/0726"/>
    <s v="XBUT"/>
    <s v="VC.007"/>
    <s v="Công ty TNHH SX TM DV Đại Hiệp"/>
  </r>
  <r>
    <s v="124"/>
    <n v="696"/>
    <d v="2026-09-20T00:00:00"/>
    <s v="09:44:42"/>
    <d v="2026-09-20T00:00:00"/>
    <s v="09:56:43"/>
    <x v="4"/>
    <n v="13800"/>
    <n v="33720"/>
    <n v="19920"/>
    <s v="ĐN"/>
    <m/>
    <s v="UTXK/ĐN-QS/0726"/>
    <s v="XBUT"/>
    <s v="VC.007"/>
    <s v="Công ty TNHH Hoàng Anh Khôi Quảng Nam"/>
  </r>
  <r>
    <s v="125"/>
    <n v="697"/>
    <d v="2026-09-20T00:00:00"/>
    <s v="09:50:20"/>
    <d v="2026-09-20T00:00:00"/>
    <s v="10:06:30"/>
    <x v="7"/>
    <n v="13830"/>
    <n v="33390"/>
    <n v="19560"/>
    <s v="ĐN"/>
    <m/>
    <s v="UTXK/ĐN-QS/0726"/>
    <s v="XBUT"/>
    <s v="VC.007"/>
    <s v="Công ty TNHH Hoàng Anh Khôi Quảng Nam"/>
  </r>
  <r>
    <s v="126"/>
    <n v="698"/>
    <d v="2026-09-20T00:00:00"/>
    <s v="10:04:43"/>
    <d v="2026-09-20T00:00:00"/>
    <s v="10:17:36"/>
    <x v="2"/>
    <n v="13780"/>
    <n v="33170"/>
    <n v="19390"/>
    <s v="ĐN"/>
    <m/>
    <s v="UTXK/ĐN-QS/0726"/>
    <s v="XBUT"/>
    <s v="VC.007"/>
    <s v="Công ty TNHH Hoàng Anh Khôi"/>
  </r>
  <r>
    <s v="127"/>
    <n v="699"/>
    <d v="2026-09-20T00:00:00"/>
    <s v="10:08:59"/>
    <d v="2026-09-20T00:00:00"/>
    <s v="10:24:40"/>
    <x v="14"/>
    <n v="13920"/>
    <n v="32840"/>
    <n v="18920"/>
    <s v="ĐN"/>
    <m/>
    <s v="UTXK/ĐN-QS/0726"/>
    <s v="XBUT"/>
    <s v="VC.007"/>
    <s v="Công ty TNHH SX TM DV Đại Hiệp"/>
  </r>
  <r>
    <s v="128"/>
    <n v="700"/>
    <d v="2026-09-20T00:00:00"/>
    <s v="10:19:02"/>
    <d v="2026-09-20T00:00:00"/>
    <s v="10:34:22"/>
    <x v="8"/>
    <n v="13880"/>
    <n v="34210"/>
    <n v="20330"/>
    <s v="ĐN"/>
    <m/>
    <s v="UTXK/ĐN-QS/0726"/>
    <s v="XBUT"/>
    <s v="VC.007"/>
    <s v="Công ty TNHH Hoàng Anh Khôi Quảng Nam"/>
  </r>
  <r>
    <s v="129"/>
    <n v="701"/>
    <d v="2026-09-20T00:00:00"/>
    <s v="10:45:30"/>
    <d v="2026-09-20T00:00:00"/>
    <s v="11:15:45"/>
    <x v="11"/>
    <n v="14070"/>
    <n v="33040"/>
    <n v="18970"/>
    <s v="ĐN"/>
    <m/>
    <s v="UTXK/ĐN-QS/0726"/>
    <s v="XBUT"/>
    <s v="VC.007"/>
    <s v="Công ty TNHH Hoàng Anh Khôi"/>
  </r>
  <r>
    <s v="130"/>
    <n v="702"/>
    <d v="2026-09-20T00:00:00"/>
    <s v="10:59:05"/>
    <d v="2026-09-20T00:00:00"/>
    <s v="11:48:25"/>
    <x v="16"/>
    <n v="13990"/>
    <n v="32960"/>
    <n v="18970"/>
    <s v="ĐN"/>
    <m/>
    <s v="UTXK/ĐN-QS/0726"/>
    <s v="XBUT"/>
    <s v="VC.007"/>
    <s v="Công ty TNHH SX TM DV Đại Hiệp"/>
  </r>
  <r>
    <s v="131"/>
    <n v="703"/>
    <d v="2026-09-20T00:00:00"/>
    <s v="11:06:05"/>
    <d v="2026-09-20T00:00:00"/>
    <s v="11:23:57"/>
    <x v="15"/>
    <n v="13830"/>
    <n v="33920"/>
    <n v="20090"/>
    <s v="ĐN"/>
    <m/>
    <s v="UTXK/ĐN-QS/0726"/>
    <s v="XBUT"/>
    <s v="VC.007"/>
    <s v="Công ty TNHH SX TM DV Đại Hiệp"/>
  </r>
  <r>
    <s v="132"/>
    <n v="704"/>
    <d v="2026-09-20T00:00:00"/>
    <s v="11:09:50"/>
    <d v="2026-09-20T00:00:00"/>
    <s v="12:24:08"/>
    <x v="10"/>
    <n v="14080"/>
    <n v="33840"/>
    <n v="19760"/>
    <s v="ĐN"/>
    <m/>
    <s v="UTXK/ĐN-QS/0726"/>
    <s v="XBUT"/>
    <s v="VC.007"/>
    <s v="Công ty TNHH Hoàng Anh Khôi"/>
  </r>
  <r>
    <s v="133"/>
    <n v="705"/>
    <d v="2026-09-20T00:00:00"/>
    <s v="11:10:55"/>
    <d v="2026-09-20T00:00:00"/>
    <s v="11:57:13"/>
    <x v="3"/>
    <n v="13810"/>
    <n v="33080"/>
    <n v="19270"/>
    <s v="ĐN"/>
    <m/>
    <s v="UTXK/ĐN-QS/0726"/>
    <s v="XBUT"/>
    <s v="VC.007"/>
    <s v="Công ty TNHH SX TM DV Đại Hiệp"/>
  </r>
  <r>
    <s v="134"/>
    <n v="706"/>
    <d v="2026-09-20T00:00:00"/>
    <s v="11:19:36"/>
    <d v="2026-09-20T00:00:00"/>
    <s v="11:31:51"/>
    <x v="9"/>
    <n v="14070"/>
    <n v="34070"/>
    <n v="20000"/>
    <s v="ĐN"/>
    <m/>
    <s v="UTXK/ĐN-QS/0726"/>
    <s v="XBUT"/>
    <s v="VC.007"/>
    <s v="Công ty TNHH Hoàng Anh Khôi Quảng Nam"/>
  </r>
  <r>
    <s v="135"/>
    <n v="707"/>
    <d v="2026-09-20T00:00:00"/>
    <s v="11:20:36"/>
    <d v="2026-09-20T00:00:00"/>
    <s v="11:42:06"/>
    <x v="12"/>
    <n v="13740"/>
    <n v="32510"/>
    <n v="18770"/>
    <s v="ĐN"/>
    <m/>
    <s v="UTXK/ĐN-QS/0726"/>
    <s v="XBUT"/>
    <s v="VC.007"/>
    <s v="Công ty TNHH Hoàng Anh Khôi Quảng Nam"/>
  </r>
  <r>
    <s v="136"/>
    <n v="708"/>
    <d v="2026-09-20T00:00:00"/>
    <s v="11:43:04"/>
    <d v="2026-09-20T00:00:00"/>
    <s v="12:05:37"/>
    <x v="1"/>
    <n v="13930"/>
    <n v="33860"/>
    <n v="19930"/>
    <s v="ĐN"/>
    <m/>
    <s v="UTXK/ĐN-QS/0726"/>
    <s v="XBUT"/>
    <s v="VC.007"/>
    <s v="Công ty TNHH Hoàng Anh Khôi Quảng Nam"/>
  </r>
  <r>
    <s v="137"/>
    <n v="709"/>
    <d v="2026-09-20T00:00:00"/>
    <s v="12:18:24"/>
    <d v="2026-09-20T00:00:00"/>
    <s v="12:32:36"/>
    <x v="6"/>
    <n v="14070"/>
    <n v="33850"/>
    <n v="19780"/>
    <s v="ĐN"/>
    <m/>
    <s v="UTXK/ĐN-QS/0726"/>
    <s v="XBUT"/>
    <s v="VC.007"/>
    <s v="Công ty TNHH Hoàng Anh Khôi"/>
  </r>
  <r>
    <s v="138"/>
    <n v="710"/>
    <d v="2026-09-20T00:00:00"/>
    <s v="12:27:39"/>
    <d v="2026-09-20T00:00:00"/>
    <s v="12:41:00"/>
    <x v="5"/>
    <n v="13960"/>
    <n v="33610"/>
    <n v="19650"/>
    <s v="ĐN"/>
    <m/>
    <s v="UTXK/ĐN-QS/0726"/>
    <s v="XBUT"/>
    <s v="VC.007"/>
    <s v="Công ty TNHH Hoàng Anh Khôi Quảng Nam"/>
  </r>
  <r>
    <s v="139"/>
    <n v="711"/>
    <d v="2026-09-20T00:00:00"/>
    <s v="13:50:36"/>
    <d v="2026-09-20T00:00:00"/>
    <s v="14:10:08"/>
    <x v="0"/>
    <n v="13780"/>
    <n v="33620"/>
    <n v="19840"/>
    <s v="ĐN"/>
    <m/>
    <s v="UTXK/ĐN-QS/0726"/>
    <s v="XBUT"/>
    <s v="VC.007"/>
    <s v="Công ty TNHH Hoàng Anh Khôi"/>
  </r>
  <r>
    <s v="140"/>
    <n v="712"/>
    <d v="2026-09-20T00:00:00"/>
    <s v="14:37:23"/>
    <d v="2026-09-20T00:00:00"/>
    <s v="14:49:14"/>
    <x v="4"/>
    <n v="13790"/>
    <n v="33510"/>
    <n v="19720"/>
    <s v="ĐN"/>
    <m/>
    <s v="UTXK/ĐN-QS/0726"/>
    <s v="XBUT"/>
    <s v="VC.007"/>
    <s v="Công ty TNHH Hoàng Anh Khôi Quảng Nam"/>
  </r>
  <r>
    <s v="141"/>
    <n v="713"/>
    <d v="2026-09-20T00:00:00"/>
    <s v="14:43:48"/>
    <d v="2026-09-20T00:00:00"/>
    <s v="14:58:23"/>
    <x v="8"/>
    <n v="13900"/>
    <n v="34330"/>
    <n v="20430"/>
    <s v="ĐN"/>
    <m/>
    <s v="UTXK/ĐN-QS/0726"/>
    <s v="XBUT"/>
    <s v="VC.007"/>
    <s v="Công ty TNHH Hoàng Anh Khôi Quảng Nam"/>
  </r>
  <r>
    <s v="142"/>
    <n v="714"/>
    <d v="2026-09-20T00:00:00"/>
    <s v="14:54:40"/>
    <d v="2026-09-20T00:00:00"/>
    <s v="15:09:49"/>
    <x v="7"/>
    <n v="13810"/>
    <n v="35730"/>
    <n v="21920"/>
    <s v="ĐN"/>
    <m/>
    <s v="UTXK/ĐN-QS/0726"/>
    <s v="XBUT"/>
    <s v="VC.007"/>
    <s v="Công ty TNHH Hoàng Anh Khôi Quảng Nam"/>
  </r>
  <r>
    <s v="143"/>
    <n v="715"/>
    <d v="2026-09-20T00:00:00"/>
    <s v="14:59:47"/>
    <d v="2026-09-20T00:00:00"/>
    <s v="15:16:48"/>
    <x v="13"/>
    <n v="14030"/>
    <n v="34110"/>
    <n v="20080"/>
    <s v="ĐN"/>
    <m/>
    <s v="UTXK/ĐN-QS/0726"/>
    <s v="XBUT"/>
    <s v="VC.007"/>
    <s v="Công ty TNHH SX TM DV Đại Hiệp"/>
  </r>
  <r>
    <s v="144"/>
    <n v="716"/>
    <d v="2026-09-20T00:00:00"/>
    <s v="15:07:49"/>
    <d v="2026-09-20T00:00:00"/>
    <s v="15:27:14"/>
    <x v="14"/>
    <n v="13980"/>
    <n v="34120"/>
    <n v="20140"/>
    <s v="ĐN"/>
    <m/>
    <s v="UTXK/ĐN-QS/0726"/>
    <s v="XBUT"/>
    <s v="VC.007"/>
    <s v="Công ty TNHH SX TM DV Đại Hiệp"/>
  </r>
  <r>
    <s v="145"/>
    <n v="717"/>
    <d v="2026-09-20T00:00:00"/>
    <s v="15:14:31"/>
    <d v="2026-09-20T00:00:00"/>
    <s v="15:44:20"/>
    <x v="2"/>
    <n v="13730"/>
    <n v="35050"/>
    <n v="21320"/>
    <s v="ĐN"/>
    <m/>
    <s v="UTXK/ĐN-QS/0726"/>
    <s v="XBUT"/>
    <s v="VC.007"/>
    <s v="Công ty TNHH Hoàng Anh Khôi"/>
  </r>
  <r>
    <s v="146"/>
    <n v="718"/>
    <d v="2026-09-20T00:00:00"/>
    <s v="15:51:35"/>
    <d v="2026-09-20T00:00:00"/>
    <s v="16:02:44"/>
    <x v="9"/>
    <n v="14050"/>
    <n v="34870"/>
    <n v="20820"/>
    <s v="ĐN"/>
    <m/>
    <s v="UTXK/ĐN-QS/0726"/>
    <s v="XBUT"/>
    <s v="VC.007"/>
    <s v="Công ty TNHH Hoàng Anh Khôi Quảng Nam"/>
  </r>
  <r>
    <s v="147"/>
    <n v="719"/>
    <d v="2026-09-20T00:00:00"/>
    <s v="16:01:05"/>
    <d v="2026-09-20T00:00:00"/>
    <s v="16:25:47"/>
    <x v="11"/>
    <n v="14040"/>
    <n v="34480"/>
    <n v="20440"/>
    <s v="ĐN"/>
    <m/>
    <s v="UTXK/ĐN-QS/0726"/>
    <s v="XBUT"/>
    <s v="VC.007"/>
    <s v="Công ty TNHH Hoàng Anh Khôi"/>
  </r>
  <r>
    <s v="148"/>
    <n v="720"/>
    <d v="2026-09-20T00:00:00"/>
    <s v="16:19:22"/>
    <d v="2026-09-20T00:00:00"/>
    <s v="16:34:55"/>
    <x v="16"/>
    <n v="13980"/>
    <n v="34670"/>
    <n v="20690"/>
    <s v="ĐN"/>
    <m/>
    <s v="UTXK/ĐN-QS/0726"/>
    <s v="XBUT"/>
    <s v="VC.007"/>
    <s v="Công ty TNHH SX TM DV Đại Hiệp"/>
  </r>
  <r>
    <s v="149"/>
    <n v="721"/>
    <d v="2026-09-20T00:00:00"/>
    <s v="16:24:37"/>
    <d v="2026-09-20T00:00:00"/>
    <s v="16:45:45"/>
    <x v="12"/>
    <n v="14120"/>
    <n v="35400"/>
    <n v="21280"/>
    <s v="ĐN"/>
    <m/>
    <s v="UTXK/ĐN-QS/0726"/>
    <s v="XBUT"/>
    <s v="VC.007"/>
    <s v="Công ty TNHH Hoàng Anh Khôi Quảng Nam"/>
  </r>
  <r>
    <s v="150"/>
    <n v="722"/>
    <d v="2026-09-20T00:00:00"/>
    <s v="16:28:29"/>
    <d v="2026-09-20T00:00:00"/>
    <s v="16:52:15"/>
    <x v="15"/>
    <n v="13820"/>
    <n v="34850"/>
    <n v="21030"/>
    <s v="ĐN"/>
    <m/>
    <s v="UTXK/ĐN-QS/0726"/>
    <s v="XBUT"/>
    <s v="VC.007"/>
    <s v="Công ty TNHH SX TM DV Đại Hiệp"/>
  </r>
  <r>
    <s v="151"/>
    <n v="723"/>
    <d v="2026-09-20T00:00:00"/>
    <s v="16:33:15"/>
    <d v="2026-09-20T00:00:00"/>
    <s v="17:00:53"/>
    <x v="10"/>
    <n v="14110"/>
    <n v="35900"/>
    <n v="21790"/>
    <s v="ĐN"/>
    <m/>
    <s v="UTXK/ĐN-QS/0726"/>
    <s v="XBUT"/>
    <s v="VC.007"/>
    <s v="Công ty TNHH Hoàng Anh Khôi"/>
  </r>
  <r>
    <s v="152"/>
    <n v="724"/>
    <d v="2026-09-20T00:00:00"/>
    <s v="16:49:28"/>
    <d v="2026-09-20T00:00:00"/>
    <s v="17:08:49"/>
    <x v="3"/>
    <n v="14130"/>
    <n v="35420"/>
    <n v="21290"/>
    <s v="ĐN"/>
    <m/>
    <s v="UTXK/ĐN-QS/0726"/>
    <s v="XBUT"/>
    <s v="VC.007"/>
    <s v="Công ty TNHH SX TM DV Đại Hiệp"/>
  </r>
  <r>
    <s v="153"/>
    <n v="725"/>
    <d v="2026-09-20T00:00:00"/>
    <s v="17:05:06"/>
    <d v="2026-09-20T00:00:00"/>
    <s v="17:16:55"/>
    <x v="1"/>
    <n v="13850"/>
    <n v="35340"/>
    <n v="21490"/>
    <s v="ĐN"/>
    <m/>
    <s v="UTXK/ĐN-QS/0726"/>
    <s v="XBUT"/>
    <s v="VC.007"/>
    <s v="Công ty TNHH Hoàng Anh Khôi Quảng Nam"/>
  </r>
  <r>
    <s v="154"/>
    <n v="726"/>
    <d v="2026-09-20T00:00:00"/>
    <s v="17:18:13"/>
    <d v="2026-09-20T00:00:00"/>
    <s v="17:30:49"/>
    <x v="6"/>
    <n v="14060"/>
    <n v="34670"/>
    <n v="20610"/>
    <s v="ĐN"/>
    <m/>
    <s v="UTXK/ĐN-QS/0726"/>
    <s v="XBUT"/>
    <s v="VC.007"/>
    <s v="Công ty TNHH Hoàng Anh Khôi"/>
  </r>
  <r>
    <s v="155"/>
    <n v="727"/>
    <d v="2026-09-20T00:00:00"/>
    <s v="17:28:56"/>
    <d v="2026-09-20T00:00:00"/>
    <s v="17:42:00"/>
    <x v="5"/>
    <n v="13970"/>
    <n v="34990"/>
    <n v="21020"/>
    <s v="ĐN"/>
    <m/>
    <s v="UTXK/ĐN-QS/0726"/>
    <s v="XBUT"/>
    <s v="VC.007"/>
    <s v="Công ty TNHH Hoàng Anh Khôi Quảng Nam"/>
  </r>
  <r>
    <s v="156"/>
    <n v="728"/>
    <d v="2026-09-20T00:00:00"/>
    <s v="18:57:20"/>
    <d v="2026-09-20T00:00:00"/>
    <s v="19:07:58"/>
    <x v="0"/>
    <n v="13760"/>
    <n v="34620"/>
    <n v="20860"/>
    <s v="ĐN"/>
    <m/>
    <s v="UTXK/ĐN-QS/0726"/>
    <s v="XBUT"/>
    <s v="VC.007"/>
    <s v="Công ty TNHH Hoàng Anh Khôi"/>
  </r>
  <r>
    <s v="157"/>
    <n v="729"/>
    <d v="2026-09-20T00:00:00"/>
    <s v="20:07:40"/>
    <d v="2026-09-20T00:00:00"/>
    <s v="20:19:17"/>
    <x v="4"/>
    <n v="14060"/>
    <n v="35950"/>
    <n v="21890"/>
    <s v="ĐN"/>
    <m/>
    <s v="UTXK/ĐN-QS/0726"/>
    <s v="XBUT"/>
    <s v="VC.007"/>
    <s v="Công ty TNHH Hoàng Anh Khôi Quảng Nam"/>
  </r>
  <r>
    <s v="158"/>
    <n v="730"/>
    <d v="2026-09-20T00:00:00"/>
    <s v="20:10:02"/>
    <d v="2026-09-20T00:00:00"/>
    <s v="20:36:44"/>
    <x v="7"/>
    <n v="13890"/>
    <n v="33420"/>
    <n v="19530"/>
    <s v="ĐN"/>
    <m/>
    <s v="UTXK/ĐN-QS/0726"/>
    <s v="XBUT"/>
    <s v="VC.007"/>
    <s v="Công ty TNHH Hoàng Anh Khôi Quảng Nam"/>
  </r>
  <r>
    <s v="159"/>
    <n v="731"/>
    <d v="2026-09-20T00:00:00"/>
    <s v="20:21:09"/>
    <d v="2026-09-20T00:00:00"/>
    <s v="20:55:27"/>
    <x v="14"/>
    <n v="13850"/>
    <n v="35150"/>
    <n v="21300"/>
    <s v="ĐN"/>
    <m/>
    <s v="UTXK/ĐN-QS/0726"/>
    <s v="XBUT"/>
    <s v="VC.007"/>
    <s v="Công ty TNHH SX TM DV Đại Hiệp"/>
  </r>
  <r>
    <s v="160"/>
    <n v="732"/>
    <d v="2026-09-20T00:00:00"/>
    <s v="20:34:48"/>
    <d v="2026-09-20T00:00:00"/>
    <s v="20:48:59"/>
    <x v="11"/>
    <n v="14010"/>
    <n v="33840"/>
    <n v="19830"/>
    <s v="ĐN"/>
    <m/>
    <s v="UTXK/ĐN-QS/0726"/>
    <s v="XBUT"/>
    <s v="VC.007"/>
    <s v="Công ty TNHH Hoàng Anh Khôi"/>
  </r>
  <r>
    <s v="161"/>
    <n v="733"/>
    <d v="2026-09-20T00:00:00"/>
    <s v="20:38:23"/>
    <d v="2026-09-20T00:00:00"/>
    <s v="20:57:08"/>
    <x v="9"/>
    <n v="14020"/>
    <n v="33080"/>
    <n v="19060"/>
    <s v="ĐN"/>
    <m/>
    <s v="UTXK/ĐN-QS/0726"/>
    <s v="XBUT"/>
    <s v="VC.007"/>
    <s v="Công ty TNHH Hoàng Anh Khôi Quảng Nam"/>
  </r>
  <r>
    <s v="162"/>
    <n v="734"/>
    <d v="2026-09-20T00:00:00"/>
    <s v="21:01:59"/>
    <d v="2026-09-20T00:00:00"/>
    <s v="21:12:40"/>
    <x v="16"/>
    <n v="13940"/>
    <n v="33240"/>
    <n v="19300"/>
    <s v="ĐN"/>
    <m/>
    <s v="UTXK/ĐN-QS/0726"/>
    <s v="XBUT"/>
    <s v="VC.007"/>
    <s v="Công ty TNHH SX TM DV Đại Hiệp"/>
  </r>
  <r>
    <s v="163"/>
    <n v="735"/>
    <d v="2026-09-20T00:00:00"/>
    <s v="21:03:42"/>
    <d v="2026-09-20T00:00:00"/>
    <s v="21:21:38"/>
    <x v="2"/>
    <n v="14030"/>
    <n v="33740"/>
    <n v="19710"/>
    <s v="ĐN"/>
    <m/>
    <s v="UTXK/ĐN-QS/0726"/>
    <s v="XBUT"/>
    <s v="VC.007"/>
    <s v="Công ty TNHH Hoàng Anh Khôi"/>
  </r>
  <r>
    <s v="164"/>
    <n v="736"/>
    <d v="2026-09-20T00:00:00"/>
    <s v="21:41:00"/>
    <d v="2026-09-20T00:00:00"/>
    <s v="21:51:34"/>
    <x v="1"/>
    <n v="13820"/>
    <n v="33300"/>
    <n v="19480"/>
    <s v="ĐN"/>
    <m/>
    <s v="UTXK/ĐN-QS/0726"/>
    <s v="XBUT"/>
    <s v="VC.007"/>
    <s v="Công ty TNHH Hoàng Anh Khôi Quảng Nam"/>
  </r>
  <r>
    <s v="165"/>
    <n v="737"/>
    <d v="2026-09-20T00:00:00"/>
    <s v="22:13:32"/>
    <d v="2026-09-20T00:00:00"/>
    <s v="22:24:22"/>
    <x v="15"/>
    <n v="13800"/>
    <n v="33360"/>
    <n v="19560"/>
    <s v="ĐN"/>
    <m/>
    <s v="UTXK/ĐN-QS/0726"/>
    <s v="XBUT"/>
    <s v="VC.007"/>
    <s v="Công ty TNHH SX TM DV Đại Hiệp"/>
  </r>
  <r>
    <s v="166"/>
    <n v="738"/>
    <d v="2026-09-20T00:00:00"/>
    <s v="23:31:57"/>
    <d v="2026-09-20T00:00:00"/>
    <s v="23:42:10"/>
    <x v="6"/>
    <n v="14010"/>
    <n v="32220"/>
    <n v="18210"/>
    <s v="ĐN"/>
    <m/>
    <s v="UTXK/ĐN-QS/0726"/>
    <s v="XBUT"/>
    <s v="VC.007"/>
    <s v="Công ty TNHH Hoàng Anh Khôi"/>
  </r>
  <r>
    <s v="167"/>
    <n v="739"/>
    <d v="2026-09-20T00:00:00"/>
    <s v="23:45:43"/>
    <d v="2026-09-20T00:00:00"/>
    <s v="23:56:01"/>
    <x v="0"/>
    <n v="13710"/>
    <n v="33080"/>
    <n v="19370"/>
    <s v="ĐN"/>
    <m/>
    <s v="UTXK/ĐN-QS/0726"/>
    <s v="XBUT"/>
    <s v="VC.007"/>
    <s v="Công ty TNHH Hoàng Anh Khôi"/>
  </r>
  <r>
    <s v="168"/>
    <n v="740"/>
    <d v="2026-09-20T00:00:00"/>
    <s v="23:58:18"/>
    <d v="2026-09-21T00:00:00"/>
    <s v="00:09:32"/>
    <x v="13"/>
    <n v="13930"/>
    <n v="32750"/>
    <n v="18820"/>
    <s v="ĐN"/>
    <m/>
    <s v="UTXK/ĐN-QS/0726"/>
    <s v="XBUT"/>
    <s v="VC.007"/>
    <s v="Công ty TNHH SX TM DV Đại Hiệp"/>
  </r>
  <r>
    <s v="169"/>
    <n v="741"/>
    <d v="2026-09-21T00:00:00"/>
    <s v="00:04:25"/>
    <d v="2026-09-21T00:00:00"/>
    <s v="00:18:45"/>
    <x v="7"/>
    <n v="13840"/>
    <n v="33500"/>
    <n v="19660"/>
    <s v="ĐN"/>
    <m/>
    <s v="UTXK/ĐN-QS/0726"/>
    <s v="XBUT"/>
    <s v="VC.007"/>
    <s v="Công ty TNHH Hoàng Anh Khôi Quảng Nam"/>
  </r>
  <r>
    <s v="170"/>
    <n v="742"/>
    <d v="2026-09-21T00:00:00"/>
    <s v="00:21:57"/>
    <d v="2026-09-21T00:00:00"/>
    <s v="00:33:10"/>
    <x v="4"/>
    <n v="13940"/>
    <n v="33220"/>
    <n v="19280"/>
    <s v="ĐN"/>
    <m/>
    <s v="UTXK/ĐN-QS/0726"/>
    <s v="XBUT"/>
    <s v="VC.007"/>
    <s v="Công ty TNHH Hoàng Anh Khôi Quảng Nam"/>
  </r>
  <r>
    <s v="171"/>
    <n v="743"/>
    <d v="2026-09-21T00:00:00"/>
    <s v="00:46:48"/>
    <d v="2026-09-21T00:00:00"/>
    <s v="00:58:08"/>
    <x v="11"/>
    <n v="13950"/>
    <n v="32680"/>
    <n v="18730"/>
    <s v="ĐN"/>
    <m/>
    <s v="UTXK/ĐN-QS/0726"/>
    <s v="XBUT"/>
    <s v="VC.007"/>
    <s v="Công ty TNHH Hoàng Anh Khôi"/>
  </r>
  <r>
    <s v="172"/>
    <n v="744"/>
    <d v="2026-09-21T00:00:00"/>
    <s v="01:25:04"/>
    <d v="2026-09-21T00:00:00"/>
    <s v="01:35:38"/>
    <x v="10"/>
    <n v="14100"/>
    <n v="32680"/>
    <n v="18580"/>
    <s v="ĐN"/>
    <m/>
    <s v="UTXK/ĐN-QS/0726"/>
    <s v="XBUT"/>
    <s v="VC.007"/>
    <s v="Công ty TNHH Hoàng Anh Khôi"/>
  </r>
  <r>
    <s v="173"/>
    <n v="745"/>
    <d v="2026-09-21T00:00:00"/>
    <s v="01:29:52"/>
    <d v="2026-09-21T00:00:00"/>
    <s v="01:43:33"/>
    <x v="5"/>
    <n v="13950"/>
    <n v="33910"/>
    <n v="19960"/>
    <s v="ĐN"/>
    <m/>
    <s v="UTXK/ĐN-QS/0726"/>
    <s v="XBUT"/>
    <s v="VC.007"/>
    <s v="Công ty TNHH Hoàng Anh Khôi Quảng Nam"/>
  </r>
  <r>
    <s v="174"/>
    <n v="746"/>
    <d v="2026-09-21T00:00:00"/>
    <s v="02:01:22"/>
    <d v="2026-09-21T00:00:00"/>
    <s v="02:13:50"/>
    <x v="12"/>
    <n v="14140"/>
    <n v="31980"/>
    <n v="17840"/>
    <s v="ĐN"/>
    <m/>
    <s v="UTXK/ĐN-QS/0726"/>
    <s v="XBUT"/>
    <s v="VC.007"/>
    <s v="Công ty TNHH Hoàng Anh Khôi Quảng Nam"/>
  </r>
  <r>
    <s v="175"/>
    <n v="747"/>
    <d v="2026-09-21T00:00:00"/>
    <s v="02:11:49"/>
    <d v="2026-09-21T00:00:00"/>
    <s v="02:22:55"/>
    <x v="3"/>
    <n v="14110"/>
    <n v="32280"/>
    <n v="18170"/>
    <s v="ĐN"/>
    <m/>
    <s v="UTXK/ĐN-QS/0726"/>
    <s v="XBUT"/>
    <s v="VC.007"/>
    <s v="Công ty TNHH SX TM DV Đại Hiệp"/>
  </r>
  <r>
    <s v="176"/>
    <n v="748"/>
    <d v="2026-09-21T00:00:00"/>
    <s v="02:27:48"/>
    <d v="2026-09-21T00:00:00"/>
    <s v="02:39:49"/>
    <x v="8"/>
    <n v="13840"/>
    <n v="31080"/>
    <n v="17240"/>
    <s v="ĐN"/>
    <m/>
    <s v="UTXK/ĐN-QS/0726"/>
    <s v="XBUT"/>
    <s v="VC.007"/>
    <s v="Công ty TNHH Hoàng Anh Khôi Quảng Nam"/>
  </r>
  <r>
    <s v="177"/>
    <n v="749"/>
    <d v="2026-09-21T00:00:00"/>
    <s v="03:14:54"/>
    <d v="2026-09-21T00:00:00"/>
    <s v="03:25:32"/>
    <x v="2"/>
    <n v="13950"/>
    <n v="31220"/>
    <n v="17270"/>
    <s v="ĐN"/>
    <m/>
    <s v="UTXK/ĐN-QS/0726"/>
    <s v="XBUT"/>
    <s v="VC.007"/>
    <s v="Công ty TNHH Hoàng Anh Khôi"/>
  </r>
  <r>
    <s v="178"/>
    <n v="750"/>
    <d v="2026-09-21T00:00:00"/>
    <s v="03:57:04"/>
    <d v="2026-09-21T00:00:00"/>
    <s v="04:08:13"/>
    <x v="4"/>
    <n v="13960"/>
    <n v="31460"/>
    <n v="17500"/>
    <s v="ĐN"/>
    <m/>
    <s v="UTXK/ĐN-QS/0726"/>
    <s v="XBUT"/>
    <s v="VC.007"/>
    <s v="Công ty TNHH Hoàng Anh Khôi Quảng Nam"/>
  </r>
  <r>
    <s v="179"/>
    <n v="751"/>
    <d v="2026-09-21T00:00:00"/>
    <s v="03:58:21"/>
    <d v="2026-09-21T00:00:00"/>
    <s v="04:17:04"/>
    <x v="1"/>
    <n v="13820"/>
    <n v="32230"/>
    <n v="18410"/>
    <s v="ĐN"/>
    <m/>
    <s v="UTXK/ĐN-QS/0726"/>
    <s v="XBUT"/>
    <s v="VC.007"/>
    <s v="Công ty TNHH Hoàng Anh Khôi Quảng Nam"/>
  </r>
  <r>
    <s v="180"/>
    <n v="752"/>
    <d v="2026-09-21T00:00:00"/>
    <s v="03:59:51"/>
    <d v="2026-09-21T00:00:00"/>
    <s v="04:35:47"/>
    <x v="14"/>
    <n v="13820"/>
    <n v="33050"/>
    <n v="19230"/>
    <s v="ĐN"/>
    <m/>
    <s v="UTXK/ĐN-QS/0726"/>
    <s v="XBUT"/>
    <s v="VC.007"/>
    <s v="Công ty TNHH SX TM DV Đại Hiệp"/>
  </r>
  <r>
    <s v="181"/>
    <n v="753"/>
    <d v="2026-09-21T00:00:00"/>
    <s v="04:44:28"/>
    <d v="2026-09-21T00:00:00"/>
    <s v="04:55:45"/>
    <x v="9"/>
    <n v="13980"/>
    <n v="33220"/>
    <n v="19240"/>
    <s v="ĐN"/>
    <m/>
    <s v="UTXK/ĐN-QS/0726"/>
    <s v="XBUT"/>
    <s v="VC.007"/>
    <s v="Công ty TNHH Hoàng Anh Khôi Quảng Nam"/>
  </r>
  <r>
    <s v="182"/>
    <n v="754"/>
    <d v="2026-09-21T00:00:00"/>
    <s v="04:57:28"/>
    <d v="2026-09-21T00:00:00"/>
    <s v="05:08:42"/>
    <x v="7"/>
    <n v="13820"/>
    <n v="34680"/>
    <n v="20860"/>
    <s v="ĐN"/>
    <m/>
    <s v="UTXK/ĐN-QS/0726"/>
    <s v="XBUT"/>
    <s v="VC.007"/>
    <s v="Công ty TNHH Hoàng Anh Khôi Quảng Nam"/>
  </r>
  <r>
    <s v="183"/>
    <n v="755"/>
    <d v="2026-09-21T00:00:00"/>
    <s v="04:58:53"/>
    <d v="2026-09-21T00:00:00"/>
    <s v="05:19:40"/>
    <x v="5"/>
    <n v="13910"/>
    <n v="34480"/>
    <n v="20570"/>
    <s v="ĐN"/>
    <m/>
    <s v="UTXK/ĐN-QS/0726"/>
    <s v="XBUT"/>
    <s v="VC.007"/>
    <s v="Công ty TNHH Hoàng Anh Khôi Quảng Nam"/>
  </r>
  <r>
    <s v="184"/>
    <n v="756"/>
    <d v="2026-09-21T00:00:00"/>
    <s v="05:10:15"/>
    <d v="2026-09-21T00:00:00"/>
    <s v="05:40:34"/>
    <x v="16"/>
    <n v="13930"/>
    <n v="33860"/>
    <n v="19930"/>
    <s v="ĐN"/>
    <m/>
    <s v="UTXK/ĐN-QS/0726"/>
    <s v="XBUT"/>
    <s v="VC.007"/>
    <s v="Công ty TNHH SX TM DV Đại Hiệp"/>
  </r>
  <r>
    <s v="185"/>
    <n v="757"/>
    <d v="2026-09-21T00:00:00"/>
    <s v="05:11:25"/>
    <d v="2026-09-21T00:00:00"/>
    <s v="05:39:00"/>
    <x v="11"/>
    <n v="13960"/>
    <n v="33270"/>
    <n v="19310"/>
    <s v="ĐN"/>
    <m/>
    <s v="UTXK/ĐN-QS/0726"/>
    <s v="XBUT"/>
    <s v="VC.007"/>
    <s v="Công ty TNHH Hoàng Anh Khôi"/>
  </r>
  <r>
    <s v="186"/>
    <n v="758"/>
    <d v="2026-09-21T00:00:00"/>
    <s v="05:24:13"/>
    <d v="2026-09-21T00:00:00"/>
    <s v="05:47:09"/>
    <x v="12"/>
    <n v="14110"/>
    <n v="34030"/>
    <n v="19920"/>
    <s v="ĐN"/>
    <m/>
    <s v="UTXK/ĐN-QS/0726"/>
    <s v="XBUT"/>
    <s v="VC.007"/>
    <s v="Công ty TNHH Hoàng Anh Khôi Quảng Nam"/>
  </r>
  <r>
    <s v="187"/>
    <n v="759"/>
    <d v="2026-09-21T00:00:00"/>
    <s v="06:07:29"/>
    <d v="2026-09-21T00:00:00"/>
    <s v="06:20:09"/>
    <x v="8"/>
    <n v="13800"/>
    <n v="33760"/>
    <n v="19960"/>
    <s v="ĐN"/>
    <m/>
    <s v="UTXK/ĐN-QS/0726"/>
    <s v="XBUT"/>
    <s v="VC.007"/>
    <s v="Công ty TNHH Hoàng Anh Khôi Quảng Nam"/>
  </r>
  <r>
    <s v="188"/>
    <n v="760"/>
    <d v="2026-09-21T00:00:00"/>
    <s v="06:10:41"/>
    <d v="2026-09-21T00:00:00"/>
    <s v="06:28:31"/>
    <x v="15"/>
    <n v="13830"/>
    <n v="33580"/>
    <n v="19750"/>
    <s v="ĐN"/>
    <m/>
    <s v="UTXK/ĐN-QS/0726"/>
    <s v="XBUT"/>
    <s v="VC.007"/>
    <s v="Công ty TNHH SX TM DV Đại Hiệp"/>
  </r>
  <r>
    <s v="189"/>
    <n v="761"/>
    <d v="2026-09-21T00:00:00"/>
    <s v="06:44:59"/>
    <d v="2026-09-21T00:00:00"/>
    <s v="06:56:00"/>
    <x v="10"/>
    <n v="14070"/>
    <n v="32700"/>
    <n v="18630"/>
    <s v="ĐN"/>
    <m/>
    <s v="UTXK/ĐN-QS/0726"/>
    <s v="XBUT"/>
    <s v="VC.007"/>
    <s v="Công ty TNHH Hoàng Anh Khôi"/>
  </r>
  <r>
    <s v="190"/>
    <n v="762"/>
    <d v="2026-09-21T00:00:00"/>
    <s v="07:05:24"/>
    <d v="2026-09-21T00:00:00"/>
    <s v="07:16:05"/>
    <x v="3"/>
    <n v="14090"/>
    <n v="33420"/>
    <n v="19330"/>
    <s v="ĐN"/>
    <m/>
    <s v="UTXK/ĐN-QS/0726"/>
    <s v="XBUT"/>
    <s v="VC.007"/>
    <s v="Công ty TNHH SX TM DV Đại Hiệp"/>
  </r>
  <r>
    <s v="191"/>
    <n v="763"/>
    <d v="2026-09-21T00:00:00"/>
    <s v="07:20:21"/>
    <d v="2026-09-21T00:00:00"/>
    <s v="07:30:16"/>
    <x v="13"/>
    <n v="13960"/>
    <n v="32700"/>
    <n v="18740"/>
    <s v="ĐN"/>
    <m/>
    <s v="UTXK/ĐN-QS/0726"/>
    <s v="XBUT"/>
    <s v="VC.007"/>
    <s v="Công ty TNHH SX TM DV Đại Hiệp"/>
  </r>
  <r>
    <s v="192"/>
    <n v="764"/>
    <d v="2026-09-21T00:00:00"/>
    <s v="08:50:39"/>
    <d v="2026-09-21T00:00:00"/>
    <s v="09:00:42"/>
    <x v="4"/>
    <n v="14000"/>
    <n v="32360"/>
    <n v="18360"/>
    <s v="ĐN"/>
    <m/>
    <s v="UTXK/ĐN-QS/0726"/>
    <s v="XBUT"/>
    <s v="VC.007"/>
    <s v="Công ty TNHH Hoàng Anh Khôi Quảng Nam"/>
  </r>
  <r>
    <s v="193"/>
    <n v="765"/>
    <d v="2026-09-21T00:00:00"/>
    <s v="09:30:13"/>
    <d v="2026-09-21T00:00:00"/>
    <s v="10:00:55"/>
    <x v="0"/>
    <n v="13740"/>
    <n v="32740"/>
    <n v="19000"/>
    <s v="ĐN"/>
    <m/>
    <s v="UTXK/ĐN-QS/0726"/>
    <s v="XBUT"/>
    <s v="VC.007"/>
    <s v="Công ty TNHH Hoàng Anh Khôi"/>
  </r>
  <r>
    <s v="194"/>
    <n v="766"/>
    <d v="2026-09-21T00:00:00"/>
    <s v="09:43:34"/>
    <d v="2026-09-21T00:00:00"/>
    <s v="09:53:21"/>
    <x v="7"/>
    <n v="13870"/>
    <n v="32990"/>
    <n v="19120"/>
    <s v="ĐN"/>
    <m/>
    <s v="UTXK/ĐN-QS/0726"/>
    <s v="XBUT"/>
    <s v="VC.007"/>
    <s v="Công ty TNHH Hoàng Anh Khôi Quảng Nam"/>
  </r>
  <r>
    <s v="195"/>
    <n v="767"/>
    <d v="2026-09-21T00:00:00"/>
    <s v="09:51:44"/>
    <d v="2026-09-21T00:00:00"/>
    <s v="10:09:39"/>
    <x v="6"/>
    <n v="14030"/>
    <n v="32630"/>
    <n v="18600"/>
    <s v="ĐN"/>
    <m/>
    <s v="UTXK/ĐN-QS/0726"/>
    <s v="XBUT"/>
    <s v="VC.007"/>
    <s v="Công ty TNHH Hoàng Anh Khôi"/>
  </r>
  <r>
    <s v="196"/>
    <n v="768"/>
    <d v="2026-09-21T00:00:00"/>
    <s v="10:14:59"/>
    <d v="2026-09-21T00:00:00"/>
    <s v="10:24:25"/>
    <x v="1"/>
    <n v="14120"/>
    <n v="33960"/>
    <n v="19840"/>
    <s v="ĐN"/>
    <m/>
    <s v="UTXK/ĐN-QS/0726"/>
    <s v="XBUT"/>
    <s v="VC.007"/>
    <s v="Công ty TNHH Hoàng Anh Khôi Quảng Nam"/>
  </r>
  <r>
    <s v="197"/>
    <n v="769"/>
    <d v="2026-09-21T00:00:00"/>
    <s v="10:35:20"/>
    <d v="2026-09-21T00:00:00"/>
    <s v="11:05:36"/>
    <x v="14"/>
    <n v="13810"/>
    <n v="34450"/>
    <n v="20640"/>
    <s v="ĐN"/>
    <m/>
    <s v="UTXK/ĐN-QS/0726"/>
    <s v="XBUT"/>
    <s v="VC.007"/>
    <s v="Công ty TNHH SX TM DV Đại Hiệp"/>
  </r>
  <r>
    <s v="198"/>
    <n v="770"/>
    <d v="2026-09-21T00:00:00"/>
    <s v="11:02:31"/>
    <d v="2026-09-21T00:00:00"/>
    <s v="11:13:20"/>
    <x v="12"/>
    <n v="14080"/>
    <n v="34480"/>
    <n v="20400"/>
    <s v="ĐN"/>
    <m/>
    <s v="UTXK/ĐN-QS/0726"/>
    <s v="XBUT"/>
    <s v="VC.007"/>
    <s v="Công ty TNHH Hoàng Anh Khôi Quảng Nam"/>
  </r>
  <r>
    <s v="199"/>
    <n v="771"/>
    <d v="2026-09-21T00:00:00"/>
    <s v="11:10:43"/>
    <d v="2026-09-21T00:00:00"/>
    <s v="11:20:31"/>
    <x v="11"/>
    <n v="13940"/>
    <n v="33780"/>
    <n v="19840"/>
    <s v="ĐN"/>
    <m/>
    <s v="UTXK/ĐN-QS/0726"/>
    <s v="XBUT"/>
    <s v="VC.007"/>
    <s v="Công ty TNHH Hoàng Anh Khôi"/>
  </r>
  <r>
    <s v="200"/>
    <n v="772"/>
    <d v="2026-09-21T00:00:00"/>
    <s v="11:44:59"/>
    <d v="2026-09-21T00:00:00"/>
    <s v="11:54:32"/>
    <x v="16"/>
    <n v="13850"/>
    <n v="33060"/>
    <n v="19210"/>
    <s v="ĐN"/>
    <m/>
    <s v="UTXK/ĐN-QS/0726"/>
    <s v="XBUT"/>
    <s v="VC.007"/>
    <s v="Công ty TNHH SX TM DV Đại Hiệp"/>
  </r>
  <r>
    <s v="201"/>
    <n v="773"/>
    <d v="2026-09-21T00:00:00"/>
    <s v="11:57:17"/>
    <d v="2026-09-21T00:00:00"/>
    <s v="12:09:26"/>
    <x v="2"/>
    <n v="13930"/>
    <n v="33850"/>
    <n v="19920"/>
    <s v="ĐN"/>
    <m/>
    <s v="UTXK/ĐN-QS/0726"/>
    <s v="XBUT"/>
    <s v="VC.007"/>
    <s v="Công ty TNHH Hoàng Anh Khôi"/>
  </r>
  <r>
    <s v="202"/>
    <n v="774"/>
    <d v="2026-09-21T00:00:00"/>
    <s v="12:12:22"/>
    <d v="2026-09-21T00:00:00"/>
    <s v="12:22:11"/>
    <x v="3"/>
    <n v="14050"/>
    <n v="33070"/>
    <n v="19020"/>
    <s v="ĐN"/>
    <m/>
    <s v="UTXK/ĐN-QS/0726"/>
    <s v="XBUT"/>
    <s v="VC.007"/>
    <s v="Công ty TNHH SX TM DV Đại Hiệp"/>
  </r>
  <r>
    <s v="203"/>
    <n v="775"/>
    <d v="2026-09-21T00:00:00"/>
    <s v="12:18:59"/>
    <d v="2026-09-21T00:00:00"/>
    <s v="12:29:55"/>
    <x v="15"/>
    <n v="13820"/>
    <n v="32520"/>
    <n v="18700"/>
    <s v="ĐN"/>
    <m/>
    <s v="UTXK/ĐN-QS/0726"/>
    <s v="XBUT"/>
    <s v="VC.007"/>
    <s v="Công ty TNHH SX TM DV Đại Hiệp"/>
  </r>
  <r>
    <s v="204"/>
    <n v="776"/>
    <d v="2026-09-21T00:00:00"/>
    <s v="12:27:03"/>
    <d v="2026-09-21T00:00:00"/>
    <s v="12:38:32"/>
    <x v="9"/>
    <n v="13950"/>
    <n v="32930"/>
    <n v="18980"/>
    <s v="ĐN"/>
    <m/>
    <s v="UTXK/ĐN-QS/0726"/>
    <s v="XBUT"/>
    <s v="VC.007"/>
    <s v="Công ty TNHH Hoàng Anh Khôi Quảng Nam"/>
  </r>
  <r>
    <s v="205"/>
    <n v="777"/>
    <d v="2026-09-21T00:00:00"/>
    <s v="12:36:55"/>
    <d v="2026-09-21T00:00:00"/>
    <s v="12:52:38"/>
    <x v="5"/>
    <n v="13860"/>
    <n v="33160"/>
    <n v="19300"/>
    <s v="ĐN"/>
    <m/>
    <s v="UTXK/ĐN-QS/0726"/>
    <s v="XBUT"/>
    <s v="VC.007"/>
    <s v="Công ty TNHH Hoàng Anh Khôi Quảng Nam"/>
  </r>
  <r>
    <s v="206"/>
    <n v="778"/>
    <d v="2026-09-21T00:00:00"/>
    <s v="12:58:38"/>
    <d v="2026-09-21T00:00:00"/>
    <s v="13:08:58"/>
    <x v="10"/>
    <n v="13930"/>
    <n v="33670"/>
    <n v="19740"/>
    <s v="ĐN"/>
    <m/>
    <s v="UTXK/ĐN-QS/0726"/>
    <s v="XBUT"/>
    <s v="VC.007"/>
    <s v="Công ty TNHH Hoàng Anh Khôi"/>
  </r>
  <r>
    <s v="207"/>
    <n v="779"/>
    <d v="2026-09-21T00:00:00"/>
    <s v="13:04:54"/>
    <d v="2026-09-21T00:00:00"/>
    <s v="13:16:51"/>
    <x v="4"/>
    <n v="13880"/>
    <n v="33000"/>
    <n v="19120"/>
    <s v="ĐN"/>
    <m/>
    <s v="UTXK/ĐN-QS/0726"/>
    <s v="XBUT"/>
    <s v="VC.007"/>
    <s v="Công ty TNHH Hoàng Anh Khôi Quảng Nam"/>
  </r>
  <r>
    <s v="208"/>
    <n v="780"/>
    <d v="2026-09-21T00:00:00"/>
    <s v="14:05:49"/>
    <d v="2026-09-21T00:00:00"/>
    <s v="14:16:03"/>
    <x v="13"/>
    <n v="14280"/>
    <n v="32460"/>
    <n v="18180"/>
    <s v="ĐN"/>
    <m/>
    <s v="UTXK/ĐN-QS/0726"/>
    <s v="XBUT"/>
    <s v="VC.007"/>
    <s v="Công ty TNHH SX TM DV Đại Hiệp"/>
  </r>
  <r>
    <s v="209"/>
    <n v="781"/>
    <d v="2026-09-21T00:00:00"/>
    <s v="14:13:51"/>
    <d v="2026-09-21T00:00:00"/>
    <s v="14:24:21"/>
    <x v="8"/>
    <n v="14060"/>
    <n v="33080"/>
    <n v="19020"/>
    <s v="ĐN"/>
    <m/>
    <s v="UTXK/ĐN-QS/0726"/>
    <s v="XBUT"/>
    <s v="VC.007"/>
    <s v="Công ty TNHH Hoàng Anh Khôi Quảng Nam"/>
  </r>
  <r>
    <s v="210"/>
    <n v="785"/>
    <d v="2026-09-21T00:00:00"/>
    <s v="14:35:33"/>
    <d v="2026-09-21T00:00:00"/>
    <s v="14:50:20"/>
    <x v="7"/>
    <n v="13920"/>
    <n v="32790"/>
    <n v="18870"/>
    <s v="ĐN"/>
    <m/>
    <s v="UTXK/ĐN-QS/0726"/>
    <s v="XBUT"/>
    <s v="VC.007"/>
    <s v="Công ty TNHH Hoàng Anh Khôi Quảng Nam"/>
  </r>
  <r>
    <s v="211"/>
    <n v="786"/>
    <d v="2026-09-21T00:00:00"/>
    <s v="14:41:41"/>
    <d v="2026-09-21T00:00:00"/>
    <s v="14:56:28"/>
    <x v="0"/>
    <n v="13990"/>
    <n v="31960"/>
    <n v="17970"/>
    <s v="ĐN"/>
    <m/>
    <s v="UTXK/ĐN-QS/0726"/>
    <s v="XBUT"/>
    <s v="VC.007"/>
    <s v="Công ty TNHH Hoàng Anh Khôi"/>
  </r>
  <r>
    <s v="212"/>
    <n v="787"/>
    <d v="2026-09-21T00:00:00"/>
    <s v="14:48:24"/>
    <d v="2026-09-21T00:00:00"/>
    <s v="15:07:12"/>
    <x v="6"/>
    <n v="13940"/>
    <n v="32410"/>
    <n v="18470"/>
    <s v="ĐN"/>
    <m/>
    <s v="UTXK/ĐN-QS/0726"/>
    <s v="XBUT"/>
    <s v="VC.007"/>
    <s v="Công ty TNHH Hoàng Anh Khôi"/>
  </r>
  <r>
    <s v="213"/>
    <n v="788"/>
    <d v="2026-09-21T00:00:00"/>
    <s v="17:16:12"/>
    <d v="2026-09-21T00:00:00"/>
    <s v="17:35:14"/>
    <x v="12"/>
    <n v="13980"/>
    <n v="31990"/>
    <n v="18010"/>
    <s v="ĐN"/>
    <m/>
    <s v="UTXK/ĐN-QS/0726"/>
    <s v="XBUT"/>
    <s v="VC.007"/>
    <s v="Công ty TNHH Hoàng Anh Khôi Quảng Nam"/>
  </r>
  <r>
    <s v="214"/>
    <n v="789"/>
    <d v="2026-09-21T00:00:00"/>
    <s v="17:38:29"/>
    <d v="2026-09-21T00:00:00"/>
    <s v="17:57:10"/>
    <x v="14"/>
    <n v="14030"/>
    <n v="32010"/>
    <n v="17980"/>
    <s v="ĐN"/>
    <m/>
    <s v="UTXK/ĐN-QS/0726"/>
    <s v="XBUT"/>
    <s v="VC.007"/>
    <s v="Công ty TNHH SX TM DV Đại Hiệp"/>
  </r>
  <r>
    <s v="215"/>
    <n v="790"/>
    <d v="2026-09-21T00:00:00"/>
    <s v="17:58:01"/>
    <d v="2026-09-21T00:00:00"/>
    <s v="18:09:01"/>
    <x v="11"/>
    <n v="13880"/>
    <n v="31680"/>
    <n v="17800"/>
    <s v="ĐN"/>
    <m/>
    <s v="UTXK/ĐN-QS/0726"/>
    <s v="XBUT"/>
    <s v="VC.007"/>
    <s v="Công ty TNHH Hoàng Anh Khôi"/>
  </r>
  <r>
    <s v="216"/>
    <n v="791"/>
    <d v="2026-09-21T00:00:00"/>
    <s v="17:59:13"/>
    <d v="2026-09-21T00:00:00"/>
    <s v="18:16:44"/>
    <x v="1"/>
    <n v="14020"/>
    <n v="31500"/>
    <n v="17480"/>
    <s v="ĐN"/>
    <m/>
    <s v="UTXK/ĐN-QS/0726"/>
    <s v="XBUT"/>
    <s v="VC.007"/>
    <s v="Công ty TNHH Hoàng Anh Khôi Quảng Nam"/>
  </r>
  <r>
    <s v="217"/>
    <n v="792"/>
    <d v="2026-09-21T00:00:00"/>
    <s v="18:13:17"/>
    <d v="2026-09-21T00:00:00"/>
    <s v="18:26:00"/>
    <x v="16"/>
    <n v="13780"/>
    <n v="31200"/>
    <n v="17420"/>
    <s v="ĐN"/>
    <m/>
    <s v="UTXK/ĐN-QS/0726"/>
    <s v="XBUT"/>
    <s v="VC.007"/>
    <s v="Công ty TNHH SX TM DV Đại Hiệp"/>
  </r>
  <r>
    <s v="218"/>
    <n v="793"/>
    <d v="2026-09-21T00:00:00"/>
    <s v="18:26:47"/>
    <d v="2026-09-21T00:00:00"/>
    <s v="18:38:04"/>
    <x v="4"/>
    <n v="13810"/>
    <n v="31770"/>
    <n v="17960"/>
    <s v="ĐN"/>
    <m/>
    <s v="UTXK/ĐN-QS/0726"/>
    <s v="XBUT"/>
    <s v="VC.007"/>
    <s v="Công ty TNHH Hoàng Anh Khôi Quảng Nam"/>
  </r>
  <r>
    <s v="219"/>
    <n v="794"/>
    <d v="2026-09-21T00:00:00"/>
    <s v="18:45:45"/>
    <d v="2026-09-21T00:00:00"/>
    <s v="18:59:56"/>
    <x v="10"/>
    <n v="14220"/>
    <n v="33210"/>
    <n v="18990"/>
    <s v="ĐN"/>
    <m/>
    <s v="UTXK/ĐN-QS/0726"/>
    <s v="XBUT"/>
    <s v="VC.007"/>
    <s v="Công ty TNHH Hoàng Anh Khôi"/>
  </r>
  <r>
    <s v="220"/>
    <n v="795"/>
    <d v="2026-09-21T00:00:00"/>
    <s v="19:03:51"/>
    <d v="2026-09-21T00:00:00"/>
    <s v="19:15:13"/>
    <x v="2"/>
    <n v="13860"/>
    <n v="32950"/>
    <n v="19090"/>
    <s v="ĐN"/>
    <m/>
    <s v="UTXK/ĐN-QS/0726"/>
    <s v="XBUT"/>
    <s v="VC.007"/>
    <s v="Công ty TNHH Hoàng Anh Khôi"/>
  </r>
  <r>
    <s v="221"/>
    <n v="796"/>
    <d v="2026-09-21T00:00:00"/>
    <s v="19:06:55"/>
    <d v="2026-09-21T00:00:00"/>
    <s v="19:22:13"/>
    <x v="9"/>
    <n v="13890"/>
    <n v="33240"/>
    <n v="19350"/>
    <s v="ĐN"/>
    <m/>
    <s v="UTXK/ĐN-QS/0726"/>
    <s v="XBUT"/>
    <s v="VC.007"/>
    <s v="Công ty TNHH Hoàng Anh Khôi Quảng Nam"/>
  </r>
  <r>
    <s v="222"/>
    <n v="797"/>
    <d v="2026-09-21T00:00:00"/>
    <s v="19:11:44"/>
    <d v="2026-09-21T00:00:00"/>
    <s v="19:30:53"/>
    <x v="3"/>
    <n v="13960"/>
    <n v="33480"/>
    <n v="19520"/>
    <s v="ĐN"/>
    <m/>
    <s v="UTXK/ĐN-QS/0726"/>
    <s v="XBUT"/>
    <s v="VC.007"/>
    <s v="Công ty TNHH SX TM DV Đại Hiệp"/>
  </r>
  <r>
    <s v="223"/>
    <n v="798"/>
    <d v="2026-09-21T00:00:00"/>
    <s v="19:13:18"/>
    <d v="2026-09-21T00:00:00"/>
    <s v="19:46:11"/>
    <x v="5"/>
    <n v="13760"/>
    <n v="32670"/>
    <n v="18910"/>
    <s v="ĐN"/>
    <m/>
    <s v="UTXK/ĐN-QS/0726"/>
    <s v="XBUT"/>
    <s v="VC.007"/>
    <s v="Công ty TNHH Hoàng Anh Khôi Quảng Nam"/>
  </r>
  <r>
    <s v="224"/>
    <n v="799"/>
    <d v="2026-09-21T00:00:00"/>
    <s v="19:13:42"/>
    <d v="2026-09-21T00:00:00"/>
    <s v="19:37:49"/>
    <x v="15"/>
    <n v="13980"/>
    <n v="33650"/>
    <n v="19670"/>
    <s v="ĐN"/>
    <m/>
    <s v="UTXK/ĐN-QS/0726"/>
    <s v="XBUT"/>
    <s v="VC.007"/>
    <s v="Công ty TNHH SX TM DV Đại Hiệp"/>
  </r>
  <r>
    <s v="225"/>
    <n v="800"/>
    <d v="2026-09-21T00:00:00"/>
    <s v="19:14:02"/>
    <d v="2026-09-21T00:00:00"/>
    <s v="20:04:44"/>
    <x v="13"/>
    <n v="14160"/>
    <n v="33310"/>
    <n v="19150"/>
    <s v="ĐN"/>
    <m/>
    <s v="UTXK/ĐN-QS/0726"/>
    <s v="XBUT"/>
    <s v="VC.007"/>
    <s v="Công ty TNHH SX TM DV Đại Hiệp"/>
  </r>
  <r>
    <s v="226"/>
    <n v="801"/>
    <d v="2026-09-21T00:00:00"/>
    <s v="19:23:49"/>
    <d v="2026-09-21T00:00:00"/>
    <s v="23:38:11"/>
    <x v="8"/>
    <n v="13980"/>
    <n v="33460"/>
    <n v="19480"/>
    <s v="ĐN"/>
    <m/>
    <s v="UTXK/ĐN-QS/0726"/>
    <s v="XBUT"/>
    <s v="VC.007"/>
    <s v="Công ty TNHH Hoàng Anh Khôi Quảng Nam"/>
  </r>
  <r>
    <s v="227"/>
    <n v="802"/>
    <d v="2026-09-21T00:00:00"/>
    <s v="19:38:53"/>
    <d v="2026-09-21T00:00:00"/>
    <s v="19:57:35"/>
    <x v="7"/>
    <n v="13850"/>
    <n v="32420"/>
    <n v="18570"/>
    <s v="ĐN"/>
    <m/>
    <s v="UTXK/ĐN-QS/0726"/>
    <s v="XBUT"/>
    <s v="VC.007"/>
    <s v="Công ty TNHH Hoàng Anh Khôi Quảng Nam"/>
  </r>
  <r>
    <s v="228"/>
    <n v="803"/>
    <d v="2026-09-21T00:00:00"/>
    <s v="19:52:19"/>
    <d v="2026-09-21T00:00:00"/>
    <s v="20:14:34"/>
    <x v="6"/>
    <n v="13870"/>
    <n v="32500"/>
    <n v="18630"/>
    <s v="ĐN"/>
    <m/>
    <s v="UTXK/ĐN-QS/0726"/>
    <s v="XBUT"/>
    <s v="VC.007"/>
    <s v="Công ty TNHH Hoàng Anh Khôi"/>
  </r>
  <r>
    <s v="229"/>
    <n v="804"/>
    <d v="2026-09-21T00:00:00"/>
    <s v="22:59:18"/>
    <d v="2026-09-21T00:00:00"/>
    <s v="23:13:56"/>
    <x v="16"/>
    <n v="13730"/>
    <n v="32250"/>
    <n v="18520"/>
    <s v="ĐN"/>
    <m/>
    <s v="UTXK/ĐN-QS/0726"/>
    <s v="XBUT"/>
    <s v="VC.007"/>
    <s v="Công ty TNHH SX TM DV Đại Hiệp"/>
  </r>
  <r>
    <s v="230"/>
    <n v="805"/>
    <d v="2026-09-21T00:00:00"/>
    <s v="23:00:36"/>
    <d v="2026-09-21T00:00:00"/>
    <s v="23:22:12"/>
    <x v="11"/>
    <n v="13810"/>
    <n v="32790"/>
    <n v="18980"/>
    <s v="ĐN"/>
    <m/>
    <s v="UTXK/ĐN-QS/0726"/>
    <s v="XBUT"/>
    <s v="VC.007"/>
    <s v="Công ty TNHH Hoàng Anh Khôi"/>
  </r>
  <r>
    <s v="231"/>
    <n v="806"/>
    <d v="2026-09-21T00:00:00"/>
    <s v="23:02:38"/>
    <d v="2026-09-21T00:00:00"/>
    <s v="23:30:23"/>
    <x v="4"/>
    <n v="13740"/>
    <n v="33540"/>
    <n v="19800"/>
    <s v="ĐN"/>
    <m/>
    <s v="UTXK/ĐN-QS/0726"/>
    <s v="XBUT"/>
    <s v="VC.007"/>
    <s v="Công ty TNHH Hoàng Anh Khôi Quảng Nam"/>
  </r>
  <r>
    <s v="232"/>
    <n v="807"/>
    <d v="2026-09-21T00:00:00"/>
    <s v="23:16:41"/>
    <d v="2026-09-21T00:00:00"/>
    <s v="23:45:11"/>
    <x v="1"/>
    <n v="13960"/>
    <n v="33510"/>
    <n v="19550"/>
    <s v="ĐN"/>
    <m/>
    <s v="UTXK/ĐN-QS/0726"/>
    <s v="XBUT"/>
    <s v="VC.007"/>
    <s v="Công ty TNHH Hoàng Anh Khôi Quảng Nam"/>
  </r>
  <r>
    <s v="233"/>
    <n v="808"/>
    <d v="2026-09-21T00:00:00"/>
    <s v="23:27:32"/>
    <d v="2026-09-21T00:00:00"/>
    <s v="23:52:52"/>
    <x v="0"/>
    <n v="13920"/>
    <n v="32820"/>
    <n v="18900"/>
    <s v="ĐN"/>
    <m/>
    <s v="UTXK/ĐN-QS/0726"/>
    <s v="XBUT"/>
    <s v="VC.007"/>
    <s v="Công ty TNHH Hoàng Anh Khôi"/>
  </r>
  <r>
    <s v="234"/>
    <n v="809"/>
    <d v="2026-09-21T00:00:00"/>
    <s v="23:56:06"/>
    <d v="2026-09-22T00:00:00"/>
    <s v="00:07:26"/>
    <x v="7"/>
    <n v="13800"/>
    <n v="32820"/>
    <n v="19020"/>
    <s v="ĐN"/>
    <m/>
    <s v="UTXK/ĐN-QS/0726"/>
    <s v="XBUT"/>
    <s v="VC.007"/>
    <s v="Công ty TNHH Hoàng Anh Khôi Quảng Nam"/>
  </r>
  <r>
    <s v="235"/>
    <n v="810"/>
    <d v="2026-09-22T00:00:00"/>
    <s v="00:09:02"/>
    <d v="2026-09-22T00:00:00"/>
    <s v="00:18:34"/>
    <x v="15"/>
    <n v="13950"/>
    <n v="32370"/>
    <n v="18420"/>
    <s v="ĐN"/>
    <m/>
    <s v="UTXK/ĐN-QS/0726"/>
    <s v="XBUT"/>
    <s v="VC.007"/>
    <s v="Công ty TNHH SX TM DV Đại Hiệp"/>
  </r>
  <r>
    <s v="236"/>
    <n v="811"/>
    <d v="2026-09-22T00:00:00"/>
    <s v="00:37:10"/>
    <d v="2026-09-22T00:00:00"/>
    <s v="00:47:43"/>
    <x v="14"/>
    <n v="13970"/>
    <n v="31710"/>
    <n v="17740"/>
    <s v="ĐN"/>
    <m/>
    <s v="UTXK/ĐN-QS/0726"/>
    <s v="XBUT"/>
    <s v="VC.007"/>
    <s v="Công ty TNHH SX TM DV Đại Hiệp"/>
  </r>
  <r>
    <s v="237"/>
    <n v="812"/>
    <d v="2026-09-22T00:00:00"/>
    <s v="02:48:50"/>
    <d v="2026-09-22T00:00:00"/>
    <s v="02:58:57"/>
    <x v="8"/>
    <n v="13930"/>
    <n v="32060"/>
    <n v="18130"/>
    <s v="ĐN"/>
    <m/>
    <s v="UTXK/ĐN-QS/0726"/>
    <s v="XBUT"/>
    <s v="VC.007"/>
    <s v="Công ty TNHH Hoàng Anh Khôi Quảng Nam"/>
  </r>
  <r>
    <s v="238"/>
    <n v="813"/>
    <d v="2026-09-22T00:00:00"/>
    <s v="02:50:26"/>
    <d v="2026-09-22T00:00:00"/>
    <s v="03:07:24"/>
    <x v="0"/>
    <n v="13870"/>
    <n v="32010"/>
    <n v="18140"/>
    <s v="ĐN"/>
    <m/>
    <s v="UTXK/ĐN-QS/0726"/>
    <s v="XBUT"/>
    <s v="VC.007"/>
    <s v="Công ty TNHH Hoàng Anh Khôi"/>
  </r>
  <r>
    <s v="239"/>
    <n v="814"/>
    <d v="2026-09-22T00:00:00"/>
    <s v="02:51:36"/>
    <d v="2026-09-22T00:00:00"/>
    <s v="03:16:57"/>
    <x v="13"/>
    <n v="14120"/>
    <n v="32650"/>
    <n v="18530"/>
    <s v="ĐN"/>
    <m/>
    <s v="UTXK/ĐN-QS/0726"/>
    <s v="XBUT"/>
    <s v="VC.007"/>
    <s v="Công ty TNHH SX TM DV Đại Hiệp"/>
  </r>
  <r>
    <s v="240"/>
    <n v="815"/>
    <d v="2026-09-22T00:00:00"/>
    <s v="02:57:51"/>
    <d v="2026-09-22T00:00:00"/>
    <s v="03:24:46"/>
    <x v="4"/>
    <n v="13710"/>
    <n v="31200"/>
    <n v="17490"/>
    <s v="ĐN"/>
    <m/>
    <s v="UTXK/ĐN-QS/0726"/>
    <s v="XBUT"/>
    <s v="VC.007"/>
    <s v="Công ty TNHH Hoàng Anh Khôi Quảng Nam"/>
  </r>
  <r>
    <s v="241"/>
    <n v="816"/>
    <d v="2026-09-22T00:00:00"/>
    <s v="03:26:12"/>
    <d v="2026-09-22T00:00:00"/>
    <s v="03:36:20"/>
    <x v="15"/>
    <n v="13930"/>
    <n v="31310"/>
    <n v="17380"/>
    <s v="ĐN"/>
    <m/>
    <s v="UTXK/ĐN-QS/0726"/>
    <s v="XBUT"/>
    <s v="VC.007"/>
    <s v="Công ty TNHH SX TM DV Đại Hiệp"/>
  </r>
  <r>
    <s v="242"/>
    <n v="817"/>
    <d v="2026-09-22T00:00:00"/>
    <s v="03:28:28"/>
    <d v="2026-09-22T00:00:00"/>
    <s v="03:44:21"/>
    <x v="5"/>
    <n v="13740"/>
    <n v="31560"/>
    <n v="17820"/>
    <s v="ĐN"/>
    <m/>
    <s v="UTXK/ĐN-QS/0726"/>
    <s v="XBUT"/>
    <s v="VC.007"/>
    <s v="Công ty TNHH Hoàng Anh Khôi Quảng Nam"/>
  </r>
  <r>
    <s v="243"/>
    <n v="818"/>
    <d v="2026-09-22T00:00:00"/>
    <s v="03:46:31"/>
    <d v="2026-09-22T00:00:00"/>
    <s v="03:56:13"/>
    <x v="12"/>
    <n v="13940"/>
    <n v="32500"/>
    <n v="18560"/>
    <s v="ĐN"/>
    <m/>
    <s v="UTXK/ĐN-QS/0726"/>
    <s v="XBUT"/>
    <s v="VC.007"/>
    <s v="Công ty TNHH Hoàng Anh Khôi Quảng Nam"/>
  </r>
  <r>
    <s v="244"/>
    <n v="819"/>
    <d v="2026-09-22T00:00:00"/>
    <s v="04:03:05"/>
    <d v="2026-09-22T00:00:00"/>
    <s v="04:13:11"/>
    <x v="9"/>
    <n v="13810"/>
    <n v="32370"/>
    <n v="18560"/>
    <s v="ĐN"/>
    <m/>
    <s v="UTXK/ĐN-QS/0726"/>
    <s v="XBUT"/>
    <s v="VC.007"/>
    <s v="Công ty TNHH Hoàng Anh Khôi Quảng Nam"/>
  </r>
  <r>
    <s v="245"/>
    <n v="820"/>
    <d v="2026-09-22T00:00:00"/>
    <s v="04:30:42"/>
    <d v="2026-09-22T00:00:00"/>
    <s v="04:43:50"/>
    <x v="2"/>
    <n v="13850"/>
    <n v="32800"/>
    <n v="18950"/>
    <s v="ĐN"/>
    <m/>
    <s v="UTXK/ĐN-QS/0726"/>
    <s v="XBUT"/>
    <s v="VC.007"/>
    <s v="Công ty TNHH Hoàng Anh Khôi"/>
  </r>
  <r>
    <s v="246"/>
    <n v="821"/>
    <d v="2026-09-22T00:00:00"/>
    <s v="04:41:49"/>
    <d v="2026-09-22T00:00:00"/>
    <s v="04:51:59"/>
    <x v="3"/>
    <n v="13970"/>
    <n v="32590"/>
    <n v="18620"/>
    <s v="ĐN"/>
    <m/>
    <s v="UTXK/ĐN-QS/0726"/>
    <s v="XBUT"/>
    <s v="VC.007"/>
    <s v="Công ty TNHH SX TM DV Đại Hiệp"/>
  </r>
  <r>
    <s v="247"/>
    <n v="822"/>
    <d v="2026-09-22T00:00:00"/>
    <s v="04:47:19"/>
    <d v="2026-09-22T00:00:00"/>
    <s v="05:00:43"/>
    <x v="7"/>
    <n v="13870"/>
    <n v="32220"/>
    <n v="18350"/>
    <s v="ĐN"/>
    <m/>
    <s v="UTXK/ĐN-QS/0726"/>
    <s v="XBUT"/>
    <s v="VC.007"/>
    <s v="Công ty TNHH Hoàng Anh Khôi Quảng Nam"/>
  </r>
  <r>
    <s v="248"/>
    <n v="823"/>
    <d v="2026-09-22T00:00:00"/>
    <s v="05:04:01"/>
    <d v="2026-09-22T00:00:00"/>
    <s v="05:14:39"/>
    <x v="10"/>
    <n v="14240"/>
    <n v="32230"/>
    <n v="17990"/>
    <s v="ĐN"/>
    <m/>
    <s v="UTXK/ĐN-QS/0726"/>
    <s v="XBUT"/>
    <s v="VC.007"/>
    <s v="Công ty TNHH Hoàng Anh Khôi"/>
  </r>
  <r>
    <s v="249"/>
    <n v="824"/>
    <d v="2026-09-22T00:00:00"/>
    <s v="05:08:51"/>
    <d v="2026-09-22T00:00:00"/>
    <s v="05:22:23"/>
    <x v="11"/>
    <n v="13930"/>
    <n v="31940"/>
    <n v="18010"/>
    <s v="ĐN"/>
    <m/>
    <s v="UTXK/ĐN-QS/0726"/>
    <s v="XBUT"/>
    <s v="VC.007"/>
    <s v="Công ty TNHH Hoàng Anh Khôi"/>
  </r>
  <r>
    <s v="250"/>
    <n v="825"/>
    <d v="2026-09-22T00:00:00"/>
    <s v="05:36:05"/>
    <d v="2026-09-22T00:00:00"/>
    <s v="05:59:27"/>
    <x v="6"/>
    <n v="13860"/>
    <n v="31530"/>
    <n v="17670"/>
    <s v="ĐN"/>
    <m/>
    <s v="UTXK/ĐN-QS/0726"/>
    <s v="XBUT"/>
    <s v="VC.007"/>
    <s v="Công ty TNHH Hoàng Anh Khôi"/>
  </r>
  <r>
    <s v="251"/>
    <n v="826"/>
    <d v="2026-09-22T00:00:00"/>
    <s v="06:06:36"/>
    <d v="2026-09-22T00:00:00"/>
    <s v="06:27:04"/>
    <x v="1"/>
    <n v="14010"/>
    <n v="32750"/>
    <n v="18740"/>
    <s v="ĐN"/>
    <m/>
    <s v="UTXK/ĐN-QS/0726"/>
    <s v="XBUT"/>
    <s v="VC.007"/>
    <s v="Công ty TNHH Hoàng Anh Khôi Quảng Nam"/>
  </r>
  <r>
    <s v="252"/>
    <n v="827"/>
    <d v="2026-09-22T00:00:00"/>
    <s v="07:18:30"/>
    <d v="2026-09-22T00:00:00"/>
    <s v="07:27:46"/>
    <x v="4"/>
    <n v="13750"/>
    <n v="30870"/>
    <n v="17120"/>
    <s v="ĐN"/>
    <m/>
    <s v="UTXK/ĐN-QS/0726"/>
    <s v="XBUT"/>
    <s v="VC.007"/>
    <s v="Công ty TNHH Hoàng Anh Khôi Quảng Nam"/>
  </r>
  <r>
    <s v="253"/>
    <n v="828"/>
    <d v="2026-09-22T00:00:00"/>
    <s v="07:56:38"/>
    <d v="2026-09-22T00:00:00"/>
    <s v="08:05:26"/>
    <x v="12"/>
    <n v="13950"/>
    <n v="31170"/>
    <n v="17220"/>
    <s v="ĐN"/>
    <m/>
    <s v="UTXK/ĐN-QS/0726"/>
    <s v="XBUT"/>
    <s v="VC.007"/>
    <s v="Công ty TNHH Hoàng Anh Khôi Quảng Nam"/>
  </r>
  <r>
    <s v="254"/>
    <n v="829"/>
    <d v="2026-09-22T00:00:00"/>
    <s v="08:12:06"/>
    <d v="2026-09-22T00:00:00"/>
    <s v="08:20:43"/>
    <x v="13"/>
    <n v="14170"/>
    <n v="31740"/>
    <n v="17570"/>
    <s v="ĐN"/>
    <m/>
    <s v="UTXK/ĐN-QS/0726"/>
    <s v="XBUT"/>
    <s v="VC.007"/>
    <s v="Công ty TNHH SX TM DV Đại Hiệp"/>
  </r>
  <r>
    <s v="255"/>
    <n v="830"/>
    <d v="2026-09-22T00:00:00"/>
    <s v="08:13:56"/>
    <d v="2026-09-22T00:00:00"/>
    <s v="08:27:59"/>
    <x v="0"/>
    <n v="13910"/>
    <n v="31880"/>
    <n v="17970"/>
    <s v="ĐN"/>
    <m/>
    <s v="UTXK/ĐN-QS/0726"/>
    <s v="XBUT"/>
    <s v="VC.007"/>
    <s v="Công ty TNHH Hoàng Anh Khôi"/>
  </r>
  <r>
    <s v="256"/>
    <n v="831"/>
    <d v="2026-09-22T00:00:00"/>
    <s v="08:23:10"/>
    <d v="2026-09-22T00:00:00"/>
    <s v="10:24:04"/>
    <x v="8"/>
    <n v="13980"/>
    <n v="33900"/>
    <n v="19920"/>
    <s v="ĐN"/>
    <m/>
    <s v="UTXK/ĐN-QS/0726"/>
    <s v="XBUT"/>
    <s v="VC.007"/>
    <s v="Công ty TNHH Hoàng Anh Khôi Quảng Nam"/>
  </r>
  <r>
    <s v="257"/>
    <n v="832"/>
    <d v="2026-09-22T00:00:00"/>
    <s v="08:44:48"/>
    <d v="2026-09-22T00:00:00"/>
    <s v="08:54:27"/>
    <x v="14"/>
    <n v="14000"/>
    <n v="33300"/>
    <n v="19300"/>
    <s v="ĐN"/>
    <m/>
    <s v="UTXK/ĐN-QS/0726"/>
    <s v="XBUT"/>
    <s v="VC.007"/>
    <s v="Công ty TNHH SX TM DV Đại Hiệp"/>
  </r>
  <r>
    <s v="258"/>
    <n v="833"/>
    <d v="2026-09-22T00:00:00"/>
    <s v="08:58:31"/>
    <d v="2026-09-22T00:00:00"/>
    <s v="09:07:39"/>
    <x v="5"/>
    <n v="14090"/>
    <n v="32190"/>
    <n v="18100"/>
    <s v="ĐN"/>
    <m/>
    <s v="UTXK/ĐN-QS/0726"/>
    <s v="XBUT"/>
    <s v="VC.007"/>
    <s v="Công ty TNHH Hoàng Anh Khôi Quảng Nam"/>
  </r>
  <r>
    <s v="259"/>
    <n v="834"/>
    <d v="2026-09-22T00:00:00"/>
    <s v="09:09:39"/>
    <d v="2026-09-22T00:00:00"/>
    <s v="09:20:18"/>
    <x v="16"/>
    <n v="14060"/>
    <n v="32490"/>
    <n v="18430"/>
    <s v="ĐN"/>
    <m/>
    <s v="UTXK/ĐN-QS/0726"/>
    <s v="XBUT"/>
    <s v="VC.007"/>
    <s v="Công ty TNHH SX TM DV Đại Hiệp"/>
  </r>
  <r>
    <s v="260"/>
    <n v="835"/>
    <d v="2026-09-22T00:00:00"/>
    <s v="09:30:52"/>
    <d v="2026-09-22T00:00:00"/>
    <s v="09:40:11"/>
    <x v="3"/>
    <n v="14000"/>
    <n v="33310"/>
    <n v="19310"/>
    <s v="ĐN"/>
    <m/>
    <s v="UTXK/ĐN-QS/0726"/>
    <s v="XBUT"/>
    <s v="VC.007"/>
    <s v="Công ty TNHH SX TM DV Đại Hiệp"/>
  </r>
  <r>
    <s v="261"/>
    <n v="836"/>
    <d v="2026-09-22T00:00:00"/>
    <s v="09:33:59"/>
    <d v="2026-09-22T00:00:00"/>
    <s v="09:47:58"/>
    <x v="2"/>
    <n v="13870"/>
    <n v="33780"/>
    <n v="19910"/>
    <s v="ĐN"/>
    <m/>
    <s v="UTXK/ĐN-QS/0726"/>
    <s v="XBUT"/>
    <s v="VC.007"/>
    <s v="Công ty TNHH Hoàng Anh Khôi"/>
  </r>
  <r>
    <s v="262"/>
    <n v="837"/>
    <d v="2026-09-22T00:00:00"/>
    <s v="09:41:09"/>
    <d v="2026-09-22T00:00:00"/>
    <s v="09:56:32"/>
    <x v="7"/>
    <n v="14040"/>
    <n v="33680"/>
    <n v="19640"/>
    <s v="ĐN"/>
    <m/>
    <s v="UTXK/ĐN-QS/0726"/>
    <s v="XBUT"/>
    <s v="VC.007"/>
    <s v="Công ty TNHH Hoàng Anh Khôi Quảng Nam"/>
  </r>
  <r>
    <s v="263"/>
    <n v="838"/>
    <d v="2026-09-22T00:00:00"/>
    <s v="10:06:47"/>
    <d v="2026-09-22T00:00:00"/>
    <s v="10:16:13"/>
    <x v="9"/>
    <n v="14190"/>
    <n v="34460"/>
    <n v="20270"/>
    <s v="ĐN"/>
    <m/>
    <s v="UTXK/ĐN-QS/0726"/>
    <s v="XBUT"/>
    <s v="VC.007"/>
    <s v="Công ty TNHH Hoàng Anh Khôi Quảng Nam"/>
  </r>
  <r>
    <s v="264"/>
    <n v="839"/>
    <d v="2026-09-22T00:00:00"/>
    <s v="10:22:00"/>
    <d v="2026-09-22T00:00:00"/>
    <s v="10:31:12"/>
    <x v="10"/>
    <n v="14190"/>
    <n v="33520"/>
    <n v="19330"/>
    <s v="ĐN"/>
    <m/>
    <s v="UTXK/ĐN-QS/0726"/>
    <s v="XBUT"/>
    <s v="VC.007"/>
    <s v="Công ty TNHH Hoàng Anh Khôi"/>
  </r>
  <r>
    <s v="265"/>
    <n v="840"/>
    <d v="2026-09-22T00:00:00"/>
    <s v="10:26:00"/>
    <d v="2026-09-22T00:00:00"/>
    <s v="10:37:28"/>
    <x v="11"/>
    <n v="14180"/>
    <n v="32600"/>
    <n v="18420"/>
    <s v="ĐN"/>
    <m/>
    <s v="UTXK/ĐN-QS/0726"/>
    <s v="XBUT"/>
    <s v="VC.007"/>
    <s v="Công ty TNHH Hoàng Anh Khôi"/>
  </r>
  <r>
    <s v="266"/>
    <n v="841"/>
    <d v="2026-09-22T00:00:00"/>
    <s v="10:27:48"/>
    <d v="2026-09-22T00:00:00"/>
    <s v="10:55:17"/>
    <x v="6"/>
    <n v="13890"/>
    <n v="32470"/>
    <n v="18580"/>
    <s v="ĐN"/>
    <m/>
    <s v="UTXK/ĐN-QS/0726"/>
    <s v="XBUT"/>
    <s v="VC.007"/>
    <s v="Công ty TNHH Hoàng Anh Khôi"/>
  </r>
  <r>
    <s v="267"/>
    <n v="842"/>
    <d v="2026-09-22T00:00:00"/>
    <s v="11:18:40"/>
    <d v="2026-09-22T00:00:00"/>
    <s v="11:28:16"/>
    <x v="1"/>
    <n v="14000"/>
    <n v="33930"/>
    <n v="19930"/>
    <s v="ĐN"/>
    <m/>
    <s v="UTXK/ĐN-QS/0726"/>
    <s v="XBUT"/>
    <s v="VC.007"/>
    <s v="Công ty TNHH Hoàng Anh Khôi Quảng Nam"/>
  </r>
  <r>
    <s v="268"/>
    <n v="843"/>
    <d v="2026-09-22T00:00:00"/>
    <s v="11:56:48"/>
    <d v="2026-09-22T00:00:00"/>
    <s v="12:05:55"/>
    <x v="15"/>
    <n v="13930"/>
    <n v="33240"/>
    <n v="19310"/>
    <s v="ĐN"/>
    <m/>
    <s v="UTXK/ĐN-QS/0726"/>
    <s v="XBUT"/>
    <s v="VC.007"/>
    <s v="Công ty TNHH SX TM DV Đại Hiệp"/>
  </r>
  <r>
    <s v="269"/>
    <n v="844"/>
    <d v="2026-09-22T00:00:00"/>
    <s v="13:46:01"/>
    <d v="2026-09-22T00:00:00"/>
    <s v="13:55:19"/>
    <x v="16"/>
    <n v="14030"/>
    <n v="31840"/>
    <n v="17810"/>
    <s v="ĐN"/>
    <m/>
    <s v="UTXK/ĐN-QS/0726"/>
    <s v="XBUT"/>
    <s v="VC.007"/>
    <s v="Công ty TNHH SX TM DV Đại Hiệp"/>
  </r>
  <r>
    <s v="270"/>
    <n v="845"/>
    <d v="2026-09-22T00:00:00"/>
    <s v="14:00:29"/>
    <d v="2026-09-22T00:00:00"/>
    <s v="14:09:33"/>
    <x v="12"/>
    <n v="13880"/>
    <n v="32520"/>
    <n v="18640"/>
    <s v="ĐN"/>
    <m/>
    <s v="UTXK/ĐN-QS/0726"/>
    <s v="XBUT"/>
    <s v="VC.007"/>
    <s v="Công ty TNHH Hoàng Anh Khôi Quảng Nam"/>
  </r>
  <r>
    <s v="271"/>
    <n v="846"/>
    <d v="2026-09-22T00:00:00"/>
    <s v="14:15:26"/>
    <d v="2026-09-22T00:00:00"/>
    <s v="14:24:45"/>
    <x v="4"/>
    <n v="14080"/>
    <n v="32610"/>
    <n v="18530"/>
    <s v="ĐN"/>
    <m/>
    <s v="UTXK/ĐN-QS/0726"/>
    <s v="XBUT"/>
    <s v="VC.007"/>
    <s v="Công ty TNHH Hoàng Anh Khôi Quảng Nam"/>
  </r>
  <r>
    <s v="272"/>
    <n v="847"/>
    <d v="2026-09-22T00:00:00"/>
    <s v="14:27:37"/>
    <d v="2026-09-22T00:00:00"/>
    <s v="14:36:42"/>
    <x v="14"/>
    <n v="13940"/>
    <n v="32030"/>
    <n v="18090"/>
    <s v="ĐN"/>
    <m/>
    <s v="UTXK/ĐN-QS/0726"/>
    <s v="XBUT"/>
    <s v="VC.007"/>
    <s v="Công ty TNHH SX TM DV Đại Hiệp"/>
  </r>
  <r>
    <s v="273"/>
    <n v="848"/>
    <d v="2026-09-22T00:00:00"/>
    <s v="14:28:38"/>
    <d v="2026-09-22T00:00:00"/>
    <s v="14:43:44"/>
    <x v="13"/>
    <n v="14040"/>
    <n v="31480"/>
    <n v="17440"/>
    <s v="ĐN"/>
    <m/>
    <s v="UTXK/ĐN-QS/0726"/>
    <s v="XBUT"/>
    <s v="VC.007"/>
    <s v="Công ty TNHH SX TM DV Đại Hiệp"/>
  </r>
  <r>
    <s v="274"/>
    <n v="849"/>
    <d v="2026-09-22T00:00:00"/>
    <s v="14:30:09"/>
    <d v="2026-09-22T00:00:00"/>
    <s v="14:50:24"/>
    <x v="0"/>
    <n v="13960"/>
    <n v="31420"/>
    <n v="17460"/>
    <s v="ĐN"/>
    <m/>
    <s v="UTXK/ĐN-QS/0726"/>
    <s v="XBUT"/>
    <s v="VC.007"/>
    <s v="Công ty TNHH Hoàng Anh Khôi"/>
  </r>
  <r>
    <s v="275"/>
    <n v="850"/>
    <d v="2026-09-22T00:00:00"/>
    <s v="14:52:46"/>
    <d v="2026-09-22T00:00:00"/>
    <s v="15:02:08"/>
    <x v="5"/>
    <n v="13980"/>
    <n v="31370"/>
    <n v="17390"/>
    <s v="ĐN"/>
    <m/>
    <s v="UTXK/ĐN-QS/0726"/>
    <s v="XBUT"/>
    <s v="VC.007"/>
    <s v="Công ty TNHH Hoàng Anh Khôi Quảng Nam"/>
  </r>
  <r>
    <s v="276"/>
    <n v="851"/>
    <d v="2026-09-22T00:00:00"/>
    <s v="14:54:20"/>
    <d v="2026-09-22T00:00:00"/>
    <s v="15:10:05"/>
    <x v="7"/>
    <n v="13880"/>
    <n v="31440"/>
    <n v="17560"/>
    <s v="ĐN"/>
    <m/>
    <s v="UTXK/ĐN-QS/0726"/>
    <s v="XBUT"/>
    <s v="VC.007"/>
    <s v="Công ty TNHH Hoàng Anh Khôi Quảng Nam"/>
  </r>
  <r>
    <s v="277"/>
    <n v="852"/>
    <d v="2026-09-22T00:00:00"/>
    <s v="14:55:46"/>
    <d v="2026-09-22T00:00:00"/>
    <s v="15:16:32"/>
    <x v="3"/>
    <n v="13940"/>
    <n v="31610"/>
    <n v="17670"/>
    <s v="ĐN"/>
    <m/>
    <s v="UTXK/ĐN-QS/0726"/>
    <s v="XBUT"/>
    <s v="VC.007"/>
    <s v="Công ty TNHH SX TM DV Đại Hiệp"/>
  </r>
  <r>
    <s v="278"/>
    <n v="853"/>
    <d v="2026-09-22T00:00:00"/>
    <s v="14:56:21"/>
    <d v="2026-09-22T00:00:00"/>
    <s v="15:24:21"/>
    <x v="9"/>
    <n v="14090"/>
    <n v="32370"/>
    <n v="18280"/>
    <s v="ĐN"/>
    <m/>
    <s v="UTXK/ĐN-QS/0726"/>
    <s v="XBUT"/>
    <s v="VC.007"/>
    <s v="Công ty TNHH Hoàng Anh Khôi Quảng Nam"/>
  </r>
  <r>
    <s v="279"/>
    <n v="854"/>
    <d v="2026-09-22T00:00:00"/>
    <s v="15:00:58"/>
    <d v="2026-09-22T00:00:00"/>
    <s v="15:31:20"/>
    <x v="2"/>
    <n v="14030"/>
    <n v="31620"/>
    <n v="17590"/>
    <s v="ĐN"/>
    <m/>
    <s v="UTXK/ĐN-QS/0726"/>
    <s v="XBUT"/>
    <s v="VC.007"/>
    <s v="Công ty TNHH Hoàng Anh Khôi"/>
  </r>
  <r>
    <s v="280"/>
    <n v="855"/>
    <d v="2026-09-22T00:00:00"/>
    <s v="15:04:21"/>
    <d v="2026-09-22T00:00:00"/>
    <s v="15:38:11"/>
    <x v="8"/>
    <n v="13920"/>
    <n v="31400"/>
    <n v="17480"/>
    <s v="ĐN"/>
    <m/>
    <s v="UTXK/ĐN-QS/0726"/>
    <s v="XBUT"/>
    <s v="VC.007"/>
    <s v="Công ty TNHH Hoàng Anh Khôi Quảng Nam"/>
  </r>
  <r>
    <s v="281"/>
    <n v="856"/>
    <d v="2026-09-22T00:00:00"/>
    <s v="15:06:47"/>
    <d v="2026-09-22T00:00:00"/>
    <s v="15:45:21"/>
    <x v="11"/>
    <n v="14050"/>
    <n v="31380"/>
    <n v="17330"/>
    <s v="ĐN"/>
    <m/>
    <s v="UTXK/ĐN-QS/0726"/>
    <s v="XBUT"/>
    <s v="VC.007"/>
    <s v="Công ty TNHH Hoàng Anh Khôi"/>
  </r>
  <r>
    <s v="282"/>
    <n v="857"/>
    <d v="2026-09-22T00:00:00"/>
    <s v="15:08:16"/>
    <d v="2026-09-22T00:00:00"/>
    <s v="15:52:42"/>
    <x v="6"/>
    <n v="14070"/>
    <n v="31050"/>
    <n v="16980"/>
    <s v="ĐN"/>
    <m/>
    <s v="UTXK/ĐN-QS/0726"/>
    <s v="XBUT"/>
    <s v="VC.007"/>
    <s v="Công ty TNHH Hoàng Anh Khôi"/>
  </r>
  <r>
    <s v="283"/>
    <n v="858"/>
    <d v="2026-09-22T00:00:00"/>
    <s v="15:44:18"/>
    <d v="2026-09-22T00:00:00"/>
    <s v="16:00:14"/>
    <x v="1"/>
    <n v="13940"/>
    <n v="30640"/>
    <n v="16700"/>
    <s v="ĐN"/>
    <m/>
    <s v="UTXK/ĐN-QS/0726"/>
    <s v="XBUT"/>
    <s v="VC.007"/>
    <s v="Công ty TNHH Hoàng Anh Khôi Quảng Nam"/>
  </r>
  <r>
    <s v="284"/>
    <n v="859"/>
    <d v="2026-09-22T00:00:00"/>
    <s v="16:54:13"/>
    <d v="2026-09-22T00:00:00"/>
    <s v="17:03:41"/>
    <x v="10"/>
    <n v="14160"/>
    <n v="31780"/>
    <n v="17620"/>
    <s v="ĐN"/>
    <m/>
    <s v="UTXK/ĐN-QS/0726"/>
    <s v="XBUT"/>
    <s v="VC.007"/>
    <s v="Công ty TNHH Hoàng Anh Khôi"/>
  </r>
  <r>
    <s v="285"/>
    <n v="860"/>
    <d v="2026-09-22T00:00:00"/>
    <s v="18:29:29"/>
    <d v="2026-09-22T00:00:00"/>
    <s v="18:38:57"/>
    <x v="12"/>
    <n v="13820"/>
    <n v="31610"/>
    <n v="17790"/>
    <s v="ĐN"/>
    <m/>
    <s v="UTXK/ĐN-QS/0726"/>
    <s v="XBUT"/>
    <s v="VC.007"/>
    <s v="Công ty TNHH Hoàng Anh Khôi Quảng Nam"/>
  </r>
  <r>
    <s v="286"/>
    <n v="861"/>
    <d v="2026-09-22T00:00:00"/>
    <s v="18:36:24"/>
    <d v="2026-09-22T00:00:00"/>
    <s v="18:46:15"/>
    <x v="15"/>
    <n v="13880"/>
    <n v="31450"/>
    <n v="17570"/>
    <s v="ĐN"/>
    <m/>
    <s v="UTXK/ĐN-QS/0726"/>
    <s v="XBUT"/>
    <s v="VC.007"/>
    <s v="Công ty TNHH SX TM DV Đại Hiệp"/>
  </r>
  <r>
    <s v="287"/>
    <n v="862"/>
    <d v="2026-09-22T00:00:00"/>
    <s v="18:55:04"/>
    <d v="2026-09-22T00:00:00"/>
    <s v="19:05:12"/>
    <x v="4"/>
    <n v="13960"/>
    <n v="32230"/>
    <n v="18270"/>
    <s v="ĐN"/>
    <m/>
    <s v="UTXK/ĐN-QS/0726"/>
    <s v="XBUT"/>
    <s v="VC.007"/>
    <s v="Công ty TNHH Hoàng Anh Khôi Quảng Nam"/>
  </r>
  <r>
    <s v="288"/>
    <n v="863"/>
    <d v="2026-09-22T00:00:00"/>
    <s v="19:01:08"/>
    <d v="2026-09-22T00:00:00"/>
    <s v="19:13:02"/>
    <x v="16"/>
    <n v="13940"/>
    <n v="33160"/>
    <n v="19220"/>
    <s v="ĐN"/>
    <m/>
    <s v="UTXK/ĐN-QS/0726"/>
    <s v="XBUT"/>
    <s v="VC.007"/>
    <s v="Công ty TNHH SX TM DV Đại Hiệp"/>
  </r>
  <r>
    <s v="289"/>
    <n v="864"/>
    <d v="2026-09-22T00:00:00"/>
    <s v="19:19:48"/>
    <d v="2026-09-22T00:00:00"/>
    <s v="19:30:15"/>
    <x v="14"/>
    <n v="13890"/>
    <n v="31910"/>
    <n v="18020"/>
    <s v="ĐN"/>
    <m/>
    <s v="UTXK/ĐN-QS/0726"/>
    <s v="XBUT"/>
    <s v="VC.007"/>
    <s v="Công ty TNHH SX TM DV Đại Hiệp"/>
  </r>
  <r>
    <s v="290"/>
    <n v="865"/>
    <d v="2026-09-22T00:00:00"/>
    <s v="19:24:21"/>
    <d v="2026-09-22T00:00:00"/>
    <s v="19:38:44"/>
    <x v="7"/>
    <n v="13810"/>
    <n v="32170"/>
    <n v="18360"/>
    <s v="ĐN"/>
    <m/>
    <s v="UTXK/ĐN-QS/0726"/>
    <s v="XBUT"/>
    <s v="VC.007"/>
    <s v="Công ty TNHH Hoàng Anh Khôi Quảng Nam"/>
  </r>
  <r>
    <s v="291"/>
    <n v="866"/>
    <d v="2026-09-22T00:00:00"/>
    <s v="19:28:47"/>
    <d v="2026-09-22T00:00:00"/>
    <s v="19:48:10"/>
    <x v="0"/>
    <n v="13760"/>
    <n v="30910"/>
    <n v="17150"/>
    <s v="ĐN"/>
    <m/>
    <s v="UTXK/ĐN-QS/0726"/>
    <s v="XBUT"/>
    <s v="VC.007"/>
    <s v="Công ty TNHH Hoàng Anh Khôi"/>
  </r>
  <r>
    <s v="292"/>
    <n v="867"/>
    <d v="2026-09-22T00:00:00"/>
    <s v="19:46:17"/>
    <d v="2026-09-22T00:00:00"/>
    <s v="19:56:00"/>
    <x v="3"/>
    <n v="14050"/>
    <n v="31730"/>
    <n v="17680"/>
    <s v="ĐN"/>
    <m/>
    <s v="UTXK/ĐN-QS/0726"/>
    <s v="XBUT"/>
    <s v="VC.007"/>
    <s v="Công ty TNHH SX TM DV Đại Hiệp"/>
  </r>
  <r>
    <s v="293"/>
    <n v="868"/>
    <d v="2026-09-22T00:00:00"/>
    <s v="20:11:44"/>
    <d v="2026-09-22T00:00:00"/>
    <s v="20:21:36"/>
    <x v="5"/>
    <n v="13990"/>
    <n v="31740"/>
    <n v="17750"/>
    <s v="ĐN"/>
    <m/>
    <s v="UTXK/ĐN-QS/0726"/>
    <s v="XBUT"/>
    <s v="VC.007"/>
    <s v="Công ty TNHH Hoàng Anh Khôi Quảng Nam"/>
  </r>
  <r>
    <s v="294"/>
    <n v="869"/>
    <d v="2026-09-22T00:00:00"/>
    <s v="20:26:34"/>
    <d v="2026-09-22T00:00:00"/>
    <s v="20:36:36"/>
    <x v="9"/>
    <n v="14040"/>
    <n v="32400"/>
    <n v="18360"/>
    <s v="ĐN"/>
    <m/>
    <s v="UTXK/ĐN-QS/0726"/>
    <s v="XBUT"/>
    <s v="VC.007"/>
    <s v="Công ty TNHH Hoàng Anh Khôi Quảng Nam"/>
  </r>
  <r>
    <s v="295"/>
    <n v="870"/>
    <d v="2026-09-22T00:00:00"/>
    <s v="20:31:01"/>
    <d v="2026-09-22T00:00:00"/>
    <s v="20:46:17"/>
    <x v="2"/>
    <n v="13960"/>
    <n v="32660"/>
    <n v="18700"/>
    <s v="ĐN"/>
    <m/>
    <s v="UTXK/ĐN-QS/0726"/>
    <s v="XBUT"/>
    <s v="VC.007"/>
    <s v="Công ty TNHH Hoàng Anh Khôi"/>
  </r>
  <r>
    <s v="296"/>
    <n v="871"/>
    <d v="2026-09-22T00:00:00"/>
    <s v="20:33:48"/>
    <d v="2026-09-22T00:00:00"/>
    <s v="20:53:27"/>
    <x v="11"/>
    <n v="13980"/>
    <n v="33330"/>
    <n v="19350"/>
    <s v="ĐN"/>
    <m/>
    <s v="UTXK/ĐN-QS/0726"/>
    <s v="XBUT"/>
    <s v="VC.007"/>
    <s v="Công ty TNHH Hoàng Anh Khôi"/>
  </r>
  <r>
    <s v="297"/>
    <n v="872"/>
    <d v="2026-09-22T00:00:00"/>
    <s v="20:47:07"/>
    <d v="2026-09-22T00:00:00"/>
    <s v="21:00:39"/>
    <x v="6"/>
    <n v="13990"/>
    <n v="31740"/>
    <n v="17750"/>
    <s v="ĐN"/>
    <m/>
    <s v="UTXK/ĐN-QS/0726"/>
    <s v="XBUT"/>
    <s v="VC.007"/>
    <s v="Công ty TNHH Hoàng Anh Khôi"/>
  </r>
  <r>
    <s v="298"/>
    <n v="873"/>
    <d v="2026-09-22T00:00:00"/>
    <s v="20:48:46"/>
    <d v="2026-09-22T00:00:00"/>
    <s v="21:07:33"/>
    <x v="1"/>
    <n v="13810"/>
    <n v="31500"/>
    <n v="17690"/>
    <s v="ĐN"/>
    <m/>
    <s v="UTXK/ĐN-QS/0726"/>
    <s v="XBUT"/>
    <s v="VC.007"/>
    <s v="Công ty TNHH Hoàng Anh Khôi Quảng Nam"/>
  </r>
  <r>
    <s v="299"/>
    <n v="874"/>
    <d v="2026-09-22T00:00:00"/>
    <s v="21:25:25"/>
    <d v="2026-09-22T00:00:00"/>
    <s v="21:35:28"/>
    <x v="10"/>
    <n v="14070"/>
    <n v="31400"/>
    <n v="17330"/>
    <s v="ĐN"/>
    <m/>
    <s v="UTXK/ĐN-QS/0726"/>
    <s v="XBUT"/>
    <s v="VC.007"/>
    <s v="Công ty TNHH Hoàng Anh Khôi"/>
  </r>
  <r>
    <s v="300"/>
    <n v="875"/>
    <d v="2026-09-22T00:00:00"/>
    <s v="23:52:45"/>
    <d v="2026-09-23T00:00:00"/>
    <s v="00:03:38"/>
    <x v="4"/>
    <n v="13950"/>
    <n v="31040"/>
    <n v="17090"/>
    <s v="ĐN"/>
    <m/>
    <s v="UTXK/ĐN-QS/0726"/>
    <s v="XBUT"/>
    <s v="VC.007"/>
    <s v="Công ty TNHH Hoàng Anh Khôi Quảng Nam"/>
  </r>
  <r>
    <s v="301"/>
    <n v="876"/>
    <d v="2026-09-22T00:00:00"/>
    <s v="23:57:05"/>
    <d v="2026-09-23T00:00:00"/>
    <s v="00:11:43"/>
    <x v="7"/>
    <n v="13780"/>
    <n v="30830"/>
    <n v="17050"/>
    <s v="ĐN"/>
    <m/>
    <s v="UTXK/ĐN-QS/0726"/>
    <s v="XBUT"/>
    <s v="VC.007"/>
    <s v="Công ty TNHH Hoàng Anh Khôi Quảng Nam"/>
  </r>
  <r>
    <s v="302"/>
    <n v="877"/>
    <d v="2026-09-23T00:00:00"/>
    <s v="00:02:06"/>
    <d v="2026-09-23T00:00:00"/>
    <s v="00:21:25"/>
    <x v="14"/>
    <n v="13800"/>
    <n v="30460"/>
    <n v="16660"/>
    <s v="ĐN"/>
    <m/>
    <s v="UTXK/ĐN-QS/0726"/>
    <s v="XBUT"/>
    <s v="VC.007"/>
    <s v="Công ty TNHH SX TM DV Đại Hiệp"/>
  </r>
  <r>
    <s v="303"/>
    <n v="878"/>
    <d v="2026-09-23T00:00:00"/>
    <s v="01:26:51"/>
    <d v="2026-09-23T00:00:00"/>
    <s v="01:36:54"/>
    <x v="13"/>
    <n v="14040"/>
    <n v="30830"/>
    <n v="16790"/>
    <s v="ĐN"/>
    <m/>
    <s v="UTXK/ĐN-QS/0726"/>
    <s v="XBUT"/>
    <s v="VC.007"/>
    <s v="Công ty TNHH SX TM DV Đại Hiệp"/>
  </r>
  <r>
    <s v="304"/>
    <n v="879"/>
    <d v="2026-09-23T00:00:00"/>
    <s v="01:56:10"/>
    <d v="2026-09-23T00:00:00"/>
    <s v="02:07:03"/>
    <x v="6"/>
    <n v="14040"/>
    <n v="30910"/>
    <n v="16870"/>
    <s v="ĐN"/>
    <m/>
    <s v="UTXK/ĐN-QS/0726"/>
    <s v="XBUT"/>
    <s v="VC.007"/>
    <s v="Công ty TNHH Hoàng Anh Khôi"/>
  </r>
  <r>
    <s v="305"/>
    <n v="880"/>
    <d v="2026-09-23T00:00:00"/>
    <s v="02:20:07"/>
    <d v="2026-09-23T00:00:00"/>
    <s v="03:22:32"/>
    <x v="8"/>
    <n v="13870"/>
    <n v="31730"/>
    <n v="17860"/>
    <s v="ĐN"/>
    <m/>
    <s v="UTXK/ĐN-QS/0726"/>
    <s v="XBUT"/>
    <s v="VC.007"/>
    <s v="Công ty TNHH Hoàng Anh Khôi Quảng Nam"/>
  </r>
  <r>
    <s v="306"/>
    <n v="881"/>
    <d v="2026-09-23T00:00:00"/>
    <s v="03:28:50"/>
    <d v="2026-09-23T00:00:00"/>
    <s v="03:38:29"/>
    <x v="16"/>
    <n v="13880"/>
    <n v="30560"/>
    <n v="16680"/>
    <s v="ĐN"/>
    <m/>
    <s v="UTXK/ĐN-QS/0726"/>
    <s v="XBUT"/>
    <s v="VC.007"/>
    <s v="Công ty TNHH SX TM DV Đại Hiệp"/>
  </r>
  <r>
    <s v="307"/>
    <n v="882"/>
    <d v="2026-09-23T00:00:00"/>
    <s v="03:40:13"/>
    <d v="2026-09-23T00:00:00"/>
    <s v="03:49:12"/>
    <x v="15"/>
    <n v="13840"/>
    <n v="31130"/>
    <n v="17290"/>
    <s v="ĐN"/>
    <m/>
    <s v="UTXK/ĐN-QS/0726"/>
    <s v="XBUT"/>
    <s v="VC.007"/>
    <s v="Công ty TNHH SX TM DV Đại Hiệp"/>
  </r>
  <r>
    <s v="308"/>
    <n v="883"/>
    <d v="2026-09-23T00:00:00"/>
    <s v="03:47:21"/>
    <d v="2026-09-23T00:00:00"/>
    <s v="03:57:01"/>
    <x v="12"/>
    <n v="13820"/>
    <n v="32550"/>
    <n v="18730"/>
    <s v="ĐN"/>
    <m/>
    <s v="UTXK/ĐN-QS/0726"/>
    <s v="XBUT"/>
    <s v="VC.007"/>
    <s v="Công ty TNHH Hoàng Anh Khôi Quảng Nam"/>
  </r>
  <r>
    <s v="309"/>
    <n v="884"/>
    <d v="2026-09-23T00:00:00"/>
    <s v="04:03:29"/>
    <d v="2026-09-23T00:00:00"/>
    <s v="04:14:44"/>
    <x v="4"/>
    <n v="13960"/>
    <n v="31540"/>
    <n v="17580"/>
    <s v="ĐN"/>
    <m/>
    <s v="UTXK/ĐN-QS/0726"/>
    <s v="XBUT"/>
    <s v="VC.007"/>
    <s v="Công ty TNHH Hoàng Anh Khôi Quảng Nam"/>
  </r>
  <r>
    <s v="310"/>
    <n v="885"/>
    <d v="2026-09-23T00:00:00"/>
    <s v="04:58:25"/>
    <d v="2026-09-23T00:00:00"/>
    <s v="05:08:56"/>
    <x v="3"/>
    <n v="14040"/>
    <n v="31380"/>
    <n v="17340"/>
    <s v="ĐN"/>
    <m/>
    <s v="UTXK/ĐN-QS/0726"/>
    <s v="XBUT"/>
    <s v="VC.007"/>
    <s v="Công ty TNHH SX TM DV Đại Hiệp"/>
  </r>
  <r>
    <s v="311"/>
    <n v="886"/>
    <d v="2026-09-23T00:00:00"/>
    <s v="05:16:10"/>
    <d v="2026-09-23T00:00:00"/>
    <s v="05:27:49"/>
    <x v="11"/>
    <n v="13980"/>
    <n v="31100"/>
    <n v="17120"/>
    <s v="ĐN"/>
    <m/>
    <s v="UTXK/ĐN-QS/0726"/>
    <s v="XBUT"/>
    <s v="VC.007"/>
    <s v="Công ty TNHH Hoàng Anh Khôi"/>
  </r>
  <r>
    <s v="312"/>
    <n v="887"/>
    <d v="2026-09-23T00:00:00"/>
    <s v="06:47:28"/>
    <d v="2026-09-23T00:00:00"/>
    <s v="07:01:09"/>
    <x v="7"/>
    <n v="13790"/>
    <n v="31210"/>
    <n v="17420"/>
    <s v="ĐN"/>
    <m/>
    <s v="UTXK/ĐN-QS/0726"/>
    <s v="XBUT"/>
    <s v="VC.007"/>
    <s v="Công ty TNHH Hoàng Anh Khôi Quảng Nam"/>
  </r>
  <r>
    <s v="313"/>
    <n v="888"/>
    <d v="2026-09-23T00:00:00"/>
    <s v="09:55:16"/>
    <d v="2026-09-23T00:00:00"/>
    <s v="10:11:39"/>
    <x v="5"/>
    <n v="13950"/>
    <n v="31810"/>
    <n v="17860"/>
    <s v="ĐN"/>
    <m/>
    <s v="UTXK/ĐN-QS/0726"/>
    <s v="XBUT"/>
    <s v="VC.007"/>
    <s v="Công ty TNHH Hoàng Anh Khôi Quảng Nam"/>
  </r>
  <r>
    <s v="314"/>
    <n v="889"/>
    <d v="2026-09-23T00:00:00"/>
    <s v="10:06:54"/>
    <d v="2026-09-23T00:00:00"/>
    <s v="10:20:02"/>
    <x v="9"/>
    <n v="14030"/>
    <n v="33050"/>
    <n v="19020"/>
    <s v="ĐN"/>
    <m/>
    <s v="UTXK/ĐN-QS/0726"/>
    <s v="XBUT"/>
    <s v="VC.007"/>
    <s v="Công ty TNHH Hoàng Anh Khôi Quảng Nam"/>
  </r>
  <r>
    <s v="315"/>
    <n v="890"/>
    <d v="2026-09-23T00:00:00"/>
    <s v="10:23:45"/>
    <d v="2026-09-23T00:00:00"/>
    <s v="10:39:03"/>
    <x v="6"/>
    <n v="14030"/>
    <n v="33590"/>
    <n v="19560"/>
    <s v="ĐN"/>
    <m/>
    <s v="UTXK/ĐN-QS/0726"/>
    <s v="XBUT"/>
    <s v="VC.007"/>
    <s v="Công ty TNHH Hoàng Anh Khôi"/>
  </r>
  <r>
    <s v="316"/>
    <n v="891"/>
    <d v="2026-09-23T00:00:00"/>
    <s v="10:26:09"/>
    <d v="2026-09-23T00:00:00"/>
    <s v="10:42:23"/>
    <x v="2"/>
    <n v="13980"/>
    <n v="32860"/>
    <n v="18880"/>
    <s v="ĐN"/>
    <m/>
    <s v="UTXK/ĐN-QS/0726"/>
    <s v="XBUT"/>
    <s v="VC.007"/>
    <s v="Công ty TNHH Hoàng Anh Khôi"/>
  </r>
  <r>
    <s v="317"/>
    <n v="892"/>
    <d v="2026-09-23T00:00:00"/>
    <s v="10:36:53"/>
    <d v="2026-09-23T00:00:00"/>
    <s v="10:50:09"/>
    <x v="13"/>
    <n v="13980"/>
    <n v="33570"/>
    <n v="19590"/>
    <s v="ĐN"/>
    <m/>
    <s v="UTXK/ĐN-QS/0726"/>
    <s v="XBUT"/>
    <s v="VC.007"/>
    <s v="Công ty TNHH SX TM DV Đại Hiệp"/>
  </r>
  <r>
    <s v="318"/>
    <n v="893"/>
    <d v="2026-09-23T00:00:00"/>
    <s v="11:16:06"/>
    <d v="2026-09-23T00:00:00"/>
    <s v="11:54:54"/>
    <x v="10"/>
    <n v="14000"/>
    <n v="32680"/>
    <n v="18680"/>
    <s v="ĐN"/>
    <m/>
    <s v="UTXK/ĐN-QS/0726"/>
    <s v="XBUT"/>
    <s v="VC.007"/>
    <s v="Công ty TNHH Hoàng Anh Khôi"/>
  </r>
  <r>
    <s v="319"/>
    <n v="894"/>
    <d v="2026-09-23T00:00:00"/>
    <s v="11:23:25"/>
    <d v="2026-09-23T00:00:00"/>
    <s v="11:58:15"/>
    <x v="1"/>
    <n v="14100"/>
    <n v="33300"/>
    <n v="19200"/>
    <s v="ĐN"/>
    <m/>
    <s v="UTXK/ĐN-QS/0726"/>
    <s v="XBUT"/>
    <s v="VC.007"/>
    <s v="Công ty TNHH Hoàng Anh Khôi Quảng Nam"/>
  </r>
  <r>
    <s v="320"/>
    <n v="895"/>
    <d v="2026-09-23T00:00:00"/>
    <s v="11:24:29"/>
    <d v="2026-09-23T00:00:00"/>
    <s v="11:39:04"/>
    <x v="4"/>
    <n v="13890"/>
    <n v="33550"/>
    <n v="19660"/>
    <s v="ĐN"/>
    <m/>
    <s v="UTXK/ĐN-QS/0726"/>
    <s v="XBUT"/>
    <s v="VC.007"/>
    <s v="Công ty TNHH Hoàng Anh Khôi Quảng Nam"/>
  </r>
  <r>
    <s v="321"/>
    <n v="896"/>
    <d v="2026-09-23T00:00:00"/>
    <s v="11:47:10"/>
    <d v="2026-09-23T00:00:00"/>
    <s v="12:22:45"/>
    <x v="8"/>
    <n v="13810"/>
    <n v="33050"/>
    <n v="19240"/>
    <s v="ĐN"/>
    <m/>
    <s v="UTXK/ĐN-QS/0726"/>
    <s v="XBUT"/>
    <s v="VC.007"/>
    <s v="Công ty TNHH Hoàng Anh Khôi Quảng Nam"/>
  </r>
  <r>
    <s v="322"/>
    <n v="897"/>
    <d v="2026-09-23T00:00:00"/>
    <s v="11:52:19"/>
    <d v="2026-09-23T00:00:00"/>
    <s v="12:03:24"/>
    <x v="14"/>
    <n v="14070"/>
    <n v="32870"/>
    <n v="18800"/>
    <s v="ĐN"/>
    <m/>
    <s v="UTXK/ĐN-QS/0726"/>
    <s v="XBUT"/>
    <s v="VC.007"/>
    <s v="Công ty TNHH SX TM DV Đại Hiệp"/>
  </r>
  <r>
    <s v="323"/>
    <n v="898"/>
    <d v="2026-09-23T00:00:00"/>
    <s v="12:04:25"/>
    <d v="2026-09-23T00:00:00"/>
    <s v="12:18:13"/>
    <x v="11"/>
    <n v="14050"/>
    <n v="32670"/>
    <n v="18620"/>
    <s v="ĐN"/>
    <m/>
    <s v="UTXK/ĐN-QS/0726"/>
    <s v="XBUT"/>
    <s v="VC.007"/>
    <s v="Công ty TNHH Hoàng Anh Khôi"/>
  </r>
  <r>
    <s v="324"/>
    <n v="899"/>
    <d v="2026-09-23T00:00:00"/>
    <s v="12:16:30"/>
    <d v="2026-09-23T00:00:00"/>
    <s v="12:31:02"/>
    <x v="16"/>
    <n v="13820"/>
    <n v="32630"/>
    <n v="18810"/>
    <s v="ĐN"/>
    <m/>
    <s v="UTXK/ĐN-QS/0726"/>
    <s v="XBUT"/>
    <s v="VC.007"/>
    <s v="Công ty TNHH SX TM DV Đại Hiệp"/>
  </r>
  <r>
    <s v="325"/>
    <n v="901"/>
    <d v="2026-09-23T00:00:00"/>
    <s v="12:54:29"/>
    <d v="2026-09-23T00:00:00"/>
    <s v="13:04:37"/>
    <x v="15"/>
    <n v="13740"/>
    <n v="32910"/>
    <n v="19170"/>
    <s v="ĐN"/>
    <m/>
    <s v="UTXK/ĐN-QS/0726"/>
    <s v="XBUT"/>
    <s v="VC.007"/>
    <s v="Công ty TNHH SX TM DV Đại Hiệp"/>
  </r>
  <r>
    <s v="326"/>
    <n v="902"/>
    <d v="2026-09-23T00:00:00"/>
    <s v="13:19:03"/>
    <d v="2026-09-23T00:00:00"/>
    <s v="13:46:35"/>
    <x v="12"/>
    <n v="13760"/>
    <n v="33270"/>
    <n v="19510"/>
    <s v="ĐN"/>
    <m/>
    <s v="UTXK/ĐN-QS/0726"/>
    <s v="XBUT"/>
    <s v="VC.007"/>
    <s v="Công ty TNHH Hoàng Anh Khôi Quảng Na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A1504F-392D-4D6D-94C5-4A7B7CC72CE7}" name="PivotTable1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SX">
  <location ref="J328:L346" firstHeaderRow="0" firstDataRow="1" firstDataCol="1"/>
  <pivotFields count="16">
    <pivotField showAll="0"/>
    <pivotField showAll="0"/>
    <pivotField numFmtId="14" showAll="0"/>
    <pivotField showAll="0"/>
    <pivotField numFmtId="14" showAll="0"/>
    <pivotField showAll="0"/>
    <pivotField axis="axisRow" dataField="1" showAll="0">
      <items count="18">
        <item x="2"/>
        <item x="6"/>
        <item x="10"/>
        <item x="0"/>
        <item x="11"/>
        <item x="13"/>
        <item x="16"/>
        <item x="15"/>
        <item x="3"/>
        <item x="5"/>
        <item x="4"/>
        <item x="12"/>
        <item x="8"/>
        <item x="1"/>
        <item x="14"/>
        <item x="9"/>
        <item x="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CHUYẾN" fld="6" subtotal="count" baseField="0" baseItem="0"/>
    <dataField name="Sum of KL hàng (KG)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4" xr16:uid="{3196F156-D581-41E5-8EA4-EDA02DA1692F}" autoFormatId="16" applyNumberFormats="0" applyBorderFormats="0" applyFontFormats="0" applyPatternFormats="0" applyAlignmentFormats="0" applyWidthHeightFormats="0">
  <queryTableRefresh nextId="64">
    <queryTableFields count="17">
      <queryTableField id="46" name="STT" tableColumnId="6"/>
      <queryTableField id="62" name="Mã tuyến" tableColumnId="14"/>
      <queryTableField id="37" name="Tuyến" tableColumnId="5"/>
      <queryTableField id="47" name="Cự ly tuyến" tableColumnId="7"/>
      <queryTableField id="2" name="Ngày bắt đầu" tableColumnId="2"/>
      <queryTableField id="3" name="Ngày kết thúc" tableColumnId="3"/>
      <queryTableField id="48" name="Đơn giá theo hợp đồng (chưa bao gồm nhiên liệu)" tableColumnId="8"/>
      <queryTableField id="4" name="Số chuyến" tableColumnId="4"/>
      <queryTableField id="49" name="Tổng KL (Tấn)" tableColumnId="9"/>
      <queryTableField id="19" name="Dầu Diezel thực nhận" tableColumnId="19"/>
      <queryTableField id="50" name="Định mức dầu Diezel" tableColumnId="10"/>
      <queryTableField id="51" name="Nhiên liệu dầu Diezel tiêu hao theo định mức (lít)" tableColumnId="11"/>
      <queryTableField id="21" name="CL Tiêu hao Diezel " tableColumnId="21"/>
      <queryTableField id="52" name="Đơn giá dầu" tableColumnId="12"/>
      <queryTableField id="53" name="Ngày nhập dầu" tableColumnId="13"/>
      <queryTableField id="23" name="Đơn giá CL Diezel" tableColumnId="22"/>
      <queryTableField id="24" name="Đơn giá vận chuyển" tableColumnId="23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D4ED0B-B7CD-464E-88D5-4B5FD148EAE5}" name="TBL_GIAONHANDAU4" displayName="TBL_GIAONHANDAU4" ref="A2:H43" totalsRowCount="1" headerRowDxfId="135" totalsRowDxfId="132" headerRowBorderDxfId="134" tableBorderDxfId="133" totalsRowBorderDxfId="131">
  <autoFilter ref="A2:H42" xr:uid="{0D4E2470-7002-4629-96D5-EC0E5DFA2D37}"/>
  <tableColumns count="8">
    <tableColumn id="1" xr3:uid="{166F9A5E-B323-4EFC-BD22-70BD6DB28FB1}" name="Ngày nhận dầu" totalsRowLabel="TỔNG CỘNG" dataDxfId="130" totalsRowDxfId="129"/>
    <tableColumn id="7" xr3:uid="{62EBE9F7-A585-4E0A-A75E-441F25454F30}" name="Mã cự ly VC" dataDxfId="128" totalsRowDxfId="127"/>
    <tableColumn id="2" xr3:uid="{AF3789D8-F0DF-4EBF-B873-E9925E59F143}" name="Biển số xe" dataDxfId="126" totalsRowDxfId="125"/>
    <tableColumn id="3" xr3:uid="{6E468C74-61FE-423D-BDDE-DB76620A02C5}" name="ĐVT" dataDxfId="124" totalsRowDxfId="123"/>
    <tableColumn id="4" xr3:uid="{A2D8C12F-151B-4DA4-98FB-85061FF9A05D}" name="Số lượng (lít)" totalsRowFunction="sum" dataDxfId="122" totalsRowDxfId="121" dataCellStyle="Comma"/>
    <tableColumn id="5" xr3:uid="{34533F99-088C-495D-9322-B14394557FD7}" name="Đơn giá dầu" dataDxfId="120" totalsRowDxfId="119" dataCellStyle="Comma"/>
    <tableColumn id="6" xr3:uid="{CCD7C6BB-8FC6-4631-BD56-770D33D5A6DC}" name="Ngày mua dầu" dataDxfId="118" totalsRowDxfId="117"/>
    <tableColumn id="8" xr3:uid="{621138C7-F598-4692-AD30-BBCB299C6905}" name="Đơn vị" dataDxfId="116" totalsRowDxfId="1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68A3BB-48F6-420C-8F1B-3543B3693478}" name="TBL_GIAONHANDAU7" displayName="TBL_GIAONHANDAU7" ref="A2:G25" totalsRowCount="1" headerRowDxfId="114" dataDxfId="113" totalsRowDxfId="112">
  <autoFilter ref="A2:G24" xr:uid="{00000000-0009-0000-0100-000002000000}"/>
  <sortState xmlns:xlrd2="http://schemas.microsoft.com/office/spreadsheetml/2017/richdata2" ref="A3:G15">
    <sortCondition ref="A2:A15"/>
  </sortState>
  <tableColumns count="7">
    <tableColumn id="1" xr3:uid="{B65AC48B-EF4B-422D-8C57-BE29ECD921A4}" name="Ngày nhận dầu" totalsRowLabel="TỔNG CỘNG" dataDxfId="111" totalsRowDxfId="110"/>
    <tableColumn id="2" xr3:uid="{A67527AD-0DB6-4787-B8D4-D2539FE70351}" name="Biển số xe" dataDxfId="109" totalsRowDxfId="108"/>
    <tableColumn id="3" xr3:uid="{8B4EADBB-2C3D-4BAC-8FCF-1965A14BBC94}" name="ĐVT" dataDxfId="107" totalsRowDxfId="106"/>
    <tableColumn id="4" xr3:uid="{E47D6AC6-2DF2-4165-8684-908D4EA84AA4}" name="Số lượng (lít)" totalsRowFunction="sum" dataDxfId="105" totalsRowDxfId="104" dataCellStyle="Comma"/>
    <tableColumn id="5" xr3:uid="{E5ACFC5D-106E-4440-8600-EC580FAA631F}" name="Đơn giá dầu" dataDxfId="103" totalsRowDxfId="102" dataCellStyle="Comma"/>
    <tableColumn id="6" xr3:uid="{FBEF5B35-6000-4BDC-95C2-294BCF17055B}" name="Ngày mua dầu" dataDxfId="101" totalsRowDxfId="100"/>
    <tableColumn id="8" xr3:uid="{2A7D44AC-4C45-4112-AD22-D52D74A91C60}" name="Đơn vị" dataDxfId="99" totalsRowDxfId="9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DCAB80-011B-4EDC-98C9-EA45A4F292A9}" name="TBL_GIAONHANDAU78" displayName="TBL_GIAONHANDAU78" ref="A8:G30" totalsRowCount="1" headerRowDxfId="152" dataDxfId="151" totalsRowDxfId="150">
  <autoFilter ref="A8:G29" xr:uid="{00000000-0009-0000-0100-000002000000}"/>
  <sortState xmlns:xlrd2="http://schemas.microsoft.com/office/spreadsheetml/2017/richdata2" ref="A9:E21">
    <sortCondition ref="A8:A21"/>
  </sortState>
  <tableColumns count="7">
    <tableColumn id="1" xr3:uid="{63CE2098-E428-46B8-83F9-CBACD28B61D5}" name="Ngày nhận dầu" totalsRowLabel="TỔNG CỘNG" dataDxfId="149" totalsRowDxfId="148"/>
    <tableColumn id="2" xr3:uid="{2ED2B24B-95AD-4196-B41A-C79839AA8253}" name="Biển số xe" dataDxfId="147" totalsRowDxfId="146"/>
    <tableColumn id="3" xr3:uid="{9BB41A8D-1976-4B95-8F45-4500E31DF130}" name="ĐVT" dataDxfId="145" totalsRowDxfId="144"/>
    <tableColumn id="4" xr3:uid="{69AE1B8A-3912-44C5-8349-CFE8AF1D1C0F}" name="Số lượng (lít)" totalsRowFunction="sum" dataDxfId="143" totalsRowDxfId="142" dataCellStyle="Comma"/>
    <tableColumn id="8" xr3:uid="{73B97E08-15BB-46DA-9B35-168C06EF4996}" name="Đơn vị" dataDxfId="141" totalsRowDxfId="140"/>
    <tableColumn id="7" xr3:uid="{CA3DE115-EE80-40A3-9DEA-1812DE8CDDFB}" name="Đơn giá dầu" dataDxfId="139" totalsRowDxfId="138" dataCellStyle="Comma"/>
    <tableColumn id="9" xr3:uid="{81739606-F377-4C83-95BC-D48F04D53D3E}" name="Ngày mua dầu" dataDxfId="137" totalsRowDxfId="13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E6B6-5177-4BD8-802D-6E64DC469325}" name="QR_DGVC4" displayName="QR_DGVC4" ref="A5:Q6" tableType="queryTable" totalsRowShown="0" headerRowDxfId="97" dataDxfId="95" headerRowBorderDxfId="96" tableBorderDxfId="94" totalsRowBorderDxfId="93">
  <autoFilter ref="A5:Q6" xr:uid="{00000000-0009-0000-0100-000009000000}"/>
  <tableColumns count="17">
    <tableColumn id="6" xr3:uid="{ECFC8945-AE6A-4433-A4D9-C6BB5749F3B0}" uniqueName="6" name="STT" queryTableFieldId="46" dataDxfId="16"/>
    <tableColumn id="14" xr3:uid="{D2CFDC49-8EC4-486A-94DE-DAB52B1A89D0}" uniqueName="14" name="Mã tuyến" queryTableFieldId="62" dataDxfId="15"/>
    <tableColumn id="5" xr3:uid="{AE971F11-5981-47BA-9FEF-58B97C4F9F1D}" uniqueName="5" name="Tuyến" queryTableFieldId="37" dataDxfId="14"/>
    <tableColumn id="7" xr3:uid="{C1A5358B-2204-4F81-B8C7-69AAE42E44F5}" uniqueName="7" name="Cự ly tuyến" queryTableFieldId="47" dataDxfId="13"/>
    <tableColumn id="2" xr3:uid="{28893BE8-24A2-49BE-BB66-5445B6A1BC50}" uniqueName="2" name="Ngày bắt đầu" queryTableFieldId="2" dataDxfId="12"/>
    <tableColumn id="3" xr3:uid="{BAF95DC1-BFE2-47BA-94DE-3B07BCB5CEF1}" uniqueName="3" name="Ngày kết thúc" queryTableFieldId="3" dataDxfId="11"/>
    <tableColumn id="8" xr3:uid="{C4EF87C5-39EB-4788-B889-077885549879}" uniqueName="8" name="Đơn giá theo hợp đồng (chưa bao gồm nhiên liệu)" queryTableFieldId="48" dataDxfId="10" dataCellStyle="Comma"/>
    <tableColumn id="4" xr3:uid="{E0F0F757-6B82-41D4-92BD-D71F1289C9D1}" uniqueName="4" name="Số chuyến" queryTableFieldId="4" dataDxfId="9"/>
    <tableColumn id="9" xr3:uid="{E9B88303-3C79-470A-8E44-98C58A14D5EF}" uniqueName="9" name="Tổng KL (Tấn)" queryTableFieldId="49" dataDxfId="8"/>
    <tableColumn id="19" xr3:uid="{E48CACF2-0D28-4839-8E2C-0B6A964E293D}" uniqueName="19" name="Dầu Diezel thực nhận" queryTableFieldId="19" dataDxfId="7"/>
    <tableColumn id="10" xr3:uid="{DE8C82C7-D5D8-4103-B359-B02001351432}" uniqueName="10" name="Định mức dầu Diezel" queryTableFieldId="50" dataDxfId="6"/>
    <tableColumn id="11" xr3:uid="{DD11A0A6-48F4-465A-A7DA-C3D2D5BED25F}" uniqueName="11" name="Nhiên liệu dầu Diezel tiêu hao theo định mức (lít)" queryTableFieldId="51" dataDxfId="5"/>
    <tableColumn id="21" xr3:uid="{52C1B0F2-D87D-47A0-B630-F19B91D15F57}" uniqueName="21" name="CL Tiêu hao Diezel " queryTableFieldId="21" dataDxfId="4"/>
    <tableColumn id="12" xr3:uid="{706D4287-2806-4C47-99E8-FF378AC62443}" uniqueName="12" name="Đơn giá dầu" queryTableFieldId="52" dataDxfId="3" dataCellStyle="Comma"/>
    <tableColumn id="13" xr3:uid="{221D225D-FFCD-4E4E-95C4-AD08349CBCC9}" uniqueName="13" name="Ngày nhập dầu" queryTableFieldId="53" dataDxfId="2"/>
    <tableColumn id="22" xr3:uid="{69BE676D-ED23-4307-AD16-1FC08631304A}" uniqueName="22" name="Đơn giá CL Diezel" queryTableFieldId="23" dataDxfId="1"/>
    <tableColumn id="23" xr3:uid="{9080ACEA-6BD9-4BBF-B52D-A6CCE9FA5A13}" uniqueName="23" name="Đơn giá vận chuyển" queryTableFieldId="24" dataDxfId="0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BL_VC" displayName="TBL_VC" ref="A1:P327" totalsRowShown="0" headerRowDxfId="92" dataDxfId="91" totalsRowDxfId="90">
  <autoFilter ref="A1:P327" xr:uid="{00000000-0009-0000-0100-000001000000}"/>
  <sortState xmlns:xlrd2="http://schemas.microsoft.com/office/spreadsheetml/2017/richdata2" ref="A2:P327">
    <sortCondition ref="B1:B327"/>
  </sortState>
  <tableColumns count="16">
    <tableColumn id="1" xr3:uid="{00000000-0010-0000-0200-000001000000}" name="Stt" dataDxfId="89" totalsRowDxfId="88"/>
    <tableColumn id="2" xr3:uid="{00000000-0010-0000-0200-000002000000}" name="Số_x000a_ phiếu" dataDxfId="87" totalsRowDxfId="86"/>
    <tableColumn id="3" xr3:uid="{00000000-0010-0000-0200-000003000000}" name="Ngày cân 1" dataDxfId="85" totalsRowDxfId="84"/>
    <tableColumn id="4" xr3:uid="{00000000-0010-0000-0200-000004000000}" name="Giờ cân 1" dataDxfId="83" totalsRowDxfId="82"/>
    <tableColumn id="5" xr3:uid="{00000000-0010-0000-0200-000005000000}" name="Ngày cân 2" dataDxfId="81" totalsRowDxfId="80"/>
    <tableColumn id="6" xr3:uid="{00000000-0010-0000-0200-000006000000}" name="Giờ cân 2" dataDxfId="79" totalsRowDxfId="78"/>
    <tableColumn id="7" xr3:uid="{00000000-0010-0000-0200-000007000000}" name="Biển số 1" dataDxfId="77" totalsRowDxfId="76"/>
    <tableColumn id="8" xr3:uid="{00000000-0010-0000-0200-000008000000}" name="Cân lần 1" dataDxfId="75" totalsRowDxfId="74"/>
    <tableColumn id="9" xr3:uid="{00000000-0010-0000-0200-000009000000}" name="Cân lần 2" dataDxfId="73" totalsRowDxfId="72"/>
    <tableColumn id="10" xr3:uid="{00000000-0010-0000-0200-00000A000000}" name="KL hàng (KG)" dataDxfId="71" totalsRowDxfId="70"/>
    <tableColumn id="11" xr3:uid="{00000000-0010-0000-0200-00000B000000}" name="Nguồn gốc" dataDxfId="69" totalsRowDxfId="68"/>
    <tableColumn id="12" xr3:uid="{00000000-0010-0000-0200-00000C000000}" name="Khách hàng" dataDxfId="67" totalsRowDxfId="66"/>
    <tableColumn id="13" xr3:uid="{00000000-0010-0000-0200-00000D000000}" name="LDĐ" dataDxfId="65" totalsRowDxfId="64"/>
    <tableColumn id="14" xr3:uid="{00000000-0010-0000-0200-00000E000000}" name="Kiểu cân" dataDxfId="63" totalsRowDxfId="62"/>
    <tableColumn id="15" xr3:uid="{00000000-0010-0000-0200-00000F000000}" name="Mã cự ly VC" dataDxfId="61" totalsRowDxfId="60"/>
    <tableColumn id="16" xr3:uid="{00000000-0010-0000-0200-000010000000}" name="Đơn vị VC" dataDxfId="59" totalsRowDxfId="5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BL_GIAONHANDAU" displayName="TBL_GIAONHANDAU" ref="A2:H21" totalsRowCount="1" headerRowDxfId="57" dataDxfId="56" totalsRowDxfId="55">
  <autoFilter ref="A2:H20" xr:uid="{00000000-0009-0000-0100-000002000000}"/>
  <sortState xmlns:xlrd2="http://schemas.microsoft.com/office/spreadsheetml/2017/richdata2" ref="A3:H15">
    <sortCondition ref="A2:A15"/>
  </sortState>
  <tableColumns count="8">
    <tableColumn id="1" xr3:uid="{00000000-0010-0000-0300-000001000000}" name="Ngày nhận dầu" dataDxfId="17" totalsRowDxfId="25"/>
    <tableColumn id="7" xr3:uid="{00000000-0010-0000-0300-000007000000}" name="Mã cự ly VC" dataDxfId="54" totalsRowDxfId="24"/>
    <tableColumn id="2" xr3:uid="{00000000-0010-0000-0300-000002000000}" name="Biển số xe" dataDxfId="53" totalsRowDxfId="23"/>
    <tableColumn id="3" xr3:uid="{00000000-0010-0000-0300-000003000000}" name="ĐVT" dataDxfId="52" totalsRowDxfId="22"/>
    <tableColumn id="4" xr3:uid="{00000000-0010-0000-0300-000004000000}" name="Số lượng (lít)" dataDxfId="51" totalsRowDxfId="21" dataCellStyle="Comma" totalsRowCellStyle="Comma"/>
    <tableColumn id="5" xr3:uid="{00000000-0010-0000-0300-000005000000}" name="Đơn giá dầu" dataDxfId="50" totalsRowDxfId="20"/>
    <tableColumn id="6" xr3:uid="{00000000-0010-0000-0300-000006000000}" name="Ngày mua dầu" dataDxfId="49" totalsRowDxfId="19"/>
    <tableColumn id="8" xr3:uid="{00000000-0010-0000-0300-000008000000}" name="Đơn vị" dataDxfId="48" totalsRow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1" displayName="Table1" ref="A6:Q69" totalsRowShown="0" headerRowDxfId="47" dataDxfId="46" tableBorderDxfId="45">
  <autoFilter ref="A6:Q69" xr:uid="{00000000-0009-0000-0100-000004000000}"/>
  <tableColumns count="17">
    <tableColumn id="1" xr3:uid="{00000000-0010-0000-0100-000001000000}" name="Stt" dataDxfId="44"/>
    <tableColumn id="2" xr3:uid="{00000000-0010-0000-0100-000002000000}" name="Số_x000a_ phiếu" dataDxfId="43"/>
    <tableColumn id="3" xr3:uid="{00000000-0010-0000-0100-000003000000}" name="Ngày cân 1" dataDxfId="42"/>
    <tableColumn id="4" xr3:uid="{00000000-0010-0000-0100-000004000000}" name="Giờ cân 1" dataDxfId="41"/>
    <tableColumn id="5" xr3:uid="{00000000-0010-0000-0100-000005000000}" name="Ngày cân 2" dataDxfId="40"/>
    <tableColumn id="6" xr3:uid="{00000000-0010-0000-0100-000006000000}" name="Giờ cân 2" dataDxfId="39"/>
    <tableColumn id="7" xr3:uid="{00000000-0010-0000-0100-000007000000}" name="Biển số 1" dataDxfId="38"/>
    <tableColumn id="8" xr3:uid="{00000000-0010-0000-0100-000008000000}" name="Cân lần 1" dataDxfId="37"/>
    <tableColumn id="9" xr3:uid="{00000000-0010-0000-0100-000009000000}" name="Cân lần 2" dataDxfId="36"/>
    <tableColumn id="10" xr3:uid="{00000000-0010-0000-0100-00000A000000}" name="KL hàng (KG)" dataDxfId="35"/>
    <tableColumn id="11" xr3:uid="{00000000-0010-0000-0100-00000B000000}" name="Nguồn gốc" dataDxfId="34"/>
    <tableColumn id="12" xr3:uid="{00000000-0010-0000-0100-00000C000000}" name="Khách hàng" dataDxfId="33"/>
    <tableColumn id="13" xr3:uid="{00000000-0010-0000-0100-00000D000000}" name="LĐĐ" dataDxfId="32"/>
    <tableColumn id="14" xr3:uid="{00000000-0010-0000-0100-00000E000000}" name="Kiểu cân" dataDxfId="31"/>
    <tableColumn id="15" xr3:uid="{00000000-0010-0000-0100-00000F000000}" name="Cty VC" dataDxfId="30" dataCellStyle="Comma"/>
    <tableColumn id="17" xr3:uid="{00000000-0010-0000-0100-000011000000}" name="Số HĐVC" dataDxfId="29" dataCellStyle="Comma"/>
    <tableColumn id="16" xr3:uid="{00000000-0010-0000-0100-000010000000}" name="Column1" dataDxfId="28" dataCellStyle="Comma">
      <calculatedColumnFormula>+J7/1000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6D80E-01EC-4A50-9D91-D17757C25E5A}">
  <sheetPr>
    <tabColor rgb="FFFF0000"/>
  </sheetPr>
  <dimension ref="A1:IT34"/>
  <sheetViews>
    <sheetView workbookViewId="0">
      <selection activeCell="G32" sqref="G30:G32"/>
    </sheetView>
  </sheetViews>
  <sheetFormatPr defaultRowHeight="15.75" x14ac:dyDescent="0.25"/>
  <cols>
    <col min="1" max="1" width="5.6640625" style="60" customWidth="1"/>
    <col min="2" max="2" width="10.6640625" style="60" customWidth="1"/>
    <col min="3" max="3" width="9.21875" style="96" customWidth="1"/>
    <col min="4" max="4" width="11.109375" style="58" customWidth="1"/>
    <col min="5" max="5" width="11" style="58" customWidth="1"/>
    <col min="6" max="6" width="10.109375" style="58" customWidth="1"/>
    <col min="7" max="7" width="13.5546875" style="58" customWidth="1"/>
    <col min="8" max="8" width="11.5546875" style="58" customWidth="1"/>
    <col min="9" max="9" width="18.44140625" style="58" customWidth="1"/>
    <col min="10" max="10" width="7.21875" style="60" hidden="1" customWidth="1"/>
    <col min="11" max="11" width="12.5546875" style="60" customWidth="1"/>
    <col min="12" max="12" width="10.109375" style="60" bestFit="1" customWidth="1"/>
    <col min="13" max="253" width="8.88671875" style="60"/>
    <col min="254" max="254" width="8.88671875" style="61"/>
    <col min="255" max="255" width="5.6640625" style="61" customWidth="1"/>
    <col min="256" max="256" width="10.6640625" style="61" customWidth="1"/>
    <col min="257" max="257" width="9.21875" style="61" customWidth="1"/>
    <col min="258" max="258" width="11.109375" style="61" customWidth="1"/>
    <col min="259" max="259" width="11" style="61" customWidth="1"/>
    <col min="260" max="260" width="10.109375" style="61" customWidth="1"/>
    <col min="261" max="261" width="13.5546875" style="61" customWidth="1"/>
    <col min="262" max="262" width="11.5546875" style="61" customWidth="1"/>
    <col min="263" max="263" width="10.88671875" style="61" customWidth="1"/>
    <col min="264" max="264" width="7.21875" style="61" customWidth="1"/>
    <col min="265" max="510" width="8.88671875" style="61"/>
    <col min="511" max="511" width="5.6640625" style="61" customWidth="1"/>
    <col min="512" max="512" width="10.6640625" style="61" customWidth="1"/>
    <col min="513" max="513" width="9.21875" style="61" customWidth="1"/>
    <col min="514" max="514" width="11.109375" style="61" customWidth="1"/>
    <col min="515" max="515" width="11" style="61" customWidth="1"/>
    <col min="516" max="516" width="10.109375" style="61" customWidth="1"/>
    <col min="517" max="517" width="13.5546875" style="61" customWidth="1"/>
    <col min="518" max="518" width="11.5546875" style="61" customWidth="1"/>
    <col min="519" max="519" width="10.88671875" style="61" customWidth="1"/>
    <col min="520" max="520" width="7.21875" style="61" customWidth="1"/>
    <col min="521" max="766" width="8.88671875" style="61"/>
    <col min="767" max="767" width="5.6640625" style="61" customWidth="1"/>
    <col min="768" max="768" width="10.6640625" style="61" customWidth="1"/>
    <col min="769" max="769" width="9.21875" style="61" customWidth="1"/>
    <col min="770" max="770" width="11.109375" style="61" customWidth="1"/>
    <col min="771" max="771" width="11" style="61" customWidth="1"/>
    <col min="772" max="772" width="10.109375" style="61" customWidth="1"/>
    <col min="773" max="773" width="13.5546875" style="61" customWidth="1"/>
    <col min="774" max="774" width="11.5546875" style="61" customWidth="1"/>
    <col min="775" max="775" width="10.88671875" style="61" customWidth="1"/>
    <col min="776" max="776" width="7.21875" style="61" customWidth="1"/>
    <col min="777" max="1022" width="8.88671875" style="61"/>
    <col min="1023" max="1023" width="5.6640625" style="61" customWidth="1"/>
    <col min="1024" max="1024" width="10.6640625" style="61" customWidth="1"/>
    <col min="1025" max="1025" width="9.21875" style="61" customWidth="1"/>
    <col min="1026" max="1026" width="11.109375" style="61" customWidth="1"/>
    <col min="1027" max="1027" width="11" style="61" customWidth="1"/>
    <col min="1028" max="1028" width="10.109375" style="61" customWidth="1"/>
    <col min="1029" max="1029" width="13.5546875" style="61" customWidth="1"/>
    <col min="1030" max="1030" width="11.5546875" style="61" customWidth="1"/>
    <col min="1031" max="1031" width="10.88671875" style="61" customWidth="1"/>
    <col min="1032" max="1032" width="7.21875" style="61" customWidth="1"/>
    <col min="1033" max="1278" width="8.88671875" style="61"/>
    <col min="1279" max="1279" width="5.6640625" style="61" customWidth="1"/>
    <col min="1280" max="1280" width="10.6640625" style="61" customWidth="1"/>
    <col min="1281" max="1281" width="9.21875" style="61" customWidth="1"/>
    <col min="1282" max="1282" width="11.109375" style="61" customWidth="1"/>
    <col min="1283" max="1283" width="11" style="61" customWidth="1"/>
    <col min="1284" max="1284" width="10.109375" style="61" customWidth="1"/>
    <col min="1285" max="1285" width="13.5546875" style="61" customWidth="1"/>
    <col min="1286" max="1286" width="11.5546875" style="61" customWidth="1"/>
    <col min="1287" max="1287" width="10.88671875" style="61" customWidth="1"/>
    <col min="1288" max="1288" width="7.21875" style="61" customWidth="1"/>
    <col min="1289" max="1534" width="8.88671875" style="61"/>
    <col min="1535" max="1535" width="5.6640625" style="61" customWidth="1"/>
    <col min="1536" max="1536" width="10.6640625" style="61" customWidth="1"/>
    <col min="1537" max="1537" width="9.21875" style="61" customWidth="1"/>
    <col min="1538" max="1538" width="11.109375" style="61" customWidth="1"/>
    <col min="1539" max="1539" width="11" style="61" customWidth="1"/>
    <col min="1540" max="1540" width="10.109375" style="61" customWidth="1"/>
    <col min="1541" max="1541" width="13.5546875" style="61" customWidth="1"/>
    <col min="1542" max="1542" width="11.5546875" style="61" customWidth="1"/>
    <col min="1543" max="1543" width="10.88671875" style="61" customWidth="1"/>
    <col min="1544" max="1544" width="7.21875" style="61" customWidth="1"/>
    <col min="1545" max="1790" width="8.88671875" style="61"/>
    <col min="1791" max="1791" width="5.6640625" style="61" customWidth="1"/>
    <col min="1792" max="1792" width="10.6640625" style="61" customWidth="1"/>
    <col min="1793" max="1793" width="9.21875" style="61" customWidth="1"/>
    <col min="1794" max="1794" width="11.109375" style="61" customWidth="1"/>
    <col min="1795" max="1795" width="11" style="61" customWidth="1"/>
    <col min="1796" max="1796" width="10.109375" style="61" customWidth="1"/>
    <col min="1797" max="1797" width="13.5546875" style="61" customWidth="1"/>
    <col min="1798" max="1798" width="11.5546875" style="61" customWidth="1"/>
    <col min="1799" max="1799" width="10.88671875" style="61" customWidth="1"/>
    <col min="1800" max="1800" width="7.21875" style="61" customWidth="1"/>
    <col min="1801" max="2046" width="8.88671875" style="61"/>
    <col min="2047" max="2047" width="5.6640625" style="61" customWidth="1"/>
    <col min="2048" max="2048" width="10.6640625" style="61" customWidth="1"/>
    <col min="2049" max="2049" width="9.21875" style="61" customWidth="1"/>
    <col min="2050" max="2050" width="11.109375" style="61" customWidth="1"/>
    <col min="2051" max="2051" width="11" style="61" customWidth="1"/>
    <col min="2052" max="2052" width="10.109375" style="61" customWidth="1"/>
    <col min="2053" max="2053" width="13.5546875" style="61" customWidth="1"/>
    <col min="2054" max="2054" width="11.5546875" style="61" customWidth="1"/>
    <col min="2055" max="2055" width="10.88671875" style="61" customWidth="1"/>
    <col min="2056" max="2056" width="7.21875" style="61" customWidth="1"/>
    <col min="2057" max="2302" width="8.88671875" style="61"/>
    <col min="2303" max="2303" width="5.6640625" style="61" customWidth="1"/>
    <col min="2304" max="2304" width="10.6640625" style="61" customWidth="1"/>
    <col min="2305" max="2305" width="9.21875" style="61" customWidth="1"/>
    <col min="2306" max="2306" width="11.109375" style="61" customWidth="1"/>
    <col min="2307" max="2307" width="11" style="61" customWidth="1"/>
    <col min="2308" max="2308" width="10.109375" style="61" customWidth="1"/>
    <col min="2309" max="2309" width="13.5546875" style="61" customWidth="1"/>
    <col min="2310" max="2310" width="11.5546875" style="61" customWidth="1"/>
    <col min="2311" max="2311" width="10.88671875" style="61" customWidth="1"/>
    <col min="2312" max="2312" width="7.21875" style="61" customWidth="1"/>
    <col min="2313" max="2558" width="8.88671875" style="61"/>
    <col min="2559" max="2559" width="5.6640625" style="61" customWidth="1"/>
    <col min="2560" max="2560" width="10.6640625" style="61" customWidth="1"/>
    <col min="2561" max="2561" width="9.21875" style="61" customWidth="1"/>
    <col min="2562" max="2562" width="11.109375" style="61" customWidth="1"/>
    <col min="2563" max="2563" width="11" style="61" customWidth="1"/>
    <col min="2564" max="2564" width="10.109375" style="61" customWidth="1"/>
    <col min="2565" max="2565" width="13.5546875" style="61" customWidth="1"/>
    <col min="2566" max="2566" width="11.5546875" style="61" customWidth="1"/>
    <col min="2567" max="2567" width="10.88671875" style="61" customWidth="1"/>
    <col min="2568" max="2568" width="7.21875" style="61" customWidth="1"/>
    <col min="2569" max="2814" width="8.88671875" style="61"/>
    <col min="2815" max="2815" width="5.6640625" style="61" customWidth="1"/>
    <col min="2816" max="2816" width="10.6640625" style="61" customWidth="1"/>
    <col min="2817" max="2817" width="9.21875" style="61" customWidth="1"/>
    <col min="2818" max="2818" width="11.109375" style="61" customWidth="1"/>
    <col min="2819" max="2819" width="11" style="61" customWidth="1"/>
    <col min="2820" max="2820" width="10.109375" style="61" customWidth="1"/>
    <col min="2821" max="2821" width="13.5546875" style="61" customWidth="1"/>
    <col min="2822" max="2822" width="11.5546875" style="61" customWidth="1"/>
    <col min="2823" max="2823" width="10.88671875" style="61" customWidth="1"/>
    <col min="2824" max="2824" width="7.21875" style="61" customWidth="1"/>
    <col min="2825" max="3070" width="8.88671875" style="61"/>
    <col min="3071" max="3071" width="5.6640625" style="61" customWidth="1"/>
    <col min="3072" max="3072" width="10.6640625" style="61" customWidth="1"/>
    <col min="3073" max="3073" width="9.21875" style="61" customWidth="1"/>
    <col min="3074" max="3074" width="11.109375" style="61" customWidth="1"/>
    <col min="3075" max="3075" width="11" style="61" customWidth="1"/>
    <col min="3076" max="3076" width="10.109375" style="61" customWidth="1"/>
    <col min="3077" max="3077" width="13.5546875" style="61" customWidth="1"/>
    <col min="3078" max="3078" width="11.5546875" style="61" customWidth="1"/>
    <col min="3079" max="3079" width="10.88671875" style="61" customWidth="1"/>
    <col min="3080" max="3080" width="7.21875" style="61" customWidth="1"/>
    <col min="3081" max="3326" width="8.88671875" style="61"/>
    <col min="3327" max="3327" width="5.6640625" style="61" customWidth="1"/>
    <col min="3328" max="3328" width="10.6640625" style="61" customWidth="1"/>
    <col min="3329" max="3329" width="9.21875" style="61" customWidth="1"/>
    <col min="3330" max="3330" width="11.109375" style="61" customWidth="1"/>
    <col min="3331" max="3331" width="11" style="61" customWidth="1"/>
    <col min="3332" max="3332" width="10.109375" style="61" customWidth="1"/>
    <col min="3333" max="3333" width="13.5546875" style="61" customWidth="1"/>
    <col min="3334" max="3334" width="11.5546875" style="61" customWidth="1"/>
    <col min="3335" max="3335" width="10.88671875" style="61" customWidth="1"/>
    <col min="3336" max="3336" width="7.21875" style="61" customWidth="1"/>
    <col min="3337" max="3582" width="8.88671875" style="61"/>
    <col min="3583" max="3583" width="5.6640625" style="61" customWidth="1"/>
    <col min="3584" max="3584" width="10.6640625" style="61" customWidth="1"/>
    <col min="3585" max="3585" width="9.21875" style="61" customWidth="1"/>
    <col min="3586" max="3586" width="11.109375" style="61" customWidth="1"/>
    <col min="3587" max="3587" width="11" style="61" customWidth="1"/>
    <col min="3588" max="3588" width="10.109375" style="61" customWidth="1"/>
    <col min="3589" max="3589" width="13.5546875" style="61" customWidth="1"/>
    <col min="3590" max="3590" width="11.5546875" style="61" customWidth="1"/>
    <col min="3591" max="3591" width="10.88671875" style="61" customWidth="1"/>
    <col min="3592" max="3592" width="7.21875" style="61" customWidth="1"/>
    <col min="3593" max="3838" width="8.88671875" style="61"/>
    <col min="3839" max="3839" width="5.6640625" style="61" customWidth="1"/>
    <col min="3840" max="3840" width="10.6640625" style="61" customWidth="1"/>
    <col min="3841" max="3841" width="9.21875" style="61" customWidth="1"/>
    <col min="3842" max="3842" width="11.109375" style="61" customWidth="1"/>
    <col min="3843" max="3843" width="11" style="61" customWidth="1"/>
    <col min="3844" max="3844" width="10.109375" style="61" customWidth="1"/>
    <col min="3845" max="3845" width="13.5546875" style="61" customWidth="1"/>
    <col min="3846" max="3846" width="11.5546875" style="61" customWidth="1"/>
    <col min="3847" max="3847" width="10.88671875" style="61" customWidth="1"/>
    <col min="3848" max="3848" width="7.21875" style="61" customWidth="1"/>
    <col min="3849" max="4094" width="8.88671875" style="61"/>
    <col min="4095" max="4095" width="5.6640625" style="61" customWidth="1"/>
    <col min="4096" max="4096" width="10.6640625" style="61" customWidth="1"/>
    <col min="4097" max="4097" width="9.21875" style="61" customWidth="1"/>
    <col min="4098" max="4098" width="11.109375" style="61" customWidth="1"/>
    <col min="4099" max="4099" width="11" style="61" customWidth="1"/>
    <col min="4100" max="4100" width="10.109375" style="61" customWidth="1"/>
    <col min="4101" max="4101" width="13.5546875" style="61" customWidth="1"/>
    <col min="4102" max="4102" width="11.5546875" style="61" customWidth="1"/>
    <col min="4103" max="4103" width="10.88671875" style="61" customWidth="1"/>
    <col min="4104" max="4104" width="7.21875" style="61" customWidth="1"/>
    <col min="4105" max="4350" width="8.88671875" style="61"/>
    <col min="4351" max="4351" width="5.6640625" style="61" customWidth="1"/>
    <col min="4352" max="4352" width="10.6640625" style="61" customWidth="1"/>
    <col min="4353" max="4353" width="9.21875" style="61" customWidth="1"/>
    <col min="4354" max="4354" width="11.109375" style="61" customWidth="1"/>
    <col min="4355" max="4355" width="11" style="61" customWidth="1"/>
    <col min="4356" max="4356" width="10.109375" style="61" customWidth="1"/>
    <col min="4357" max="4357" width="13.5546875" style="61" customWidth="1"/>
    <col min="4358" max="4358" width="11.5546875" style="61" customWidth="1"/>
    <col min="4359" max="4359" width="10.88671875" style="61" customWidth="1"/>
    <col min="4360" max="4360" width="7.21875" style="61" customWidth="1"/>
    <col min="4361" max="4606" width="8.88671875" style="61"/>
    <col min="4607" max="4607" width="5.6640625" style="61" customWidth="1"/>
    <col min="4608" max="4608" width="10.6640625" style="61" customWidth="1"/>
    <col min="4609" max="4609" width="9.21875" style="61" customWidth="1"/>
    <col min="4610" max="4610" width="11.109375" style="61" customWidth="1"/>
    <col min="4611" max="4611" width="11" style="61" customWidth="1"/>
    <col min="4612" max="4612" width="10.109375" style="61" customWidth="1"/>
    <col min="4613" max="4613" width="13.5546875" style="61" customWidth="1"/>
    <col min="4614" max="4614" width="11.5546875" style="61" customWidth="1"/>
    <col min="4615" max="4615" width="10.88671875" style="61" customWidth="1"/>
    <col min="4616" max="4616" width="7.21875" style="61" customWidth="1"/>
    <col min="4617" max="4862" width="8.88671875" style="61"/>
    <col min="4863" max="4863" width="5.6640625" style="61" customWidth="1"/>
    <col min="4864" max="4864" width="10.6640625" style="61" customWidth="1"/>
    <col min="4865" max="4865" width="9.21875" style="61" customWidth="1"/>
    <col min="4866" max="4866" width="11.109375" style="61" customWidth="1"/>
    <col min="4867" max="4867" width="11" style="61" customWidth="1"/>
    <col min="4868" max="4868" width="10.109375" style="61" customWidth="1"/>
    <col min="4869" max="4869" width="13.5546875" style="61" customWidth="1"/>
    <col min="4870" max="4870" width="11.5546875" style="61" customWidth="1"/>
    <col min="4871" max="4871" width="10.88671875" style="61" customWidth="1"/>
    <col min="4872" max="4872" width="7.21875" style="61" customWidth="1"/>
    <col min="4873" max="5118" width="8.88671875" style="61"/>
    <col min="5119" max="5119" width="5.6640625" style="61" customWidth="1"/>
    <col min="5120" max="5120" width="10.6640625" style="61" customWidth="1"/>
    <col min="5121" max="5121" width="9.21875" style="61" customWidth="1"/>
    <col min="5122" max="5122" width="11.109375" style="61" customWidth="1"/>
    <col min="5123" max="5123" width="11" style="61" customWidth="1"/>
    <col min="5124" max="5124" width="10.109375" style="61" customWidth="1"/>
    <col min="5125" max="5125" width="13.5546875" style="61" customWidth="1"/>
    <col min="5126" max="5126" width="11.5546875" style="61" customWidth="1"/>
    <col min="5127" max="5127" width="10.88671875" style="61" customWidth="1"/>
    <col min="5128" max="5128" width="7.21875" style="61" customWidth="1"/>
    <col min="5129" max="5374" width="8.88671875" style="61"/>
    <col min="5375" max="5375" width="5.6640625" style="61" customWidth="1"/>
    <col min="5376" max="5376" width="10.6640625" style="61" customWidth="1"/>
    <col min="5377" max="5377" width="9.21875" style="61" customWidth="1"/>
    <col min="5378" max="5378" width="11.109375" style="61" customWidth="1"/>
    <col min="5379" max="5379" width="11" style="61" customWidth="1"/>
    <col min="5380" max="5380" width="10.109375" style="61" customWidth="1"/>
    <col min="5381" max="5381" width="13.5546875" style="61" customWidth="1"/>
    <col min="5382" max="5382" width="11.5546875" style="61" customWidth="1"/>
    <col min="5383" max="5383" width="10.88671875" style="61" customWidth="1"/>
    <col min="5384" max="5384" width="7.21875" style="61" customWidth="1"/>
    <col min="5385" max="5630" width="8.88671875" style="61"/>
    <col min="5631" max="5631" width="5.6640625" style="61" customWidth="1"/>
    <col min="5632" max="5632" width="10.6640625" style="61" customWidth="1"/>
    <col min="5633" max="5633" width="9.21875" style="61" customWidth="1"/>
    <col min="5634" max="5634" width="11.109375" style="61" customWidth="1"/>
    <col min="5635" max="5635" width="11" style="61" customWidth="1"/>
    <col min="5636" max="5636" width="10.109375" style="61" customWidth="1"/>
    <col min="5637" max="5637" width="13.5546875" style="61" customWidth="1"/>
    <col min="5638" max="5638" width="11.5546875" style="61" customWidth="1"/>
    <col min="5639" max="5639" width="10.88671875" style="61" customWidth="1"/>
    <col min="5640" max="5640" width="7.21875" style="61" customWidth="1"/>
    <col min="5641" max="5886" width="8.88671875" style="61"/>
    <col min="5887" max="5887" width="5.6640625" style="61" customWidth="1"/>
    <col min="5888" max="5888" width="10.6640625" style="61" customWidth="1"/>
    <col min="5889" max="5889" width="9.21875" style="61" customWidth="1"/>
    <col min="5890" max="5890" width="11.109375" style="61" customWidth="1"/>
    <col min="5891" max="5891" width="11" style="61" customWidth="1"/>
    <col min="5892" max="5892" width="10.109375" style="61" customWidth="1"/>
    <col min="5893" max="5893" width="13.5546875" style="61" customWidth="1"/>
    <col min="5894" max="5894" width="11.5546875" style="61" customWidth="1"/>
    <col min="5895" max="5895" width="10.88671875" style="61" customWidth="1"/>
    <col min="5896" max="5896" width="7.21875" style="61" customWidth="1"/>
    <col min="5897" max="6142" width="8.88671875" style="61"/>
    <col min="6143" max="6143" width="5.6640625" style="61" customWidth="1"/>
    <col min="6144" max="6144" width="10.6640625" style="61" customWidth="1"/>
    <col min="6145" max="6145" width="9.21875" style="61" customWidth="1"/>
    <col min="6146" max="6146" width="11.109375" style="61" customWidth="1"/>
    <col min="6147" max="6147" width="11" style="61" customWidth="1"/>
    <col min="6148" max="6148" width="10.109375" style="61" customWidth="1"/>
    <col min="6149" max="6149" width="13.5546875" style="61" customWidth="1"/>
    <col min="6150" max="6150" width="11.5546875" style="61" customWidth="1"/>
    <col min="6151" max="6151" width="10.88671875" style="61" customWidth="1"/>
    <col min="6152" max="6152" width="7.21875" style="61" customWidth="1"/>
    <col min="6153" max="6398" width="8.88671875" style="61"/>
    <col min="6399" max="6399" width="5.6640625" style="61" customWidth="1"/>
    <col min="6400" max="6400" width="10.6640625" style="61" customWidth="1"/>
    <col min="6401" max="6401" width="9.21875" style="61" customWidth="1"/>
    <col min="6402" max="6402" width="11.109375" style="61" customWidth="1"/>
    <col min="6403" max="6403" width="11" style="61" customWidth="1"/>
    <col min="6404" max="6404" width="10.109375" style="61" customWidth="1"/>
    <col min="6405" max="6405" width="13.5546875" style="61" customWidth="1"/>
    <col min="6406" max="6406" width="11.5546875" style="61" customWidth="1"/>
    <col min="6407" max="6407" width="10.88671875" style="61" customWidth="1"/>
    <col min="6408" max="6408" width="7.21875" style="61" customWidth="1"/>
    <col min="6409" max="6654" width="8.88671875" style="61"/>
    <col min="6655" max="6655" width="5.6640625" style="61" customWidth="1"/>
    <col min="6656" max="6656" width="10.6640625" style="61" customWidth="1"/>
    <col min="6657" max="6657" width="9.21875" style="61" customWidth="1"/>
    <col min="6658" max="6658" width="11.109375" style="61" customWidth="1"/>
    <col min="6659" max="6659" width="11" style="61" customWidth="1"/>
    <col min="6660" max="6660" width="10.109375" style="61" customWidth="1"/>
    <col min="6661" max="6661" width="13.5546875" style="61" customWidth="1"/>
    <col min="6662" max="6662" width="11.5546875" style="61" customWidth="1"/>
    <col min="6663" max="6663" width="10.88671875" style="61" customWidth="1"/>
    <col min="6664" max="6664" width="7.21875" style="61" customWidth="1"/>
    <col min="6665" max="6910" width="8.88671875" style="61"/>
    <col min="6911" max="6911" width="5.6640625" style="61" customWidth="1"/>
    <col min="6912" max="6912" width="10.6640625" style="61" customWidth="1"/>
    <col min="6913" max="6913" width="9.21875" style="61" customWidth="1"/>
    <col min="6914" max="6914" width="11.109375" style="61" customWidth="1"/>
    <col min="6915" max="6915" width="11" style="61" customWidth="1"/>
    <col min="6916" max="6916" width="10.109375" style="61" customWidth="1"/>
    <col min="6917" max="6917" width="13.5546875" style="61" customWidth="1"/>
    <col min="6918" max="6918" width="11.5546875" style="61" customWidth="1"/>
    <col min="6919" max="6919" width="10.88671875" style="61" customWidth="1"/>
    <col min="6920" max="6920" width="7.21875" style="61" customWidth="1"/>
    <col min="6921" max="7166" width="8.88671875" style="61"/>
    <col min="7167" max="7167" width="5.6640625" style="61" customWidth="1"/>
    <col min="7168" max="7168" width="10.6640625" style="61" customWidth="1"/>
    <col min="7169" max="7169" width="9.21875" style="61" customWidth="1"/>
    <col min="7170" max="7170" width="11.109375" style="61" customWidth="1"/>
    <col min="7171" max="7171" width="11" style="61" customWidth="1"/>
    <col min="7172" max="7172" width="10.109375" style="61" customWidth="1"/>
    <col min="7173" max="7173" width="13.5546875" style="61" customWidth="1"/>
    <col min="7174" max="7174" width="11.5546875" style="61" customWidth="1"/>
    <col min="7175" max="7175" width="10.88671875" style="61" customWidth="1"/>
    <col min="7176" max="7176" width="7.21875" style="61" customWidth="1"/>
    <col min="7177" max="7422" width="8.88671875" style="61"/>
    <col min="7423" max="7423" width="5.6640625" style="61" customWidth="1"/>
    <col min="7424" max="7424" width="10.6640625" style="61" customWidth="1"/>
    <col min="7425" max="7425" width="9.21875" style="61" customWidth="1"/>
    <col min="7426" max="7426" width="11.109375" style="61" customWidth="1"/>
    <col min="7427" max="7427" width="11" style="61" customWidth="1"/>
    <col min="7428" max="7428" width="10.109375" style="61" customWidth="1"/>
    <col min="7429" max="7429" width="13.5546875" style="61" customWidth="1"/>
    <col min="7430" max="7430" width="11.5546875" style="61" customWidth="1"/>
    <col min="7431" max="7431" width="10.88671875" style="61" customWidth="1"/>
    <col min="7432" max="7432" width="7.21875" style="61" customWidth="1"/>
    <col min="7433" max="7678" width="8.88671875" style="61"/>
    <col min="7679" max="7679" width="5.6640625" style="61" customWidth="1"/>
    <col min="7680" max="7680" width="10.6640625" style="61" customWidth="1"/>
    <col min="7681" max="7681" width="9.21875" style="61" customWidth="1"/>
    <col min="7682" max="7682" width="11.109375" style="61" customWidth="1"/>
    <col min="7683" max="7683" width="11" style="61" customWidth="1"/>
    <col min="7684" max="7684" width="10.109375" style="61" customWidth="1"/>
    <col min="7685" max="7685" width="13.5546875" style="61" customWidth="1"/>
    <col min="7686" max="7686" width="11.5546875" style="61" customWidth="1"/>
    <col min="7687" max="7687" width="10.88671875" style="61" customWidth="1"/>
    <col min="7688" max="7688" width="7.21875" style="61" customWidth="1"/>
    <col min="7689" max="7934" width="8.88671875" style="61"/>
    <col min="7935" max="7935" width="5.6640625" style="61" customWidth="1"/>
    <col min="7936" max="7936" width="10.6640625" style="61" customWidth="1"/>
    <col min="7937" max="7937" width="9.21875" style="61" customWidth="1"/>
    <col min="7938" max="7938" width="11.109375" style="61" customWidth="1"/>
    <col min="7939" max="7939" width="11" style="61" customWidth="1"/>
    <col min="7940" max="7940" width="10.109375" style="61" customWidth="1"/>
    <col min="7941" max="7941" width="13.5546875" style="61" customWidth="1"/>
    <col min="7942" max="7942" width="11.5546875" style="61" customWidth="1"/>
    <col min="7943" max="7943" width="10.88671875" style="61" customWidth="1"/>
    <col min="7944" max="7944" width="7.21875" style="61" customWidth="1"/>
    <col min="7945" max="8190" width="8.88671875" style="61"/>
    <col min="8191" max="8191" width="5.6640625" style="61" customWidth="1"/>
    <col min="8192" max="8192" width="10.6640625" style="61" customWidth="1"/>
    <col min="8193" max="8193" width="9.21875" style="61" customWidth="1"/>
    <col min="8194" max="8194" width="11.109375" style="61" customWidth="1"/>
    <col min="8195" max="8195" width="11" style="61" customWidth="1"/>
    <col min="8196" max="8196" width="10.109375" style="61" customWidth="1"/>
    <col min="8197" max="8197" width="13.5546875" style="61" customWidth="1"/>
    <col min="8198" max="8198" width="11.5546875" style="61" customWidth="1"/>
    <col min="8199" max="8199" width="10.88671875" style="61" customWidth="1"/>
    <col min="8200" max="8200" width="7.21875" style="61" customWidth="1"/>
    <col min="8201" max="8446" width="8.88671875" style="61"/>
    <col min="8447" max="8447" width="5.6640625" style="61" customWidth="1"/>
    <col min="8448" max="8448" width="10.6640625" style="61" customWidth="1"/>
    <col min="8449" max="8449" width="9.21875" style="61" customWidth="1"/>
    <col min="8450" max="8450" width="11.109375" style="61" customWidth="1"/>
    <col min="8451" max="8451" width="11" style="61" customWidth="1"/>
    <col min="8452" max="8452" width="10.109375" style="61" customWidth="1"/>
    <col min="8453" max="8453" width="13.5546875" style="61" customWidth="1"/>
    <col min="8454" max="8454" width="11.5546875" style="61" customWidth="1"/>
    <col min="8455" max="8455" width="10.88671875" style="61" customWidth="1"/>
    <col min="8456" max="8456" width="7.21875" style="61" customWidth="1"/>
    <col min="8457" max="8702" width="8.88671875" style="61"/>
    <col min="8703" max="8703" width="5.6640625" style="61" customWidth="1"/>
    <col min="8704" max="8704" width="10.6640625" style="61" customWidth="1"/>
    <col min="8705" max="8705" width="9.21875" style="61" customWidth="1"/>
    <col min="8706" max="8706" width="11.109375" style="61" customWidth="1"/>
    <col min="8707" max="8707" width="11" style="61" customWidth="1"/>
    <col min="8708" max="8708" width="10.109375" style="61" customWidth="1"/>
    <col min="8709" max="8709" width="13.5546875" style="61" customWidth="1"/>
    <col min="8710" max="8710" width="11.5546875" style="61" customWidth="1"/>
    <col min="8711" max="8711" width="10.88671875" style="61" customWidth="1"/>
    <col min="8712" max="8712" width="7.21875" style="61" customWidth="1"/>
    <col min="8713" max="8958" width="8.88671875" style="61"/>
    <col min="8959" max="8959" width="5.6640625" style="61" customWidth="1"/>
    <col min="8960" max="8960" width="10.6640625" style="61" customWidth="1"/>
    <col min="8961" max="8961" width="9.21875" style="61" customWidth="1"/>
    <col min="8962" max="8962" width="11.109375" style="61" customWidth="1"/>
    <col min="8963" max="8963" width="11" style="61" customWidth="1"/>
    <col min="8964" max="8964" width="10.109375" style="61" customWidth="1"/>
    <col min="8965" max="8965" width="13.5546875" style="61" customWidth="1"/>
    <col min="8966" max="8966" width="11.5546875" style="61" customWidth="1"/>
    <col min="8967" max="8967" width="10.88671875" style="61" customWidth="1"/>
    <col min="8968" max="8968" width="7.21875" style="61" customWidth="1"/>
    <col min="8969" max="9214" width="8.88671875" style="61"/>
    <col min="9215" max="9215" width="5.6640625" style="61" customWidth="1"/>
    <col min="9216" max="9216" width="10.6640625" style="61" customWidth="1"/>
    <col min="9217" max="9217" width="9.21875" style="61" customWidth="1"/>
    <col min="9218" max="9218" width="11.109375" style="61" customWidth="1"/>
    <col min="9219" max="9219" width="11" style="61" customWidth="1"/>
    <col min="9220" max="9220" width="10.109375" style="61" customWidth="1"/>
    <col min="9221" max="9221" width="13.5546875" style="61" customWidth="1"/>
    <col min="9222" max="9222" width="11.5546875" style="61" customWidth="1"/>
    <col min="9223" max="9223" width="10.88671875" style="61" customWidth="1"/>
    <col min="9224" max="9224" width="7.21875" style="61" customWidth="1"/>
    <col min="9225" max="9470" width="8.88671875" style="61"/>
    <col min="9471" max="9471" width="5.6640625" style="61" customWidth="1"/>
    <col min="9472" max="9472" width="10.6640625" style="61" customWidth="1"/>
    <col min="9473" max="9473" width="9.21875" style="61" customWidth="1"/>
    <col min="9474" max="9474" width="11.109375" style="61" customWidth="1"/>
    <col min="9475" max="9475" width="11" style="61" customWidth="1"/>
    <col min="9476" max="9476" width="10.109375" style="61" customWidth="1"/>
    <col min="9477" max="9477" width="13.5546875" style="61" customWidth="1"/>
    <col min="9478" max="9478" width="11.5546875" style="61" customWidth="1"/>
    <col min="9479" max="9479" width="10.88671875" style="61" customWidth="1"/>
    <col min="9480" max="9480" width="7.21875" style="61" customWidth="1"/>
    <col min="9481" max="9726" width="8.88671875" style="61"/>
    <col min="9727" max="9727" width="5.6640625" style="61" customWidth="1"/>
    <col min="9728" max="9728" width="10.6640625" style="61" customWidth="1"/>
    <col min="9729" max="9729" width="9.21875" style="61" customWidth="1"/>
    <col min="9730" max="9730" width="11.109375" style="61" customWidth="1"/>
    <col min="9731" max="9731" width="11" style="61" customWidth="1"/>
    <col min="9732" max="9732" width="10.109375" style="61" customWidth="1"/>
    <col min="9733" max="9733" width="13.5546875" style="61" customWidth="1"/>
    <col min="9734" max="9734" width="11.5546875" style="61" customWidth="1"/>
    <col min="9735" max="9735" width="10.88671875" style="61" customWidth="1"/>
    <col min="9736" max="9736" width="7.21875" style="61" customWidth="1"/>
    <col min="9737" max="9982" width="8.88671875" style="61"/>
    <col min="9983" max="9983" width="5.6640625" style="61" customWidth="1"/>
    <col min="9984" max="9984" width="10.6640625" style="61" customWidth="1"/>
    <col min="9985" max="9985" width="9.21875" style="61" customWidth="1"/>
    <col min="9986" max="9986" width="11.109375" style="61" customWidth="1"/>
    <col min="9987" max="9987" width="11" style="61" customWidth="1"/>
    <col min="9988" max="9988" width="10.109375" style="61" customWidth="1"/>
    <col min="9989" max="9989" width="13.5546875" style="61" customWidth="1"/>
    <col min="9990" max="9990" width="11.5546875" style="61" customWidth="1"/>
    <col min="9991" max="9991" width="10.88671875" style="61" customWidth="1"/>
    <col min="9992" max="9992" width="7.21875" style="61" customWidth="1"/>
    <col min="9993" max="10238" width="8.88671875" style="61"/>
    <col min="10239" max="10239" width="5.6640625" style="61" customWidth="1"/>
    <col min="10240" max="10240" width="10.6640625" style="61" customWidth="1"/>
    <col min="10241" max="10241" width="9.21875" style="61" customWidth="1"/>
    <col min="10242" max="10242" width="11.109375" style="61" customWidth="1"/>
    <col min="10243" max="10243" width="11" style="61" customWidth="1"/>
    <col min="10244" max="10244" width="10.109375" style="61" customWidth="1"/>
    <col min="10245" max="10245" width="13.5546875" style="61" customWidth="1"/>
    <col min="10246" max="10246" width="11.5546875" style="61" customWidth="1"/>
    <col min="10247" max="10247" width="10.88671875" style="61" customWidth="1"/>
    <col min="10248" max="10248" width="7.21875" style="61" customWidth="1"/>
    <col min="10249" max="10494" width="8.88671875" style="61"/>
    <col min="10495" max="10495" width="5.6640625" style="61" customWidth="1"/>
    <col min="10496" max="10496" width="10.6640625" style="61" customWidth="1"/>
    <col min="10497" max="10497" width="9.21875" style="61" customWidth="1"/>
    <col min="10498" max="10498" width="11.109375" style="61" customWidth="1"/>
    <col min="10499" max="10499" width="11" style="61" customWidth="1"/>
    <col min="10500" max="10500" width="10.109375" style="61" customWidth="1"/>
    <col min="10501" max="10501" width="13.5546875" style="61" customWidth="1"/>
    <col min="10502" max="10502" width="11.5546875" style="61" customWidth="1"/>
    <col min="10503" max="10503" width="10.88671875" style="61" customWidth="1"/>
    <col min="10504" max="10504" width="7.21875" style="61" customWidth="1"/>
    <col min="10505" max="10750" width="8.88671875" style="61"/>
    <col min="10751" max="10751" width="5.6640625" style="61" customWidth="1"/>
    <col min="10752" max="10752" width="10.6640625" style="61" customWidth="1"/>
    <col min="10753" max="10753" width="9.21875" style="61" customWidth="1"/>
    <col min="10754" max="10754" width="11.109375" style="61" customWidth="1"/>
    <col min="10755" max="10755" width="11" style="61" customWidth="1"/>
    <col min="10756" max="10756" width="10.109375" style="61" customWidth="1"/>
    <col min="10757" max="10757" width="13.5546875" style="61" customWidth="1"/>
    <col min="10758" max="10758" width="11.5546875" style="61" customWidth="1"/>
    <col min="10759" max="10759" width="10.88671875" style="61" customWidth="1"/>
    <col min="10760" max="10760" width="7.21875" style="61" customWidth="1"/>
    <col min="10761" max="11006" width="8.88671875" style="61"/>
    <col min="11007" max="11007" width="5.6640625" style="61" customWidth="1"/>
    <col min="11008" max="11008" width="10.6640625" style="61" customWidth="1"/>
    <col min="11009" max="11009" width="9.21875" style="61" customWidth="1"/>
    <col min="11010" max="11010" width="11.109375" style="61" customWidth="1"/>
    <col min="11011" max="11011" width="11" style="61" customWidth="1"/>
    <col min="11012" max="11012" width="10.109375" style="61" customWidth="1"/>
    <col min="11013" max="11013" width="13.5546875" style="61" customWidth="1"/>
    <col min="11014" max="11014" width="11.5546875" style="61" customWidth="1"/>
    <col min="11015" max="11015" width="10.88671875" style="61" customWidth="1"/>
    <col min="11016" max="11016" width="7.21875" style="61" customWidth="1"/>
    <col min="11017" max="11262" width="8.88671875" style="61"/>
    <col min="11263" max="11263" width="5.6640625" style="61" customWidth="1"/>
    <col min="11264" max="11264" width="10.6640625" style="61" customWidth="1"/>
    <col min="11265" max="11265" width="9.21875" style="61" customWidth="1"/>
    <col min="11266" max="11266" width="11.109375" style="61" customWidth="1"/>
    <col min="11267" max="11267" width="11" style="61" customWidth="1"/>
    <col min="11268" max="11268" width="10.109375" style="61" customWidth="1"/>
    <col min="11269" max="11269" width="13.5546875" style="61" customWidth="1"/>
    <col min="11270" max="11270" width="11.5546875" style="61" customWidth="1"/>
    <col min="11271" max="11271" width="10.88671875" style="61" customWidth="1"/>
    <col min="11272" max="11272" width="7.21875" style="61" customWidth="1"/>
    <col min="11273" max="11518" width="8.88671875" style="61"/>
    <col min="11519" max="11519" width="5.6640625" style="61" customWidth="1"/>
    <col min="11520" max="11520" width="10.6640625" style="61" customWidth="1"/>
    <col min="11521" max="11521" width="9.21875" style="61" customWidth="1"/>
    <col min="11522" max="11522" width="11.109375" style="61" customWidth="1"/>
    <col min="11523" max="11523" width="11" style="61" customWidth="1"/>
    <col min="11524" max="11524" width="10.109375" style="61" customWidth="1"/>
    <col min="11525" max="11525" width="13.5546875" style="61" customWidth="1"/>
    <col min="11526" max="11526" width="11.5546875" style="61" customWidth="1"/>
    <col min="11527" max="11527" width="10.88671875" style="61" customWidth="1"/>
    <col min="11528" max="11528" width="7.21875" style="61" customWidth="1"/>
    <col min="11529" max="11774" width="8.88671875" style="61"/>
    <col min="11775" max="11775" width="5.6640625" style="61" customWidth="1"/>
    <col min="11776" max="11776" width="10.6640625" style="61" customWidth="1"/>
    <col min="11777" max="11777" width="9.21875" style="61" customWidth="1"/>
    <col min="11778" max="11778" width="11.109375" style="61" customWidth="1"/>
    <col min="11779" max="11779" width="11" style="61" customWidth="1"/>
    <col min="11780" max="11780" width="10.109375" style="61" customWidth="1"/>
    <col min="11781" max="11781" width="13.5546875" style="61" customWidth="1"/>
    <col min="11782" max="11782" width="11.5546875" style="61" customWidth="1"/>
    <col min="11783" max="11783" width="10.88671875" style="61" customWidth="1"/>
    <col min="11784" max="11784" width="7.21875" style="61" customWidth="1"/>
    <col min="11785" max="12030" width="8.88671875" style="61"/>
    <col min="12031" max="12031" width="5.6640625" style="61" customWidth="1"/>
    <col min="12032" max="12032" width="10.6640625" style="61" customWidth="1"/>
    <col min="12033" max="12033" width="9.21875" style="61" customWidth="1"/>
    <col min="12034" max="12034" width="11.109375" style="61" customWidth="1"/>
    <col min="12035" max="12035" width="11" style="61" customWidth="1"/>
    <col min="12036" max="12036" width="10.109375" style="61" customWidth="1"/>
    <col min="12037" max="12037" width="13.5546875" style="61" customWidth="1"/>
    <col min="12038" max="12038" width="11.5546875" style="61" customWidth="1"/>
    <col min="12039" max="12039" width="10.88671875" style="61" customWidth="1"/>
    <col min="12040" max="12040" width="7.21875" style="61" customWidth="1"/>
    <col min="12041" max="12286" width="8.88671875" style="61"/>
    <col min="12287" max="12287" width="5.6640625" style="61" customWidth="1"/>
    <col min="12288" max="12288" width="10.6640625" style="61" customWidth="1"/>
    <col min="12289" max="12289" width="9.21875" style="61" customWidth="1"/>
    <col min="12290" max="12290" width="11.109375" style="61" customWidth="1"/>
    <col min="12291" max="12291" width="11" style="61" customWidth="1"/>
    <col min="12292" max="12292" width="10.109375" style="61" customWidth="1"/>
    <col min="12293" max="12293" width="13.5546875" style="61" customWidth="1"/>
    <col min="12294" max="12294" width="11.5546875" style="61" customWidth="1"/>
    <col min="12295" max="12295" width="10.88671875" style="61" customWidth="1"/>
    <col min="12296" max="12296" width="7.21875" style="61" customWidth="1"/>
    <col min="12297" max="12542" width="8.88671875" style="61"/>
    <col min="12543" max="12543" width="5.6640625" style="61" customWidth="1"/>
    <col min="12544" max="12544" width="10.6640625" style="61" customWidth="1"/>
    <col min="12545" max="12545" width="9.21875" style="61" customWidth="1"/>
    <col min="12546" max="12546" width="11.109375" style="61" customWidth="1"/>
    <col min="12547" max="12547" width="11" style="61" customWidth="1"/>
    <col min="12548" max="12548" width="10.109375" style="61" customWidth="1"/>
    <col min="12549" max="12549" width="13.5546875" style="61" customWidth="1"/>
    <col min="12550" max="12550" width="11.5546875" style="61" customWidth="1"/>
    <col min="12551" max="12551" width="10.88671875" style="61" customWidth="1"/>
    <col min="12552" max="12552" width="7.21875" style="61" customWidth="1"/>
    <col min="12553" max="12798" width="8.88671875" style="61"/>
    <col min="12799" max="12799" width="5.6640625" style="61" customWidth="1"/>
    <col min="12800" max="12800" width="10.6640625" style="61" customWidth="1"/>
    <col min="12801" max="12801" width="9.21875" style="61" customWidth="1"/>
    <col min="12802" max="12802" width="11.109375" style="61" customWidth="1"/>
    <col min="12803" max="12803" width="11" style="61" customWidth="1"/>
    <col min="12804" max="12804" width="10.109375" style="61" customWidth="1"/>
    <col min="12805" max="12805" width="13.5546875" style="61" customWidth="1"/>
    <col min="12806" max="12806" width="11.5546875" style="61" customWidth="1"/>
    <col min="12807" max="12807" width="10.88671875" style="61" customWidth="1"/>
    <col min="12808" max="12808" width="7.21875" style="61" customWidth="1"/>
    <col min="12809" max="13054" width="8.88671875" style="61"/>
    <col min="13055" max="13055" width="5.6640625" style="61" customWidth="1"/>
    <col min="13056" max="13056" width="10.6640625" style="61" customWidth="1"/>
    <col min="13057" max="13057" width="9.21875" style="61" customWidth="1"/>
    <col min="13058" max="13058" width="11.109375" style="61" customWidth="1"/>
    <col min="13059" max="13059" width="11" style="61" customWidth="1"/>
    <col min="13060" max="13060" width="10.109375" style="61" customWidth="1"/>
    <col min="13061" max="13061" width="13.5546875" style="61" customWidth="1"/>
    <col min="13062" max="13062" width="11.5546875" style="61" customWidth="1"/>
    <col min="13063" max="13063" width="10.88671875" style="61" customWidth="1"/>
    <col min="13064" max="13064" width="7.21875" style="61" customWidth="1"/>
    <col min="13065" max="13310" width="8.88671875" style="61"/>
    <col min="13311" max="13311" width="5.6640625" style="61" customWidth="1"/>
    <col min="13312" max="13312" width="10.6640625" style="61" customWidth="1"/>
    <col min="13313" max="13313" width="9.21875" style="61" customWidth="1"/>
    <col min="13314" max="13314" width="11.109375" style="61" customWidth="1"/>
    <col min="13315" max="13315" width="11" style="61" customWidth="1"/>
    <col min="13316" max="13316" width="10.109375" style="61" customWidth="1"/>
    <col min="13317" max="13317" width="13.5546875" style="61" customWidth="1"/>
    <col min="13318" max="13318" width="11.5546875" style="61" customWidth="1"/>
    <col min="13319" max="13319" width="10.88671875" style="61" customWidth="1"/>
    <col min="13320" max="13320" width="7.21875" style="61" customWidth="1"/>
    <col min="13321" max="13566" width="8.88671875" style="61"/>
    <col min="13567" max="13567" width="5.6640625" style="61" customWidth="1"/>
    <col min="13568" max="13568" width="10.6640625" style="61" customWidth="1"/>
    <col min="13569" max="13569" width="9.21875" style="61" customWidth="1"/>
    <col min="13570" max="13570" width="11.109375" style="61" customWidth="1"/>
    <col min="13571" max="13571" width="11" style="61" customWidth="1"/>
    <col min="13572" max="13572" width="10.109375" style="61" customWidth="1"/>
    <col min="13573" max="13573" width="13.5546875" style="61" customWidth="1"/>
    <col min="13574" max="13574" width="11.5546875" style="61" customWidth="1"/>
    <col min="13575" max="13575" width="10.88671875" style="61" customWidth="1"/>
    <col min="13576" max="13576" width="7.21875" style="61" customWidth="1"/>
    <col min="13577" max="13822" width="8.88671875" style="61"/>
    <col min="13823" max="13823" width="5.6640625" style="61" customWidth="1"/>
    <col min="13824" max="13824" width="10.6640625" style="61" customWidth="1"/>
    <col min="13825" max="13825" width="9.21875" style="61" customWidth="1"/>
    <col min="13826" max="13826" width="11.109375" style="61" customWidth="1"/>
    <col min="13827" max="13827" width="11" style="61" customWidth="1"/>
    <col min="13828" max="13828" width="10.109375" style="61" customWidth="1"/>
    <col min="13829" max="13829" width="13.5546875" style="61" customWidth="1"/>
    <col min="13830" max="13830" width="11.5546875" style="61" customWidth="1"/>
    <col min="13831" max="13831" width="10.88671875" style="61" customWidth="1"/>
    <col min="13832" max="13832" width="7.21875" style="61" customWidth="1"/>
    <col min="13833" max="14078" width="8.88671875" style="61"/>
    <col min="14079" max="14079" width="5.6640625" style="61" customWidth="1"/>
    <col min="14080" max="14080" width="10.6640625" style="61" customWidth="1"/>
    <col min="14081" max="14081" width="9.21875" style="61" customWidth="1"/>
    <col min="14082" max="14082" width="11.109375" style="61" customWidth="1"/>
    <col min="14083" max="14083" width="11" style="61" customWidth="1"/>
    <col min="14084" max="14084" width="10.109375" style="61" customWidth="1"/>
    <col min="14085" max="14085" width="13.5546875" style="61" customWidth="1"/>
    <col min="14086" max="14086" width="11.5546875" style="61" customWidth="1"/>
    <col min="14087" max="14087" width="10.88671875" style="61" customWidth="1"/>
    <col min="14088" max="14088" width="7.21875" style="61" customWidth="1"/>
    <col min="14089" max="14334" width="8.88671875" style="61"/>
    <col min="14335" max="14335" width="5.6640625" style="61" customWidth="1"/>
    <col min="14336" max="14336" width="10.6640625" style="61" customWidth="1"/>
    <col min="14337" max="14337" width="9.21875" style="61" customWidth="1"/>
    <col min="14338" max="14338" width="11.109375" style="61" customWidth="1"/>
    <col min="14339" max="14339" width="11" style="61" customWidth="1"/>
    <col min="14340" max="14340" width="10.109375" style="61" customWidth="1"/>
    <col min="14341" max="14341" width="13.5546875" style="61" customWidth="1"/>
    <col min="14342" max="14342" width="11.5546875" style="61" customWidth="1"/>
    <col min="14343" max="14343" width="10.88671875" style="61" customWidth="1"/>
    <col min="14344" max="14344" width="7.21875" style="61" customWidth="1"/>
    <col min="14345" max="14590" width="8.88671875" style="61"/>
    <col min="14591" max="14591" width="5.6640625" style="61" customWidth="1"/>
    <col min="14592" max="14592" width="10.6640625" style="61" customWidth="1"/>
    <col min="14593" max="14593" width="9.21875" style="61" customWidth="1"/>
    <col min="14594" max="14594" width="11.109375" style="61" customWidth="1"/>
    <col min="14595" max="14595" width="11" style="61" customWidth="1"/>
    <col min="14596" max="14596" width="10.109375" style="61" customWidth="1"/>
    <col min="14597" max="14597" width="13.5546875" style="61" customWidth="1"/>
    <col min="14598" max="14598" width="11.5546875" style="61" customWidth="1"/>
    <col min="14599" max="14599" width="10.88671875" style="61" customWidth="1"/>
    <col min="14600" max="14600" width="7.21875" style="61" customWidth="1"/>
    <col min="14601" max="14846" width="8.88671875" style="61"/>
    <col min="14847" max="14847" width="5.6640625" style="61" customWidth="1"/>
    <col min="14848" max="14848" width="10.6640625" style="61" customWidth="1"/>
    <col min="14849" max="14849" width="9.21875" style="61" customWidth="1"/>
    <col min="14850" max="14850" width="11.109375" style="61" customWidth="1"/>
    <col min="14851" max="14851" width="11" style="61" customWidth="1"/>
    <col min="14852" max="14852" width="10.109375" style="61" customWidth="1"/>
    <col min="14853" max="14853" width="13.5546875" style="61" customWidth="1"/>
    <col min="14854" max="14854" width="11.5546875" style="61" customWidth="1"/>
    <col min="14855" max="14855" width="10.88671875" style="61" customWidth="1"/>
    <col min="14856" max="14856" width="7.21875" style="61" customWidth="1"/>
    <col min="14857" max="15102" width="8.88671875" style="61"/>
    <col min="15103" max="15103" width="5.6640625" style="61" customWidth="1"/>
    <col min="15104" max="15104" width="10.6640625" style="61" customWidth="1"/>
    <col min="15105" max="15105" width="9.21875" style="61" customWidth="1"/>
    <col min="15106" max="15106" width="11.109375" style="61" customWidth="1"/>
    <col min="15107" max="15107" width="11" style="61" customWidth="1"/>
    <col min="15108" max="15108" width="10.109375" style="61" customWidth="1"/>
    <col min="15109" max="15109" width="13.5546875" style="61" customWidth="1"/>
    <col min="15110" max="15110" width="11.5546875" style="61" customWidth="1"/>
    <col min="15111" max="15111" width="10.88671875" style="61" customWidth="1"/>
    <col min="15112" max="15112" width="7.21875" style="61" customWidth="1"/>
    <col min="15113" max="15358" width="8.88671875" style="61"/>
    <col min="15359" max="15359" width="5.6640625" style="61" customWidth="1"/>
    <col min="15360" max="15360" width="10.6640625" style="61" customWidth="1"/>
    <col min="15361" max="15361" width="9.21875" style="61" customWidth="1"/>
    <col min="15362" max="15362" width="11.109375" style="61" customWidth="1"/>
    <col min="15363" max="15363" width="11" style="61" customWidth="1"/>
    <col min="15364" max="15364" width="10.109375" style="61" customWidth="1"/>
    <col min="15365" max="15365" width="13.5546875" style="61" customWidth="1"/>
    <col min="15366" max="15366" width="11.5546875" style="61" customWidth="1"/>
    <col min="15367" max="15367" width="10.88671875" style="61" customWidth="1"/>
    <col min="15368" max="15368" width="7.21875" style="61" customWidth="1"/>
    <col min="15369" max="15614" width="8.88671875" style="61"/>
    <col min="15615" max="15615" width="5.6640625" style="61" customWidth="1"/>
    <col min="15616" max="15616" width="10.6640625" style="61" customWidth="1"/>
    <col min="15617" max="15617" width="9.21875" style="61" customWidth="1"/>
    <col min="15618" max="15618" width="11.109375" style="61" customWidth="1"/>
    <col min="15619" max="15619" width="11" style="61" customWidth="1"/>
    <col min="15620" max="15620" width="10.109375" style="61" customWidth="1"/>
    <col min="15621" max="15621" width="13.5546875" style="61" customWidth="1"/>
    <col min="15622" max="15622" width="11.5546875" style="61" customWidth="1"/>
    <col min="15623" max="15623" width="10.88671875" style="61" customWidth="1"/>
    <col min="15624" max="15624" width="7.21875" style="61" customWidth="1"/>
    <col min="15625" max="15870" width="8.88671875" style="61"/>
    <col min="15871" max="15871" width="5.6640625" style="61" customWidth="1"/>
    <col min="15872" max="15872" width="10.6640625" style="61" customWidth="1"/>
    <col min="15873" max="15873" width="9.21875" style="61" customWidth="1"/>
    <col min="15874" max="15874" width="11.109375" style="61" customWidth="1"/>
    <col min="15875" max="15875" width="11" style="61" customWidth="1"/>
    <col min="15876" max="15876" width="10.109375" style="61" customWidth="1"/>
    <col min="15877" max="15877" width="13.5546875" style="61" customWidth="1"/>
    <col min="15878" max="15878" width="11.5546875" style="61" customWidth="1"/>
    <col min="15879" max="15879" width="10.88671875" style="61" customWidth="1"/>
    <col min="15880" max="15880" width="7.21875" style="61" customWidth="1"/>
    <col min="15881" max="16126" width="8.88671875" style="61"/>
    <col min="16127" max="16127" width="5.6640625" style="61" customWidth="1"/>
    <col min="16128" max="16128" width="10.6640625" style="61" customWidth="1"/>
    <col min="16129" max="16129" width="9.21875" style="61" customWidth="1"/>
    <col min="16130" max="16130" width="11.109375" style="61" customWidth="1"/>
    <col min="16131" max="16131" width="11" style="61" customWidth="1"/>
    <col min="16132" max="16132" width="10.109375" style="61" customWidth="1"/>
    <col min="16133" max="16133" width="13.5546875" style="61" customWidth="1"/>
    <col min="16134" max="16134" width="11.5546875" style="61" customWidth="1"/>
    <col min="16135" max="16135" width="10.88671875" style="61" customWidth="1"/>
    <col min="16136" max="16136" width="7.21875" style="61" customWidth="1"/>
    <col min="16137" max="16384" width="8.88671875" style="61"/>
  </cols>
  <sheetData>
    <row r="1" spans="1:254" x14ac:dyDescent="0.25">
      <c r="A1" s="54" t="s">
        <v>312</v>
      </c>
      <c r="B1" s="55"/>
      <c r="C1" s="56"/>
      <c r="D1" s="57"/>
      <c r="E1" s="57"/>
      <c r="G1" s="59"/>
      <c r="H1" s="59"/>
      <c r="I1" s="59"/>
    </row>
    <row r="2" spans="1:254" x14ac:dyDescent="0.25">
      <c r="A2" s="54" t="s">
        <v>313</v>
      </c>
      <c r="B2" s="55"/>
      <c r="C2" s="56"/>
      <c r="D2" s="57"/>
      <c r="E2" s="57"/>
      <c r="G2" s="59"/>
      <c r="H2" s="59"/>
      <c r="I2" s="59"/>
    </row>
    <row r="3" spans="1:254" x14ac:dyDescent="0.25">
      <c r="A3" s="55"/>
      <c r="B3" s="55"/>
      <c r="C3" s="56"/>
      <c r="D3" s="57"/>
      <c r="E3" s="57"/>
      <c r="G3" s="59"/>
      <c r="H3" s="59"/>
      <c r="I3" s="59"/>
    </row>
    <row r="4" spans="1:254" x14ac:dyDescent="0.25">
      <c r="A4" s="293" t="s">
        <v>314</v>
      </c>
      <c r="B4" s="293"/>
      <c r="C4" s="293"/>
      <c r="D4" s="293"/>
      <c r="E4" s="293"/>
      <c r="F4" s="293"/>
      <c r="G4" s="293"/>
      <c r="H4" s="293"/>
      <c r="I4" s="293"/>
      <c r="J4" s="293"/>
    </row>
    <row r="5" spans="1:254" x14ac:dyDescent="0.25">
      <c r="A5" s="294" t="s">
        <v>332</v>
      </c>
      <c r="B5" s="294"/>
      <c r="C5" s="294"/>
      <c r="D5" s="294"/>
      <c r="E5" s="294"/>
      <c r="F5" s="294"/>
      <c r="G5" s="294"/>
      <c r="H5" s="294"/>
      <c r="I5" s="294"/>
      <c r="J5" s="294"/>
    </row>
    <row r="6" spans="1:254" ht="31.5" x14ac:dyDescent="0.25">
      <c r="A6" s="62" t="s">
        <v>34</v>
      </c>
      <c r="B6" s="62" t="s">
        <v>22</v>
      </c>
      <c r="C6" s="63" t="s">
        <v>27</v>
      </c>
      <c r="D6" s="63" t="s">
        <v>315</v>
      </c>
      <c r="E6" s="63" t="s">
        <v>316</v>
      </c>
      <c r="F6" s="62" t="s">
        <v>284</v>
      </c>
      <c r="G6" s="64" t="s">
        <v>317</v>
      </c>
      <c r="H6" s="64" t="s">
        <v>318</v>
      </c>
      <c r="I6" s="64" t="s">
        <v>317</v>
      </c>
      <c r="J6" s="63" t="s">
        <v>319</v>
      </c>
    </row>
    <row r="7" spans="1:254" s="72" customFormat="1" ht="19.5" customHeight="1" x14ac:dyDescent="0.3">
      <c r="A7" s="65">
        <v>1</v>
      </c>
      <c r="B7" s="65" t="s">
        <v>55</v>
      </c>
      <c r="C7" s="65">
        <v>9</v>
      </c>
      <c r="D7" s="66">
        <v>158720</v>
      </c>
      <c r="E7" s="97">
        <f>+D7/1000</f>
        <v>158.72</v>
      </c>
      <c r="F7" s="66">
        <v>148645</v>
      </c>
      <c r="G7" s="66">
        <f>+E7*F7</f>
        <v>23592934.399999999</v>
      </c>
      <c r="H7" s="66">
        <v>1887435</v>
      </c>
      <c r="I7" s="66">
        <f>+G7+H7</f>
        <v>25480369.399999999</v>
      </c>
      <c r="J7" s="63"/>
      <c r="K7" s="98"/>
      <c r="L7" s="67"/>
      <c r="M7" s="68"/>
      <c r="N7" s="69"/>
      <c r="O7" s="70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1"/>
      <c r="CK7" s="71"/>
      <c r="CL7" s="71"/>
      <c r="CM7" s="71"/>
      <c r="CN7" s="71"/>
      <c r="CO7" s="71"/>
      <c r="CP7" s="71"/>
      <c r="CQ7" s="71"/>
      <c r="CR7" s="71"/>
      <c r="CS7" s="71"/>
      <c r="CT7" s="71"/>
      <c r="CU7" s="71"/>
      <c r="CV7" s="71"/>
      <c r="CW7" s="71"/>
      <c r="CX7" s="71"/>
      <c r="CY7" s="71"/>
      <c r="CZ7" s="71"/>
      <c r="DA7" s="71"/>
      <c r="DB7" s="71"/>
      <c r="DC7" s="71"/>
      <c r="DD7" s="71"/>
      <c r="DE7" s="71"/>
      <c r="DF7" s="71"/>
      <c r="DG7" s="71"/>
      <c r="DH7" s="71"/>
      <c r="DI7" s="71"/>
      <c r="DJ7" s="71"/>
      <c r="DK7" s="71"/>
      <c r="DL7" s="71"/>
      <c r="DM7" s="71"/>
      <c r="DN7" s="71"/>
      <c r="DO7" s="71"/>
      <c r="DP7" s="71"/>
      <c r="DQ7" s="71"/>
      <c r="DR7" s="71"/>
      <c r="DS7" s="71"/>
      <c r="DT7" s="71"/>
      <c r="DU7" s="71"/>
      <c r="DV7" s="71"/>
      <c r="DW7" s="71"/>
      <c r="DX7" s="71"/>
      <c r="DY7" s="71"/>
      <c r="DZ7" s="71"/>
      <c r="EA7" s="71"/>
      <c r="EB7" s="71"/>
      <c r="EC7" s="71"/>
      <c r="ED7" s="71"/>
      <c r="EE7" s="71"/>
      <c r="EF7" s="71"/>
      <c r="EG7" s="71"/>
      <c r="EH7" s="71"/>
      <c r="EI7" s="71"/>
      <c r="EJ7" s="71"/>
      <c r="EK7" s="71"/>
      <c r="EL7" s="71"/>
      <c r="EM7" s="71"/>
      <c r="EN7" s="71"/>
      <c r="EO7" s="71"/>
      <c r="EP7" s="71"/>
      <c r="EQ7" s="71"/>
      <c r="ER7" s="71"/>
      <c r="ES7" s="71"/>
      <c r="ET7" s="71"/>
      <c r="EU7" s="71"/>
      <c r="EV7" s="71"/>
      <c r="EW7" s="71"/>
      <c r="EX7" s="71"/>
      <c r="EY7" s="71"/>
      <c r="EZ7" s="71"/>
      <c r="FA7" s="71"/>
      <c r="FB7" s="71"/>
      <c r="FC7" s="71"/>
      <c r="FD7" s="71"/>
      <c r="FE7" s="71"/>
      <c r="FF7" s="71"/>
      <c r="FG7" s="71"/>
      <c r="FH7" s="71"/>
      <c r="FI7" s="71"/>
      <c r="FJ7" s="71"/>
      <c r="FK7" s="71"/>
      <c r="FL7" s="71"/>
      <c r="FM7" s="71"/>
      <c r="FN7" s="71"/>
      <c r="FO7" s="71"/>
      <c r="FP7" s="71"/>
      <c r="FQ7" s="71"/>
      <c r="FR7" s="71"/>
      <c r="FS7" s="71"/>
      <c r="FT7" s="71"/>
      <c r="FU7" s="71"/>
      <c r="FV7" s="71"/>
      <c r="FW7" s="71"/>
      <c r="FX7" s="71"/>
      <c r="FY7" s="71"/>
      <c r="FZ7" s="71"/>
      <c r="GA7" s="71"/>
      <c r="GB7" s="71"/>
      <c r="GC7" s="71"/>
      <c r="GD7" s="71"/>
      <c r="GE7" s="71"/>
      <c r="GF7" s="71"/>
      <c r="GG7" s="71"/>
      <c r="GH7" s="71"/>
      <c r="GI7" s="71"/>
      <c r="GJ7" s="71"/>
      <c r="GK7" s="71"/>
      <c r="GL7" s="71"/>
      <c r="GM7" s="71"/>
      <c r="GN7" s="71"/>
      <c r="GO7" s="71"/>
      <c r="GP7" s="71"/>
      <c r="GQ7" s="71"/>
      <c r="GR7" s="71"/>
      <c r="GS7" s="71"/>
      <c r="GT7" s="71"/>
      <c r="GU7" s="71"/>
      <c r="GV7" s="71"/>
      <c r="GW7" s="71"/>
      <c r="GX7" s="71"/>
      <c r="GY7" s="71"/>
      <c r="GZ7" s="71"/>
      <c r="HA7" s="71"/>
      <c r="HB7" s="71"/>
      <c r="HC7" s="71"/>
      <c r="HD7" s="71"/>
      <c r="HE7" s="71"/>
      <c r="HF7" s="71"/>
      <c r="HG7" s="71"/>
      <c r="HH7" s="71"/>
      <c r="HI7" s="71"/>
      <c r="HJ7" s="71"/>
      <c r="HK7" s="71"/>
      <c r="HL7" s="71"/>
      <c r="HM7" s="71"/>
      <c r="HN7" s="71"/>
      <c r="HO7" s="71"/>
      <c r="HP7" s="71"/>
      <c r="HQ7" s="71"/>
      <c r="HR7" s="71"/>
      <c r="HS7" s="71"/>
      <c r="HT7" s="71"/>
      <c r="HU7" s="71"/>
      <c r="HV7" s="71"/>
      <c r="HW7" s="71"/>
      <c r="HX7" s="71"/>
      <c r="HY7" s="71"/>
      <c r="HZ7" s="71"/>
      <c r="IA7" s="71"/>
      <c r="IB7" s="71"/>
      <c r="IC7" s="71"/>
      <c r="ID7" s="71"/>
      <c r="IE7" s="71"/>
      <c r="IF7" s="71"/>
      <c r="IG7" s="71"/>
      <c r="IH7" s="71"/>
      <c r="II7" s="71"/>
      <c r="IJ7" s="71"/>
      <c r="IK7" s="71"/>
      <c r="IL7" s="71"/>
      <c r="IM7" s="71"/>
      <c r="IN7" s="71"/>
      <c r="IO7" s="71"/>
      <c r="IP7" s="71"/>
      <c r="IQ7" s="71"/>
      <c r="IR7" s="71"/>
      <c r="IS7" s="71"/>
    </row>
    <row r="8" spans="1:254" s="72" customFormat="1" ht="19.5" customHeight="1" x14ac:dyDescent="0.3">
      <c r="A8" s="65">
        <v>2</v>
      </c>
      <c r="B8" s="65" t="s">
        <v>143</v>
      </c>
      <c r="C8" s="65">
        <v>1</v>
      </c>
      <c r="D8" s="66">
        <v>18040</v>
      </c>
      <c r="E8" s="97">
        <f>+D8/1000</f>
        <v>18.04</v>
      </c>
      <c r="F8" s="66">
        <v>148645</v>
      </c>
      <c r="G8" s="66">
        <f>+E8*F8</f>
        <v>2681555.7999999998</v>
      </c>
      <c r="H8" s="66">
        <v>214524</v>
      </c>
      <c r="I8" s="66">
        <f>+G8+H8</f>
        <v>2896079.8</v>
      </c>
      <c r="J8" s="63"/>
      <c r="K8" s="98"/>
      <c r="L8" s="67"/>
      <c r="M8" s="68"/>
      <c r="N8" s="69"/>
      <c r="O8" s="70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1"/>
      <c r="CK8" s="71"/>
      <c r="CL8" s="71"/>
      <c r="CM8" s="71"/>
      <c r="CN8" s="71"/>
      <c r="CO8" s="71"/>
      <c r="CP8" s="71"/>
      <c r="CQ8" s="71"/>
      <c r="CR8" s="71"/>
      <c r="CS8" s="71"/>
      <c r="CT8" s="71"/>
      <c r="CU8" s="71"/>
      <c r="CV8" s="71"/>
      <c r="CW8" s="71"/>
      <c r="CX8" s="71"/>
      <c r="CY8" s="71"/>
      <c r="CZ8" s="71"/>
      <c r="DA8" s="71"/>
      <c r="DB8" s="71"/>
      <c r="DC8" s="71"/>
      <c r="DD8" s="71"/>
      <c r="DE8" s="71"/>
      <c r="DF8" s="71"/>
      <c r="DG8" s="71"/>
      <c r="DH8" s="71"/>
      <c r="DI8" s="71"/>
      <c r="DJ8" s="71"/>
      <c r="DK8" s="71"/>
      <c r="DL8" s="71"/>
      <c r="DM8" s="71"/>
      <c r="DN8" s="71"/>
      <c r="DO8" s="71"/>
      <c r="DP8" s="71"/>
      <c r="DQ8" s="71"/>
      <c r="DR8" s="71"/>
      <c r="DS8" s="71"/>
      <c r="DT8" s="71"/>
      <c r="DU8" s="71"/>
      <c r="DV8" s="71"/>
      <c r="DW8" s="71"/>
      <c r="DX8" s="71"/>
      <c r="DY8" s="71"/>
      <c r="DZ8" s="71"/>
      <c r="EA8" s="71"/>
      <c r="EB8" s="71"/>
      <c r="EC8" s="71"/>
      <c r="ED8" s="71"/>
      <c r="EE8" s="71"/>
      <c r="EF8" s="71"/>
      <c r="EG8" s="71"/>
      <c r="EH8" s="71"/>
      <c r="EI8" s="71"/>
      <c r="EJ8" s="71"/>
      <c r="EK8" s="71"/>
      <c r="EL8" s="71"/>
      <c r="EM8" s="71"/>
      <c r="EN8" s="71"/>
      <c r="EO8" s="71"/>
      <c r="EP8" s="71"/>
      <c r="EQ8" s="71"/>
      <c r="ER8" s="71"/>
      <c r="ES8" s="71"/>
      <c r="ET8" s="71"/>
      <c r="EU8" s="71"/>
      <c r="EV8" s="71"/>
      <c r="EW8" s="71"/>
      <c r="EX8" s="71"/>
      <c r="EY8" s="71"/>
      <c r="EZ8" s="71"/>
      <c r="FA8" s="71"/>
      <c r="FB8" s="71"/>
      <c r="FC8" s="71"/>
      <c r="FD8" s="71"/>
      <c r="FE8" s="71"/>
      <c r="FF8" s="71"/>
      <c r="FG8" s="71"/>
      <c r="FH8" s="71"/>
      <c r="FI8" s="71"/>
      <c r="FJ8" s="71"/>
      <c r="FK8" s="71"/>
      <c r="FL8" s="71"/>
      <c r="FM8" s="71"/>
      <c r="FN8" s="71"/>
      <c r="FO8" s="71"/>
      <c r="FP8" s="71"/>
      <c r="FQ8" s="71"/>
      <c r="FR8" s="71"/>
      <c r="FS8" s="71"/>
      <c r="FT8" s="71"/>
      <c r="FU8" s="71"/>
      <c r="FV8" s="71"/>
      <c r="FW8" s="71"/>
      <c r="FX8" s="71"/>
      <c r="FY8" s="71"/>
      <c r="FZ8" s="71"/>
      <c r="GA8" s="71"/>
      <c r="GB8" s="71"/>
      <c r="GC8" s="71"/>
      <c r="GD8" s="71"/>
      <c r="GE8" s="71"/>
      <c r="GF8" s="71"/>
      <c r="GG8" s="71"/>
      <c r="GH8" s="71"/>
      <c r="GI8" s="71"/>
      <c r="GJ8" s="71"/>
      <c r="GK8" s="71"/>
      <c r="GL8" s="71"/>
      <c r="GM8" s="71"/>
      <c r="GN8" s="71"/>
      <c r="GO8" s="71"/>
      <c r="GP8" s="71"/>
      <c r="GQ8" s="71"/>
      <c r="GR8" s="71"/>
      <c r="GS8" s="71"/>
      <c r="GT8" s="71"/>
      <c r="GU8" s="71"/>
      <c r="GV8" s="71"/>
      <c r="GW8" s="71"/>
      <c r="GX8" s="71"/>
      <c r="GY8" s="71"/>
      <c r="GZ8" s="71"/>
      <c r="HA8" s="71"/>
      <c r="HB8" s="71"/>
      <c r="HC8" s="71"/>
      <c r="HD8" s="71"/>
      <c r="HE8" s="71"/>
      <c r="HF8" s="71"/>
      <c r="HG8" s="71"/>
      <c r="HH8" s="71"/>
      <c r="HI8" s="71"/>
      <c r="HJ8" s="71"/>
      <c r="HK8" s="71"/>
      <c r="HL8" s="71"/>
      <c r="HM8" s="71"/>
      <c r="HN8" s="71"/>
      <c r="HO8" s="71"/>
      <c r="HP8" s="71"/>
      <c r="HQ8" s="71"/>
      <c r="HR8" s="71"/>
      <c r="HS8" s="71"/>
      <c r="HT8" s="71"/>
      <c r="HU8" s="71"/>
      <c r="HV8" s="71"/>
      <c r="HW8" s="71"/>
      <c r="HX8" s="71"/>
      <c r="HY8" s="71"/>
      <c r="HZ8" s="71"/>
      <c r="IA8" s="71"/>
      <c r="IB8" s="71"/>
      <c r="IC8" s="71"/>
      <c r="ID8" s="71"/>
      <c r="IE8" s="71"/>
      <c r="IF8" s="71"/>
      <c r="IG8" s="71"/>
      <c r="IH8" s="71"/>
      <c r="II8" s="71"/>
      <c r="IJ8" s="71"/>
      <c r="IK8" s="71"/>
      <c r="IL8" s="71"/>
      <c r="IM8" s="71"/>
      <c r="IN8" s="71"/>
      <c r="IO8" s="71"/>
      <c r="IP8" s="71"/>
      <c r="IQ8" s="71"/>
      <c r="IR8" s="71"/>
      <c r="IS8" s="71"/>
    </row>
    <row r="9" spans="1:254" s="72" customFormat="1" ht="19.5" customHeight="1" x14ac:dyDescent="0.3">
      <c r="A9" s="65">
        <v>3</v>
      </c>
      <c r="B9" s="65" t="s">
        <v>71</v>
      </c>
      <c r="C9" s="65">
        <v>7</v>
      </c>
      <c r="D9" s="66">
        <v>132100</v>
      </c>
      <c r="E9" s="97">
        <f>+D9/1000</f>
        <v>132.1</v>
      </c>
      <c r="F9" s="66">
        <v>148645</v>
      </c>
      <c r="G9" s="66">
        <f>+E9*F9</f>
        <v>19636004.5</v>
      </c>
      <c r="H9" s="66">
        <v>1570880</v>
      </c>
      <c r="I9" s="66">
        <f>+G9+H9</f>
        <v>21206884.5</v>
      </c>
      <c r="J9" s="63"/>
      <c r="K9" s="98"/>
      <c r="L9" s="67"/>
      <c r="M9" s="68"/>
      <c r="N9" s="69"/>
      <c r="O9" s="70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71"/>
      <c r="CW9" s="71"/>
      <c r="CX9" s="71"/>
      <c r="CY9" s="71"/>
      <c r="CZ9" s="71"/>
      <c r="DA9" s="71"/>
      <c r="DB9" s="71"/>
      <c r="DC9" s="71"/>
      <c r="DD9" s="71"/>
      <c r="DE9" s="71"/>
      <c r="DF9" s="71"/>
      <c r="DG9" s="71"/>
      <c r="DH9" s="71"/>
      <c r="DI9" s="71"/>
      <c r="DJ9" s="71"/>
      <c r="DK9" s="71"/>
      <c r="DL9" s="71"/>
      <c r="DM9" s="71"/>
      <c r="DN9" s="71"/>
      <c r="DO9" s="71"/>
      <c r="DP9" s="71"/>
      <c r="DQ9" s="71"/>
      <c r="DR9" s="71"/>
      <c r="DS9" s="71"/>
      <c r="DT9" s="71"/>
      <c r="DU9" s="71"/>
      <c r="DV9" s="71"/>
      <c r="DW9" s="71"/>
      <c r="DX9" s="71"/>
      <c r="DY9" s="71"/>
      <c r="DZ9" s="71"/>
      <c r="EA9" s="71"/>
      <c r="EB9" s="71"/>
      <c r="EC9" s="71"/>
      <c r="ED9" s="71"/>
      <c r="EE9" s="71"/>
      <c r="EF9" s="71"/>
      <c r="EG9" s="71"/>
      <c r="EH9" s="71"/>
      <c r="EI9" s="71"/>
      <c r="EJ9" s="71"/>
      <c r="EK9" s="71"/>
      <c r="EL9" s="71"/>
      <c r="EM9" s="71"/>
      <c r="EN9" s="71"/>
      <c r="EO9" s="71"/>
      <c r="EP9" s="71"/>
      <c r="EQ9" s="71"/>
      <c r="ER9" s="71"/>
      <c r="ES9" s="71"/>
      <c r="ET9" s="71"/>
      <c r="EU9" s="71"/>
      <c r="EV9" s="71"/>
      <c r="EW9" s="71"/>
      <c r="EX9" s="71"/>
      <c r="EY9" s="71"/>
      <c r="EZ9" s="71"/>
      <c r="FA9" s="71"/>
      <c r="FB9" s="71"/>
      <c r="FC9" s="71"/>
      <c r="FD9" s="71"/>
      <c r="FE9" s="71"/>
      <c r="FF9" s="71"/>
      <c r="FG9" s="71"/>
      <c r="FH9" s="71"/>
      <c r="FI9" s="71"/>
      <c r="FJ9" s="71"/>
      <c r="FK9" s="71"/>
      <c r="FL9" s="71"/>
      <c r="FM9" s="71"/>
      <c r="FN9" s="71"/>
      <c r="FO9" s="71"/>
      <c r="FP9" s="71"/>
      <c r="FQ9" s="71"/>
      <c r="FR9" s="71"/>
      <c r="FS9" s="71"/>
      <c r="FT9" s="71"/>
      <c r="FU9" s="71"/>
      <c r="FV9" s="71"/>
      <c r="FW9" s="71"/>
      <c r="FX9" s="71"/>
      <c r="FY9" s="71"/>
      <c r="FZ9" s="71"/>
      <c r="GA9" s="71"/>
      <c r="GB9" s="71"/>
      <c r="GC9" s="71"/>
      <c r="GD9" s="71"/>
      <c r="GE9" s="71"/>
      <c r="GF9" s="71"/>
      <c r="GG9" s="71"/>
      <c r="GH9" s="71"/>
      <c r="GI9" s="71"/>
      <c r="GJ9" s="71"/>
      <c r="GK9" s="71"/>
      <c r="GL9" s="71"/>
      <c r="GM9" s="71"/>
      <c r="GN9" s="71"/>
      <c r="GO9" s="71"/>
      <c r="GP9" s="71"/>
      <c r="GQ9" s="71"/>
      <c r="GR9" s="71"/>
      <c r="GS9" s="71"/>
      <c r="GT9" s="71"/>
      <c r="GU9" s="71"/>
      <c r="GV9" s="71"/>
      <c r="GW9" s="71"/>
      <c r="GX9" s="71"/>
      <c r="GY9" s="71"/>
      <c r="GZ9" s="71"/>
      <c r="HA9" s="71"/>
      <c r="HB9" s="71"/>
      <c r="HC9" s="71"/>
      <c r="HD9" s="71"/>
      <c r="HE9" s="71"/>
      <c r="HF9" s="71"/>
      <c r="HG9" s="71"/>
      <c r="HH9" s="71"/>
      <c r="HI9" s="71"/>
      <c r="HJ9" s="71"/>
      <c r="HK9" s="71"/>
      <c r="HL9" s="71"/>
      <c r="HM9" s="71"/>
      <c r="HN9" s="71"/>
      <c r="HO9" s="71"/>
      <c r="HP9" s="71"/>
      <c r="HQ9" s="71"/>
      <c r="HR9" s="71"/>
      <c r="HS9" s="71"/>
      <c r="HT9" s="71"/>
      <c r="HU9" s="71"/>
      <c r="HV9" s="71"/>
      <c r="HW9" s="71"/>
      <c r="HX9" s="71"/>
      <c r="HY9" s="71"/>
      <c r="HZ9" s="71"/>
      <c r="IA9" s="71"/>
      <c r="IB9" s="71"/>
      <c r="IC9" s="71"/>
      <c r="ID9" s="71"/>
      <c r="IE9" s="71"/>
      <c r="IF9" s="71"/>
      <c r="IG9" s="71"/>
      <c r="IH9" s="71"/>
      <c r="II9" s="71"/>
      <c r="IJ9" s="71"/>
      <c r="IK9" s="71"/>
      <c r="IL9" s="71"/>
      <c r="IM9" s="71"/>
      <c r="IN9" s="71"/>
      <c r="IO9" s="71"/>
      <c r="IP9" s="71"/>
      <c r="IQ9" s="71"/>
      <c r="IR9" s="71"/>
      <c r="IS9" s="71"/>
    </row>
    <row r="10" spans="1:254" s="72" customFormat="1" ht="24.75" customHeight="1" x14ac:dyDescent="0.3">
      <c r="A10" s="295" t="s">
        <v>320</v>
      </c>
      <c r="B10" s="295"/>
      <c r="C10" s="74">
        <f>SUM(C7:C9)</f>
        <v>17</v>
      </c>
      <c r="D10" s="75">
        <f>SUM(D7:D9)</f>
        <v>308860</v>
      </c>
      <c r="E10" s="76">
        <f>SUM(E7:E9)</f>
        <v>308.86</v>
      </c>
      <c r="F10" s="65"/>
      <c r="G10" s="73">
        <f>SUM(G7:G9)</f>
        <v>45910494.700000003</v>
      </c>
      <c r="H10" s="73">
        <f>SUM(H7:H9)</f>
        <v>3672839</v>
      </c>
      <c r="I10" s="73">
        <f>ROUND(G10+H10,0)</f>
        <v>49583334</v>
      </c>
      <c r="J10" s="77"/>
      <c r="K10" s="9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M10" s="78"/>
      <c r="CN10" s="78"/>
      <c r="CO10" s="78"/>
      <c r="CP10" s="78"/>
      <c r="CQ10" s="78"/>
      <c r="CR10" s="78"/>
      <c r="CS10" s="78"/>
      <c r="CT10" s="78"/>
      <c r="CU10" s="78"/>
      <c r="CV10" s="78"/>
      <c r="CW10" s="78"/>
      <c r="CX10" s="78"/>
      <c r="CY10" s="78"/>
      <c r="CZ10" s="78"/>
      <c r="DA10" s="78"/>
      <c r="DB10" s="78"/>
      <c r="DC10" s="78"/>
      <c r="DD10" s="78"/>
      <c r="DE10" s="78"/>
      <c r="DF10" s="78"/>
      <c r="DG10" s="78"/>
      <c r="DH10" s="78"/>
      <c r="DI10" s="78"/>
      <c r="DJ10" s="78"/>
      <c r="DK10" s="78"/>
      <c r="DL10" s="78"/>
      <c r="DM10" s="78"/>
      <c r="DN10" s="78"/>
      <c r="DO10" s="78"/>
      <c r="DP10" s="78"/>
      <c r="DQ10" s="78"/>
      <c r="DR10" s="78"/>
      <c r="DS10" s="78"/>
      <c r="DT10" s="78"/>
      <c r="DU10" s="78"/>
      <c r="DV10" s="78"/>
      <c r="DW10" s="78"/>
      <c r="DX10" s="78"/>
      <c r="DY10" s="78"/>
      <c r="DZ10" s="78"/>
      <c r="EA10" s="78"/>
      <c r="EB10" s="78"/>
      <c r="EC10" s="78"/>
      <c r="ED10" s="78"/>
      <c r="EE10" s="78"/>
      <c r="EF10" s="78"/>
      <c r="EG10" s="78"/>
      <c r="EH10" s="78"/>
      <c r="EI10" s="78"/>
      <c r="EJ10" s="78"/>
      <c r="EK10" s="78"/>
      <c r="EL10" s="78"/>
      <c r="EM10" s="78"/>
      <c r="EN10" s="78"/>
      <c r="EO10" s="78"/>
      <c r="EP10" s="78"/>
      <c r="EQ10" s="78"/>
      <c r="ER10" s="78"/>
      <c r="ES10" s="78"/>
      <c r="ET10" s="78"/>
      <c r="EU10" s="78"/>
      <c r="EV10" s="78"/>
      <c r="EW10" s="78"/>
      <c r="EX10" s="78"/>
      <c r="EY10" s="78"/>
      <c r="EZ10" s="78"/>
      <c r="FA10" s="78"/>
      <c r="FB10" s="78"/>
      <c r="FC10" s="78"/>
      <c r="FD10" s="78"/>
      <c r="FE10" s="78"/>
      <c r="FF10" s="78"/>
      <c r="FG10" s="78"/>
      <c r="FH10" s="78"/>
      <c r="FI10" s="78"/>
      <c r="FJ10" s="78"/>
      <c r="FK10" s="78"/>
      <c r="FL10" s="78"/>
      <c r="FM10" s="78"/>
      <c r="FN10" s="78"/>
      <c r="FO10" s="78"/>
      <c r="FP10" s="78"/>
      <c r="FQ10" s="78"/>
      <c r="FR10" s="78"/>
      <c r="FS10" s="78"/>
      <c r="FT10" s="78"/>
      <c r="FU10" s="78"/>
      <c r="FV10" s="78"/>
      <c r="FW10" s="78"/>
      <c r="FX10" s="78"/>
      <c r="FY10" s="78"/>
      <c r="FZ10" s="78"/>
      <c r="GA10" s="78"/>
      <c r="GB10" s="78"/>
      <c r="GC10" s="78"/>
      <c r="GD10" s="78"/>
      <c r="GE10" s="78"/>
      <c r="GF10" s="78"/>
      <c r="GG10" s="78"/>
      <c r="GH10" s="78"/>
      <c r="GI10" s="78"/>
      <c r="GJ10" s="78"/>
      <c r="GK10" s="78"/>
      <c r="GL10" s="78"/>
      <c r="GM10" s="78"/>
      <c r="GN10" s="78"/>
      <c r="GO10" s="78"/>
      <c r="GP10" s="78"/>
      <c r="GQ10" s="78"/>
      <c r="GR10" s="78"/>
      <c r="GS10" s="78"/>
      <c r="GT10" s="78"/>
      <c r="GU10" s="78"/>
      <c r="GV10" s="78"/>
      <c r="GW10" s="78"/>
      <c r="GX10" s="78"/>
      <c r="GY10" s="78"/>
      <c r="GZ10" s="78"/>
      <c r="HA10" s="78"/>
      <c r="HB10" s="78"/>
      <c r="HC10" s="78"/>
      <c r="HD10" s="78"/>
      <c r="HE10" s="78"/>
      <c r="HF10" s="78"/>
      <c r="HG10" s="78"/>
      <c r="HH10" s="78"/>
      <c r="HI10" s="78"/>
      <c r="HJ10" s="78"/>
      <c r="HK10" s="78"/>
      <c r="HL10" s="78"/>
      <c r="HM10" s="78"/>
      <c r="HN10" s="78"/>
      <c r="HO10" s="78"/>
      <c r="HP10" s="78"/>
      <c r="HQ10" s="78"/>
      <c r="HR10" s="78"/>
      <c r="HS10" s="78"/>
      <c r="HT10" s="78"/>
      <c r="HU10" s="78"/>
      <c r="HV10" s="78"/>
      <c r="HW10" s="78"/>
      <c r="HX10" s="78"/>
      <c r="HY10" s="78"/>
      <c r="HZ10" s="78"/>
      <c r="IA10" s="78"/>
      <c r="IB10" s="78"/>
      <c r="IC10" s="78"/>
      <c r="ID10" s="78"/>
      <c r="IE10" s="78"/>
      <c r="IF10" s="78"/>
      <c r="IG10" s="78"/>
      <c r="IH10" s="78"/>
      <c r="II10" s="78"/>
      <c r="IJ10" s="78"/>
      <c r="IK10" s="78"/>
      <c r="IL10" s="78"/>
      <c r="IM10" s="78"/>
      <c r="IN10" s="78"/>
      <c r="IO10" s="78"/>
      <c r="IP10" s="78"/>
      <c r="IQ10" s="78"/>
      <c r="IR10" s="78"/>
      <c r="IS10" s="78"/>
      <c r="IT10" s="79"/>
    </row>
    <row r="11" spans="1:254" s="72" customFormat="1" ht="24.75" customHeight="1" x14ac:dyDescent="0.3">
      <c r="A11" s="296" t="s">
        <v>321</v>
      </c>
      <c r="B11" s="296"/>
      <c r="C11" s="296" t="str">
        <f>[1]!vnd(I10)&amp;" đồng y ./."</f>
        <v>Bốn mươi chín triệu, năm trăm tám mươi ba ngàn, ba trăm ba mươi bốn đồng y ./.</v>
      </c>
      <c r="D11" s="296"/>
      <c r="E11" s="296"/>
      <c r="F11" s="296"/>
      <c r="G11" s="296"/>
      <c r="H11" s="296"/>
      <c r="I11" s="296"/>
      <c r="J11" s="80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71"/>
      <c r="CI11" s="71"/>
      <c r="CJ11" s="71"/>
      <c r="CK11" s="71"/>
      <c r="CL11" s="71"/>
      <c r="CM11" s="71"/>
      <c r="CN11" s="71"/>
      <c r="CO11" s="71"/>
      <c r="CP11" s="71"/>
      <c r="CQ11" s="71"/>
      <c r="CR11" s="71"/>
      <c r="CS11" s="71"/>
      <c r="CT11" s="71"/>
      <c r="CU11" s="71"/>
      <c r="CV11" s="71"/>
      <c r="CW11" s="71"/>
      <c r="CX11" s="71"/>
      <c r="CY11" s="71"/>
      <c r="CZ11" s="71"/>
      <c r="DA11" s="71"/>
      <c r="DB11" s="71"/>
      <c r="DC11" s="71"/>
      <c r="DD11" s="71"/>
      <c r="DE11" s="71"/>
      <c r="DF11" s="71"/>
      <c r="DG11" s="71"/>
      <c r="DH11" s="71"/>
      <c r="DI11" s="71"/>
      <c r="DJ11" s="71"/>
      <c r="DK11" s="71"/>
      <c r="DL11" s="71"/>
      <c r="DM11" s="71"/>
      <c r="DN11" s="71"/>
      <c r="DO11" s="71"/>
      <c r="DP11" s="71"/>
      <c r="DQ11" s="71"/>
      <c r="DR11" s="71"/>
      <c r="DS11" s="71"/>
      <c r="DT11" s="71"/>
      <c r="DU11" s="71"/>
      <c r="DV11" s="71"/>
      <c r="DW11" s="71"/>
      <c r="DX11" s="71"/>
      <c r="DY11" s="71"/>
      <c r="DZ11" s="71"/>
      <c r="EA11" s="71"/>
      <c r="EB11" s="71"/>
      <c r="EC11" s="71"/>
      <c r="ED11" s="71"/>
      <c r="EE11" s="71"/>
      <c r="EF11" s="71"/>
      <c r="EG11" s="71"/>
      <c r="EH11" s="71"/>
      <c r="EI11" s="71"/>
      <c r="EJ11" s="71"/>
      <c r="EK11" s="71"/>
      <c r="EL11" s="71"/>
      <c r="EM11" s="71"/>
      <c r="EN11" s="71"/>
      <c r="EO11" s="71"/>
      <c r="EP11" s="71"/>
      <c r="EQ11" s="71"/>
      <c r="ER11" s="71"/>
      <c r="ES11" s="71"/>
      <c r="ET11" s="71"/>
      <c r="EU11" s="71"/>
      <c r="EV11" s="71"/>
      <c r="EW11" s="71"/>
      <c r="EX11" s="71"/>
      <c r="EY11" s="71"/>
      <c r="EZ11" s="71"/>
      <c r="FA11" s="71"/>
      <c r="FB11" s="71"/>
      <c r="FC11" s="71"/>
      <c r="FD11" s="71"/>
      <c r="FE11" s="71"/>
      <c r="FF11" s="71"/>
      <c r="FG11" s="71"/>
      <c r="FH11" s="71"/>
      <c r="FI11" s="71"/>
      <c r="FJ11" s="71"/>
      <c r="FK11" s="71"/>
      <c r="FL11" s="71"/>
      <c r="FM11" s="71"/>
      <c r="FN11" s="71"/>
      <c r="FO11" s="71"/>
      <c r="FP11" s="71"/>
      <c r="FQ11" s="71"/>
      <c r="FR11" s="71"/>
      <c r="FS11" s="71"/>
      <c r="FT11" s="71"/>
      <c r="FU11" s="71"/>
      <c r="FV11" s="71"/>
      <c r="FW11" s="71"/>
      <c r="FX11" s="71"/>
      <c r="FY11" s="71"/>
      <c r="FZ11" s="71"/>
      <c r="GA11" s="71"/>
      <c r="GB11" s="71"/>
      <c r="GC11" s="71"/>
      <c r="GD11" s="71"/>
      <c r="GE11" s="71"/>
      <c r="GF11" s="71"/>
      <c r="GG11" s="71"/>
      <c r="GH11" s="71"/>
      <c r="GI11" s="71"/>
      <c r="GJ11" s="71"/>
      <c r="GK11" s="71"/>
      <c r="GL11" s="71"/>
      <c r="GM11" s="71"/>
      <c r="GN11" s="71"/>
      <c r="GO11" s="71"/>
      <c r="GP11" s="71"/>
      <c r="GQ11" s="71"/>
      <c r="GR11" s="71"/>
      <c r="GS11" s="71"/>
      <c r="GT11" s="71"/>
      <c r="GU11" s="71"/>
      <c r="GV11" s="71"/>
      <c r="GW11" s="71"/>
      <c r="GX11" s="71"/>
      <c r="GY11" s="71"/>
      <c r="GZ11" s="71"/>
      <c r="HA11" s="71"/>
      <c r="HB11" s="71"/>
      <c r="HC11" s="71"/>
      <c r="HD11" s="71"/>
      <c r="HE11" s="71"/>
      <c r="HF11" s="71"/>
      <c r="HG11" s="71"/>
      <c r="HH11" s="71"/>
      <c r="HI11" s="71"/>
      <c r="HJ11" s="71"/>
      <c r="HK11" s="71"/>
      <c r="HL11" s="71"/>
      <c r="HM11" s="71"/>
      <c r="HN11" s="71"/>
      <c r="HO11" s="71"/>
      <c r="HP11" s="71"/>
      <c r="HQ11" s="71"/>
      <c r="HR11" s="71"/>
      <c r="HS11" s="71"/>
      <c r="HT11" s="71"/>
      <c r="HU11" s="71"/>
      <c r="HV11" s="71"/>
      <c r="HW11" s="71"/>
      <c r="HX11" s="71"/>
      <c r="HY11" s="71"/>
      <c r="HZ11" s="71"/>
      <c r="IA11" s="71"/>
      <c r="IB11" s="71"/>
      <c r="IC11" s="71"/>
      <c r="ID11" s="71"/>
      <c r="IE11" s="71"/>
      <c r="IF11" s="71"/>
      <c r="IG11" s="71"/>
      <c r="IH11" s="71"/>
      <c r="II11" s="71"/>
      <c r="IJ11" s="71"/>
      <c r="IK11" s="71"/>
      <c r="IL11" s="71"/>
      <c r="IM11" s="71"/>
      <c r="IN11" s="71"/>
      <c r="IO11" s="71"/>
      <c r="IP11" s="71"/>
      <c r="IQ11" s="71"/>
      <c r="IR11" s="71"/>
      <c r="IS11" s="71"/>
    </row>
    <row r="12" spans="1:254" x14ac:dyDescent="0.25">
      <c r="A12" s="81"/>
      <c r="B12" s="81"/>
      <c r="C12" s="81"/>
      <c r="D12" s="82"/>
      <c r="E12" s="82"/>
      <c r="F12" s="82"/>
      <c r="G12" s="292" t="s">
        <v>322</v>
      </c>
      <c r="H12" s="292"/>
      <c r="I12" s="292"/>
      <c r="J12" s="292"/>
    </row>
    <row r="13" spans="1:254" x14ac:dyDescent="0.25">
      <c r="A13" s="298" t="s">
        <v>323</v>
      </c>
      <c r="B13" s="298"/>
      <c r="C13" s="298"/>
      <c r="D13" s="298"/>
      <c r="E13" s="298"/>
      <c r="F13" s="298"/>
      <c r="G13" s="293" t="s">
        <v>312</v>
      </c>
      <c r="H13" s="293"/>
      <c r="I13" s="293"/>
      <c r="J13" s="29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83"/>
      <c r="BK13" s="83"/>
      <c r="BL13" s="83"/>
      <c r="BM13" s="83"/>
      <c r="BN13" s="83"/>
      <c r="BO13" s="83"/>
      <c r="BP13" s="83"/>
      <c r="BQ13" s="83"/>
      <c r="BR13" s="83"/>
      <c r="BS13" s="83"/>
      <c r="BT13" s="83"/>
      <c r="BU13" s="83"/>
      <c r="BV13" s="83"/>
      <c r="BW13" s="83"/>
      <c r="BX13" s="83"/>
      <c r="BY13" s="83"/>
      <c r="BZ13" s="83"/>
      <c r="CA13" s="83"/>
      <c r="CB13" s="83"/>
      <c r="CC13" s="83"/>
      <c r="CD13" s="83"/>
      <c r="CE13" s="83"/>
      <c r="CF13" s="83"/>
      <c r="CG13" s="83"/>
      <c r="CH13" s="83"/>
      <c r="CI13" s="83"/>
      <c r="CJ13" s="83"/>
      <c r="CK13" s="83"/>
      <c r="CL13" s="83"/>
      <c r="CM13" s="83"/>
      <c r="CN13" s="83"/>
      <c r="CO13" s="83"/>
      <c r="CP13" s="83"/>
      <c r="CQ13" s="83"/>
      <c r="CR13" s="83"/>
      <c r="CS13" s="83"/>
      <c r="CT13" s="83"/>
      <c r="CU13" s="83"/>
      <c r="CV13" s="83"/>
      <c r="CW13" s="83"/>
      <c r="CX13" s="83"/>
      <c r="CY13" s="83"/>
      <c r="CZ13" s="83"/>
      <c r="DA13" s="83"/>
      <c r="DB13" s="83"/>
      <c r="DC13" s="83"/>
      <c r="DD13" s="83"/>
      <c r="DE13" s="83"/>
      <c r="DF13" s="83"/>
      <c r="DG13" s="83"/>
      <c r="DH13" s="83"/>
      <c r="DI13" s="83"/>
      <c r="DJ13" s="83"/>
      <c r="DK13" s="83"/>
      <c r="DL13" s="83"/>
      <c r="DM13" s="83"/>
      <c r="DN13" s="83"/>
      <c r="DO13" s="83"/>
      <c r="DP13" s="83"/>
      <c r="DQ13" s="83"/>
      <c r="DR13" s="83"/>
      <c r="DS13" s="83"/>
      <c r="DT13" s="83"/>
      <c r="DU13" s="83"/>
      <c r="DV13" s="83"/>
      <c r="DW13" s="83"/>
      <c r="DX13" s="83"/>
      <c r="DY13" s="83"/>
      <c r="DZ13" s="83"/>
      <c r="EA13" s="83"/>
      <c r="EB13" s="83"/>
      <c r="EC13" s="83"/>
      <c r="ED13" s="83"/>
      <c r="EE13" s="83"/>
      <c r="EF13" s="83"/>
      <c r="EG13" s="83"/>
      <c r="EH13" s="83"/>
      <c r="EI13" s="83"/>
      <c r="EJ13" s="83"/>
      <c r="EK13" s="83"/>
      <c r="EL13" s="83"/>
      <c r="EM13" s="83"/>
      <c r="EN13" s="83"/>
      <c r="EO13" s="83"/>
      <c r="EP13" s="83"/>
      <c r="EQ13" s="83"/>
      <c r="ER13" s="83"/>
      <c r="ES13" s="83"/>
      <c r="ET13" s="83"/>
      <c r="EU13" s="83"/>
      <c r="EV13" s="83"/>
      <c r="EW13" s="83"/>
      <c r="EX13" s="83"/>
      <c r="EY13" s="83"/>
      <c r="EZ13" s="83"/>
      <c r="FA13" s="83"/>
      <c r="FB13" s="83"/>
      <c r="FC13" s="83"/>
      <c r="FD13" s="83"/>
      <c r="FE13" s="83"/>
      <c r="FF13" s="83"/>
      <c r="FG13" s="83"/>
      <c r="FH13" s="83"/>
      <c r="FI13" s="83"/>
      <c r="FJ13" s="83"/>
      <c r="FK13" s="83"/>
      <c r="FL13" s="83"/>
      <c r="FM13" s="83"/>
      <c r="FN13" s="83"/>
      <c r="FO13" s="83"/>
      <c r="FP13" s="83"/>
      <c r="FQ13" s="83"/>
      <c r="FR13" s="83"/>
      <c r="FS13" s="83"/>
      <c r="FT13" s="83"/>
      <c r="FU13" s="83"/>
      <c r="FV13" s="83"/>
      <c r="FW13" s="83"/>
      <c r="FX13" s="83"/>
      <c r="FY13" s="83"/>
      <c r="FZ13" s="83"/>
      <c r="GA13" s="83"/>
      <c r="GB13" s="83"/>
      <c r="GC13" s="83"/>
      <c r="GD13" s="83"/>
      <c r="GE13" s="83"/>
      <c r="GF13" s="83"/>
      <c r="GG13" s="83"/>
      <c r="GH13" s="83"/>
      <c r="GI13" s="83"/>
      <c r="GJ13" s="83"/>
      <c r="GK13" s="83"/>
      <c r="GL13" s="83"/>
      <c r="GM13" s="83"/>
      <c r="GN13" s="83"/>
      <c r="GO13" s="83"/>
      <c r="GP13" s="83"/>
      <c r="GQ13" s="83"/>
      <c r="GR13" s="83"/>
      <c r="GS13" s="83"/>
      <c r="GT13" s="83"/>
      <c r="GU13" s="83"/>
      <c r="GV13" s="83"/>
      <c r="GW13" s="83"/>
      <c r="GX13" s="83"/>
      <c r="GY13" s="83"/>
      <c r="GZ13" s="83"/>
      <c r="HA13" s="83"/>
      <c r="HB13" s="83"/>
      <c r="HC13" s="83"/>
      <c r="HD13" s="83"/>
      <c r="HE13" s="83"/>
      <c r="HF13" s="83"/>
      <c r="HG13" s="83"/>
      <c r="HH13" s="83"/>
      <c r="HI13" s="83"/>
      <c r="HJ13" s="83"/>
      <c r="HK13" s="83"/>
      <c r="HL13" s="83"/>
      <c r="HM13" s="83"/>
      <c r="HN13" s="83"/>
      <c r="HO13" s="83"/>
      <c r="HP13" s="83"/>
      <c r="HQ13" s="83"/>
      <c r="HR13" s="83"/>
      <c r="HS13" s="83"/>
      <c r="HT13" s="83"/>
      <c r="HU13" s="83"/>
      <c r="HV13" s="83"/>
      <c r="HW13" s="83"/>
      <c r="HX13" s="83"/>
      <c r="HY13" s="83"/>
      <c r="HZ13" s="83"/>
      <c r="IA13" s="83"/>
      <c r="IB13" s="83"/>
      <c r="IC13" s="83"/>
      <c r="ID13" s="83"/>
      <c r="IE13" s="83"/>
      <c r="IF13" s="83"/>
      <c r="IG13" s="83"/>
      <c r="IH13" s="83"/>
      <c r="II13" s="83"/>
      <c r="IJ13" s="83"/>
      <c r="IK13" s="83"/>
      <c r="IL13" s="83"/>
      <c r="IM13" s="83"/>
      <c r="IN13" s="83"/>
      <c r="IO13" s="83"/>
      <c r="IP13" s="83"/>
      <c r="IQ13" s="83"/>
      <c r="IR13" s="83"/>
      <c r="IS13" s="83"/>
    </row>
    <row r="14" spans="1:254" x14ac:dyDescent="0.25">
      <c r="A14" s="84"/>
      <c r="B14" s="293" t="s">
        <v>324</v>
      </c>
      <c r="C14" s="293"/>
      <c r="D14" s="297" t="s">
        <v>325</v>
      </c>
      <c r="E14" s="297"/>
      <c r="G14" s="297" t="s">
        <v>326</v>
      </c>
      <c r="H14" s="297"/>
      <c r="I14" s="293" t="s">
        <v>325</v>
      </c>
      <c r="J14" s="29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3"/>
      <c r="BR14" s="83"/>
      <c r="BS14" s="83"/>
      <c r="BT14" s="83"/>
      <c r="BU14" s="83"/>
      <c r="BV14" s="83"/>
      <c r="BW14" s="83"/>
      <c r="BX14" s="83"/>
      <c r="BY14" s="83"/>
      <c r="BZ14" s="83"/>
      <c r="CA14" s="83"/>
      <c r="CB14" s="83"/>
      <c r="CC14" s="83"/>
      <c r="CD14" s="83"/>
      <c r="CE14" s="83"/>
      <c r="CF14" s="83"/>
      <c r="CG14" s="83"/>
      <c r="CH14" s="83"/>
      <c r="CI14" s="83"/>
      <c r="CJ14" s="83"/>
      <c r="CK14" s="83"/>
      <c r="CL14" s="83"/>
      <c r="CM14" s="83"/>
      <c r="CN14" s="83"/>
      <c r="CO14" s="83"/>
      <c r="CP14" s="83"/>
      <c r="CQ14" s="83"/>
      <c r="CR14" s="83"/>
      <c r="CS14" s="83"/>
      <c r="CT14" s="83"/>
      <c r="CU14" s="83"/>
      <c r="CV14" s="83"/>
      <c r="CW14" s="83"/>
      <c r="CX14" s="83"/>
      <c r="CY14" s="83"/>
      <c r="CZ14" s="83"/>
      <c r="DA14" s="83"/>
      <c r="DB14" s="83"/>
      <c r="DC14" s="83"/>
      <c r="DD14" s="83"/>
      <c r="DE14" s="83"/>
      <c r="DF14" s="83"/>
      <c r="DG14" s="83"/>
      <c r="DH14" s="83"/>
      <c r="DI14" s="83"/>
      <c r="DJ14" s="83"/>
      <c r="DK14" s="83"/>
      <c r="DL14" s="83"/>
      <c r="DM14" s="83"/>
      <c r="DN14" s="83"/>
      <c r="DO14" s="83"/>
      <c r="DP14" s="83"/>
      <c r="DQ14" s="83"/>
      <c r="DR14" s="83"/>
      <c r="DS14" s="83"/>
      <c r="DT14" s="83"/>
      <c r="DU14" s="83"/>
      <c r="DV14" s="83"/>
      <c r="DW14" s="83"/>
      <c r="DX14" s="83"/>
      <c r="DY14" s="83"/>
      <c r="DZ14" s="83"/>
      <c r="EA14" s="83"/>
      <c r="EB14" s="83"/>
      <c r="EC14" s="83"/>
      <c r="ED14" s="83"/>
      <c r="EE14" s="83"/>
      <c r="EF14" s="83"/>
      <c r="EG14" s="83"/>
      <c r="EH14" s="83"/>
      <c r="EI14" s="83"/>
      <c r="EJ14" s="83"/>
      <c r="EK14" s="83"/>
      <c r="EL14" s="83"/>
      <c r="EM14" s="83"/>
      <c r="EN14" s="83"/>
      <c r="EO14" s="83"/>
      <c r="EP14" s="83"/>
      <c r="EQ14" s="83"/>
      <c r="ER14" s="83"/>
      <c r="ES14" s="83"/>
      <c r="ET14" s="83"/>
      <c r="EU14" s="83"/>
      <c r="EV14" s="83"/>
      <c r="EW14" s="83"/>
      <c r="EX14" s="83"/>
      <c r="EY14" s="83"/>
      <c r="EZ14" s="83"/>
      <c r="FA14" s="83"/>
      <c r="FB14" s="83"/>
      <c r="FC14" s="83"/>
      <c r="FD14" s="83"/>
      <c r="FE14" s="83"/>
      <c r="FF14" s="83"/>
      <c r="FG14" s="83"/>
      <c r="FH14" s="83"/>
      <c r="FI14" s="83"/>
      <c r="FJ14" s="83"/>
      <c r="FK14" s="83"/>
      <c r="FL14" s="83"/>
      <c r="FM14" s="83"/>
      <c r="FN14" s="83"/>
      <c r="FO14" s="83"/>
      <c r="FP14" s="83"/>
      <c r="FQ14" s="83"/>
      <c r="FR14" s="83"/>
      <c r="FS14" s="83"/>
      <c r="FT14" s="83"/>
      <c r="FU14" s="83"/>
      <c r="FV14" s="83"/>
      <c r="FW14" s="83"/>
      <c r="FX14" s="83"/>
      <c r="FY14" s="83"/>
      <c r="FZ14" s="83"/>
      <c r="GA14" s="83"/>
      <c r="GB14" s="83"/>
      <c r="GC14" s="83"/>
      <c r="GD14" s="83"/>
      <c r="GE14" s="83"/>
      <c r="GF14" s="83"/>
      <c r="GG14" s="83"/>
      <c r="GH14" s="83"/>
      <c r="GI14" s="83"/>
      <c r="GJ14" s="83"/>
      <c r="GK14" s="83"/>
      <c r="GL14" s="83"/>
      <c r="GM14" s="83"/>
      <c r="GN14" s="83"/>
      <c r="GO14" s="83"/>
      <c r="GP14" s="83"/>
      <c r="GQ14" s="83"/>
      <c r="GR14" s="83"/>
      <c r="GS14" s="83"/>
      <c r="GT14" s="83"/>
      <c r="GU14" s="83"/>
      <c r="GV14" s="83"/>
      <c r="GW14" s="83"/>
      <c r="GX14" s="83"/>
      <c r="GY14" s="83"/>
      <c r="GZ14" s="83"/>
      <c r="HA14" s="83"/>
      <c r="HB14" s="83"/>
      <c r="HC14" s="83"/>
      <c r="HD14" s="83"/>
      <c r="HE14" s="83"/>
      <c r="HF14" s="83"/>
      <c r="HG14" s="83"/>
      <c r="HH14" s="83"/>
      <c r="HI14" s="83"/>
      <c r="HJ14" s="83"/>
      <c r="HK14" s="83"/>
      <c r="HL14" s="83"/>
      <c r="HM14" s="83"/>
      <c r="HN14" s="83"/>
      <c r="HO14" s="83"/>
      <c r="HP14" s="83"/>
      <c r="HQ14" s="83"/>
      <c r="HR14" s="83"/>
      <c r="HS14" s="83"/>
      <c r="HT14" s="83"/>
      <c r="HU14" s="83"/>
      <c r="HV14" s="83"/>
      <c r="HW14" s="83"/>
      <c r="HX14" s="83"/>
      <c r="HY14" s="83"/>
      <c r="HZ14" s="83"/>
      <c r="IA14" s="83"/>
      <c r="IB14" s="83"/>
      <c r="IC14" s="83"/>
      <c r="ID14" s="83"/>
      <c r="IE14" s="83"/>
      <c r="IF14" s="83"/>
      <c r="IG14" s="83"/>
      <c r="IH14" s="83"/>
      <c r="II14" s="83"/>
      <c r="IJ14" s="83"/>
      <c r="IK14" s="83"/>
      <c r="IL14" s="83"/>
      <c r="IM14" s="83"/>
      <c r="IN14" s="83"/>
      <c r="IO14" s="83"/>
      <c r="IP14" s="83"/>
      <c r="IQ14" s="83"/>
      <c r="IR14" s="83"/>
      <c r="IS14" s="83"/>
    </row>
    <row r="15" spans="1:254" x14ac:dyDescent="0.25">
      <c r="A15" s="86"/>
      <c r="B15" s="86"/>
      <c r="C15" s="87"/>
      <c r="D15" s="88"/>
      <c r="E15" s="88"/>
      <c r="F15" s="88"/>
      <c r="G15" s="88"/>
      <c r="H15" s="59"/>
      <c r="I15" s="59"/>
      <c r="J15" s="86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3"/>
      <c r="BP15" s="83"/>
      <c r="BQ15" s="83"/>
      <c r="BR15" s="83"/>
      <c r="BS15" s="83"/>
      <c r="BT15" s="83"/>
      <c r="BU15" s="83"/>
      <c r="BV15" s="83"/>
      <c r="BW15" s="83"/>
      <c r="BX15" s="83"/>
      <c r="BY15" s="83"/>
      <c r="BZ15" s="83"/>
      <c r="CA15" s="83"/>
      <c r="CB15" s="83"/>
      <c r="CC15" s="83"/>
      <c r="CD15" s="83"/>
      <c r="CE15" s="83"/>
      <c r="CF15" s="83"/>
      <c r="CG15" s="83"/>
      <c r="CH15" s="83"/>
      <c r="CI15" s="83"/>
      <c r="CJ15" s="83"/>
      <c r="CK15" s="83"/>
      <c r="CL15" s="83"/>
      <c r="CM15" s="83"/>
      <c r="CN15" s="83"/>
      <c r="CO15" s="83"/>
      <c r="CP15" s="83"/>
      <c r="CQ15" s="83"/>
      <c r="CR15" s="83"/>
      <c r="CS15" s="83"/>
      <c r="CT15" s="83"/>
      <c r="CU15" s="83"/>
      <c r="CV15" s="83"/>
      <c r="CW15" s="83"/>
      <c r="CX15" s="83"/>
      <c r="CY15" s="83"/>
      <c r="CZ15" s="83"/>
      <c r="DA15" s="83"/>
      <c r="DB15" s="83"/>
      <c r="DC15" s="83"/>
      <c r="DD15" s="83"/>
      <c r="DE15" s="83"/>
      <c r="DF15" s="83"/>
      <c r="DG15" s="83"/>
      <c r="DH15" s="83"/>
      <c r="DI15" s="83"/>
      <c r="DJ15" s="83"/>
      <c r="DK15" s="83"/>
      <c r="DL15" s="83"/>
      <c r="DM15" s="83"/>
      <c r="DN15" s="83"/>
      <c r="DO15" s="83"/>
      <c r="DP15" s="83"/>
      <c r="DQ15" s="83"/>
      <c r="DR15" s="83"/>
      <c r="DS15" s="83"/>
      <c r="DT15" s="83"/>
      <c r="DU15" s="83"/>
      <c r="DV15" s="83"/>
      <c r="DW15" s="83"/>
      <c r="DX15" s="83"/>
      <c r="DY15" s="83"/>
      <c r="DZ15" s="83"/>
      <c r="EA15" s="83"/>
      <c r="EB15" s="83"/>
      <c r="EC15" s="83"/>
      <c r="ED15" s="83"/>
      <c r="EE15" s="83"/>
      <c r="EF15" s="83"/>
      <c r="EG15" s="83"/>
      <c r="EH15" s="83"/>
      <c r="EI15" s="83"/>
      <c r="EJ15" s="83"/>
      <c r="EK15" s="83"/>
      <c r="EL15" s="83"/>
      <c r="EM15" s="83"/>
      <c r="EN15" s="83"/>
      <c r="EO15" s="83"/>
      <c r="EP15" s="83"/>
      <c r="EQ15" s="83"/>
      <c r="ER15" s="83"/>
      <c r="ES15" s="83"/>
      <c r="ET15" s="83"/>
      <c r="EU15" s="83"/>
      <c r="EV15" s="83"/>
      <c r="EW15" s="83"/>
      <c r="EX15" s="83"/>
      <c r="EY15" s="83"/>
      <c r="EZ15" s="83"/>
      <c r="FA15" s="83"/>
      <c r="FB15" s="83"/>
      <c r="FC15" s="83"/>
      <c r="FD15" s="83"/>
      <c r="FE15" s="83"/>
      <c r="FF15" s="83"/>
      <c r="FG15" s="83"/>
      <c r="FH15" s="83"/>
      <c r="FI15" s="83"/>
      <c r="FJ15" s="83"/>
      <c r="FK15" s="83"/>
      <c r="FL15" s="83"/>
      <c r="FM15" s="83"/>
      <c r="FN15" s="83"/>
      <c r="FO15" s="83"/>
      <c r="FP15" s="83"/>
      <c r="FQ15" s="83"/>
      <c r="FR15" s="83"/>
      <c r="FS15" s="83"/>
      <c r="FT15" s="83"/>
      <c r="FU15" s="83"/>
      <c r="FV15" s="83"/>
      <c r="FW15" s="83"/>
      <c r="FX15" s="83"/>
      <c r="FY15" s="83"/>
      <c r="FZ15" s="83"/>
      <c r="GA15" s="83"/>
      <c r="GB15" s="83"/>
      <c r="GC15" s="83"/>
      <c r="GD15" s="83"/>
      <c r="GE15" s="83"/>
      <c r="GF15" s="83"/>
      <c r="GG15" s="83"/>
      <c r="GH15" s="83"/>
      <c r="GI15" s="83"/>
      <c r="GJ15" s="83"/>
      <c r="GK15" s="83"/>
      <c r="GL15" s="83"/>
      <c r="GM15" s="83"/>
      <c r="GN15" s="83"/>
      <c r="GO15" s="83"/>
      <c r="GP15" s="83"/>
      <c r="GQ15" s="83"/>
      <c r="GR15" s="83"/>
      <c r="GS15" s="83"/>
      <c r="GT15" s="83"/>
      <c r="GU15" s="83"/>
      <c r="GV15" s="83"/>
      <c r="GW15" s="83"/>
      <c r="GX15" s="83"/>
      <c r="GY15" s="83"/>
      <c r="GZ15" s="83"/>
      <c r="HA15" s="83"/>
      <c r="HB15" s="83"/>
      <c r="HC15" s="83"/>
      <c r="HD15" s="83"/>
      <c r="HE15" s="83"/>
      <c r="HF15" s="83"/>
      <c r="HG15" s="83"/>
      <c r="HH15" s="83"/>
      <c r="HI15" s="83"/>
      <c r="HJ15" s="83"/>
      <c r="HK15" s="83"/>
      <c r="HL15" s="83"/>
      <c r="HM15" s="83"/>
      <c r="HN15" s="83"/>
      <c r="HO15" s="83"/>
      <c r="HP15" s="83"/>
      <c r="HQ15" s="83"/>
      <c r="HR15" s="83"/>
      <c r="HS15" s="83"/>
      <c r="HT15" s="83"/>
      <c r="HU15" s="83"/>
      <c r="HV15" s="83"/>
      <c r="HW15" s="83"/>
      <c r="HX15" s="83"/>
      <c r="HY15" s="83"/>
      <c r="HZ15" s="83"/>
      <c r="IA15" s="83"/>
      <c r="IB15" s="83"/>
      <c r="IC15" s="83"/>
      <c r="ID15" s="83"/>
      <c r="IE15" s="83"/>
      <c r="IF15" s="83"/>
      <c r="IG15" s="83"/>
      <c r="IH15" s="83"/>
      <c r="II15" s="83"/>
      <c r="IJ15" s="83"/>
      <c r="IK15" s="83"/>
      <c r="IL15" s="83"/>
      <c r="IM15" s="83"/>
      <c r="IN15" s="83"/>
      <c r="IO15" s="83"/>
      <c r="IP15" s="83"/>
      <c r="IQ15" s="83"/>
      <c r="IR15" s="83"/>
      <c r="IS15" s="83"/>
    </row>
    <row r="16" spans="1:254" x14ac:dyDescent="0.25">
      <c r="A16" s="86"/>
      <c r="B16" s="86"/>
      <c r="C16" s="87"/>
      <c r="D16" s="88"/>
      <c r="E16" s="88"/>
      <c r="F16" s="88"/>
      <c r="G16" s="88"/>
      <c r="H16" s="59"/>
      <c r="I16" s="59"/>
      <c r="J16" s="86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83"/>
      <c r="BL16" s="83"/>
      <c r="BM16" s="83"/>
      <c r="BN16" s="83"/>
      <c r="BO16" s="83"/>
      <c r="BP16" s="83"/>
      <c r="BQ16" s="83"/>
      <c r="BR16" s="83"/>
      <c r="BS16" s="83"/>
      <c r="BT16" s="83"/>
      <c r="BU16" s="83"/>
      <c r="BV16" s="83"/>
      <c r="BW16" s="83"/>
      <c r="BX16" s="83"/>
      <c r="BY16" s="83"/>
      <c r="BZ16" s="83"/>
      <c r="CA16" s="83"/>
      <c r="CB16" s="83"/>
      <c r="CC16" s="83"/>
      <c r="CD16" s="83"/>
      <c r="CE16" s="83"/>
      <c r="CF16" s="83"/>
      <c r="CG16" s="83"/>
      <c r="CH16" s="83"/>
      <c r="CI16" s="83"/>
      <c r="CJ16" s="83"/>
      <c r="CK16" s="83"/>
      <c r="CL16" s="83"/>
      <c r="CM16" s="83"/>
      <c r="CN16" s="83"/>
      <c r="CO16" s="83"/>
      <c r="CP16" s="83"/>
      <c r="CQ16" s="83"/>
      <c r="CR16" s="83"/>
      <c r="CS16" s="83"/>
      <c r="CT16" s="83"/>
      <c r="CU16" s="83"/>
      <c r="CV16" s="83"/>
      <c r="CW16" s="83"/>
      <c r="CX16" s="83"/>
      <c r="CY16" s="83"/>
      <c r="CZ16" s="83"/>
      <c r="DA16" s="83"/>
      <c r="DB16" s="83"/>
      <c r="DC16" s="83"/>
      <c r="DD16" s="83"/>
      <c r="DE16" s="83"/>
      <c r="DF16" s="83"/>
      <c r="DG16" s="83"/>
      <c r="DH16" s="83"/>
      <c r="DI16" s="83"/>
      <c r="DJ16" s="83"/>
      <c r="DK16" s="83"/>
      <c r="DL16" s="83"/>
      <c r="DM16" s="83"/>
      <c r="DN16" s="83"/>
      <c r="DO16" s="83"/>
      <c r="DP16" s="83"/>
      <c r="DQ16" s="83"/>
      <c r="DR16" s="83"/>
      <c r="DS16" s="83"/>
      <c r="DT16" s="83"/>
      <c r="DU16" s="83"/>
      <c r="DV16" s="83"/>
      <c r="DW16" s="83"/>
      <c r="DX16" s="83"/>
      <c r="DY16" s="83"/>
      <c r="DZ16" s="83"/>
      <c r="EA16" s="83"/>
      <c r="EB16" s="83"/>
      <c r="EC16" s="83"/>
      <c r="ED16" s="83"/>
      <c r="EE16" s="83"/>
      <c r="EF16" s="83"/>
      <c r="EG16" s="83"/>
      <c r="EH16" s="83"/>
      <c r="EI16" s="83"/>
      <c r="EJ16" s="83"/>
      <c r="EK16" s="83"/>
      <c r="EL16" s="83"/>
      <c r="EM16" s="83"/>
      <c r="EN16" s="83"/>
      <c r="EO16" s="83"/>
      <c r="EP16" s="83"/>
      <c r="EQ16" s="83"/>
      <c r="ER16" s="83"/>
      <c r="ES16" s="83"/>
      <c r="ET16" s="83"/>
      <c r="EU16" s="83"/>
      <c r="EV16" s="83"/>
      <c r="EW16" s="83"/>
      <c r="EX16" s="83"/>
      <c r="EY16" s="83"/>
      <c r="EZ16" s="83"/>
      <c r="FA16" s="83"/>
      <c r="FB16" s="83"/>
      <c r="FC16" s="83"/>
      <c r="FD16" s="83"/>
      <c r="FE16" s="83"/>
      <c r="FF16" s="83"/>
      <c r="FG16" s="83"/>
      <c r="FH16" s="83"/>
      <c r="FI16" s="83"/>
      <c r="FJ16" s="83"/>
      <c r="FK16" s="83"/>
      <c r="FL16" s="83"/>
      <c r="FM16" s="83"/>
      <c r="FN16" s="83"/>
      <c r="FO16" s="83"/>
      <c r="FP16" s="83"/>
      <c r="FQ16" s="83"/>
      <c r="FR16" s="83"/>
      <c r="FS16" s="83"/>
      <c r="FT16" s="83"/>
      <c r="FU16" s="83"/>
      <c r="FV16" s="83"/>
      <c r="FW16" s="83"/>
      <c r="FX16" s="83"/>
      <c r="FY16" s="83"/>
      <c r="FZ16" s="83"/>
      <c r="GA16" s="83"/>
      <c r="GB16" s="83"/>
      <c r="GC16" s="83"/>
      <c r="GD16" s="83"/>
      <c r="GE16" s="83"/>
      <c r="GF16" s="83"/>
      <c r="GG16" s="83"/>
      <c r="GH16" s="83"/>
      <c r="GI16" s="83"/>
      <c r="GJ16" s="83"/>
      <c r="GK16" s="83"/>
      <c r="GL16" s="83"/>
      <c r="GM16" s="83"/>
      <c r="GN16" s="83"/>
      <c r="GO16" s="83"/>
      <c r="GP16" s="83"/>
      <c r="GQ16" s="83"/>
      <c r="GR16" s="83"/>
      <c r="GS16" s="83"/>
      <c r="GT16" s="83"/>
      <c r="GU16" s="83"/>
      <c r="GV16" s="83"/>
      <c r="GW16" s="83"/>
      <c r="GX16" s="83"/>
      <c r="GY16" s="83"/>
      <c r="GZ16" s="83"/>
      <c r="HA16" s="83"/>
      <c r="HB16" s="83"/>
      <c r="HC16" s="83"/>
      <c r="HD16" s="83"/>
      <c r="HE16" s="83"/>
      <c r="HF16" s="83"/>
      <c r="HG16" s="83"/>
      <c r="HH16" s="83"/>
      <c r="HI16" s="83"/>
      <c r="HJ16" s="83"/>
      <c r="HK16" s="83"/>
      <c r="HL16" s="83"/>
      <c r="HM16" s="83"/>
      <c r="HN16" s="83"/>
      <c r="HO16" s="83"/>
      <c r="HP16" s="83"/>
      <c r="HQ16" s="83"/>
      <c r="HR16" s="83"/>
      <c r="HS16" s="83"/>
      <c r="HT16" s="83"/>
      <c r="HU16" s="83"/>
      <c r="HV16" s="83"/>
      <c r="HW16" s="83"/>
      <c r="HX16" s="83"/>
      <c r="HY16" s="83"/>
      <c r="HZ16" s="83"/>
      <c r="IA16" s="83"/>
      <c r="IB16" s="83"/>
      <c r="IC16" s="83"/>
      <c r="ID16" s="83"/>
      <c r="IE16" s="83"/>
      <c r="IF16" s="83"/>
      <c r="IG16" s="83"/>
      <c r="IH16" s="83"/>
      <c r="II16" s="83"/>
      <c r="IJ16" s="83"/>
      <c r="IK16" s="83"/>
      <c r="IL16" s="83"/>
      <c r="IM16" s="83"/>
      <c r="IN16" s="83"/>
      <c r="IO16" s="83"/>
      <c r="IP16" s="83"/>
      <c r="IQ16" s="83"/>
      <c r="IR16" s="83"/>
      <c r="IS16" s="83"/>
    </row>
    <row r="17" spans="1:253" x14ac:dyDescent="0.25">
      <c r="A17" s="86"/>
      <c r="B17" s="89"/>
      <c r="C17" s="87"/>
      <c r="D17" s="88"/>
      <c r="E17" s="88"/>
      <c r="F17" s="88"/>
      <c r="G17" s="88"/>
      <c r="H17" s="59"/>
      <c r="I17" s="59"/>
      <c r="J17" s="86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83"/>
      <c r="BG17" s="83"/>
      <c r="BH17" s="83"/>
      <c r="BI17" s="83"/>
      <c r="BJ17" s="83"/>
      <c r="BK17" s="83"/>
      <c r="BL17" s="83"/>
      <c r="BM17" s="83"/>
      <c r="BN17" s="83"/>
      <c r="BO17" s="83"/>
      <c r="BP17" s="83"/>
      <c r="BQ17" s="83"/>
      <c r="BR17" s="83"/>
      <c r="BS17" s="83"/>
      <c r="BT17" s="83"/>
      <c r="BU17" s="83"/>
      <c r="BV17" s="83"/>
      <c r="BW17" s="83"/>
      <c r="BX17" s="83"/>
      <c r="BY17" s="83"/>
      <c r="BZ17" s="83"/>
      <c r="CA17" s="83"/>
      <c r="CB17" s="83"/>
      <c r="CC17" s="83"/>
      <c r="CD17" s="83"/>
      <c r="CE17" s="83"/>
      <c r="CF17" s="83"/>
      <c r="CG17" s="83"/>
      <c r="CH17" s="83"/>
      <c r="CI17" s="83"/>
      <c r="CJ17" s="83"/>
      <c r="CK17" s="83"/>
      <c r="CL17" s="83"/>
      <c r="CM17" s="83"/>
      <c r="CN17" s="83"/>
      <c r="CO17" s="83"/>
      <c r="CP17" s="83"/>
      <c r="CQ17" s="83"/>
      <c r="CR17" s="83"/>
      <c r="CS17" s="83"/>
      <c r="CT17" s="83"/>
      <c r="CU17" s="83"/>
      <c r="CV17" s="83"/>
      <c r="CW17" s="83"/>
      <c r="CX17" s="83"/>
      <c r="CY17" s="83"/>
      <c r="CZ17" s="83"/>
      <c r="DA17" s="83"/>
      <c r="DB17" s="83"/>
      <c r="DC17" s="83"/>
      <c r="DD17" s="83"/>
      <c r="DE17" s="83"/>
      <c r="DF17" s="83"/>
      <c r="DG17" s="83"/>
      <c r="DH17" s="83"/>
      <c r="DI17" s="83"/>
      <c r="DJ17" s="83"/>
      <c r="DK17" s="83"/>
      <c r="DL17" s="83"/>
      <c r="DM17" s="83"/>
      <c r="DN17" s="83"/>
      <c r="DO17" s="83"/>
      <c r="DP17" s="83"/>
      <c r="DQ17" s="83"/>
      <c r="DR17" s="83"/>
      <c r="DS17" s="83"/>
      <c r="DT17" s="83"/>
      <c r="DU17" s="83"/>
      <c r="DV17" s="83"/>
      <c r="DW17" s="83"/>
      <c r="DX17" s="83"/>
      <c r="DY17" s="83"/>
      <c r="DZ17" s="83"/>
      <c r="EA17" s="83"/>
      <c r="EB17" s="83"/>
      <c r="EC17" s="83"/>
      <c r="ED17" s="83"/>
      <c r="EE17" s="83"/>
      <c r="EF17" s="83"/>
      <c r="EG17" s="83"/>
      <c r="EH17" s="83"/>
      <c r="EI17" s="83"/>
      <c r="EJ17" s="83"/>
      <c r="EK17" s="83"/>
      <c r="EL17" s="83"/>
      <c r="EM17" s="83"/>
      <c r="EN17" s="83"/>
      <c r="EO17" s="83"/>
      <c r="EP17" s="83"/>
      <c r="EQ17" s="83"/>
      <c r="ER17" s="83"/>
      <c r="ES17" s="83"/>
      <c r="ET17" s="83"/>
      <c r="EU17" s="83"/>
      <c r="EV17" s="83"/>
      <c r="EW17" s="83"/>
      <c r="EX17" s="83"/>
      <c r="EY17" s="83"/>
      <c r="EZ17" s="83"/>
      <c r="FA17" s="83"/>
      <c r="FB17" s="83"/>
      <c r="FC17" s="83"/>
      <c r="FD17" s="83"/>
      <c r="FE17" s="83"/>
      <c r="FF17" s="83"/>
      <c r="FG17" s="83"/>
      <c r="FH17" s="83"/>
      <c r="FI17" s="83"/>
      <c r="FJ17" s="83"/>
      <c r="FK17" s="83"/>
      <c r="FL17" s="83"/>
      <c r="FM17" s="83"/>
      <c r="FN17" s="83"/>
      <c r="FO17" s="83"/>
      <c r="FP17" s="83"/>
      <c r="FQ17" s="83"/>
      <c r="FR17" s="83"/>
      <c r="FS17" s="83"/>
      <c r="FT17" s="83"/>
      <c r="FU17" s="83"/>
      <c r="FV17" s="83"/>
      <c r="FW17" s="83"/>
      <c r="FX17" s="83"/>
      <c r="FY17" s="83"/>
      <c r="FZ17" s="83"/>
      <c r="GA17" s="83"/>
      <c r="GB17" s="83"/>
      <c r="GC17" s="83"/>
      <c r="GD17" s="83"/>
      <c r="GE17" s="83"/>
      <c r="GF17" s="83"/>
      <c r="GG17" s="83"/>
      <c r="GH17" s="83"/>
      <c r="GI17" s="83"/>
      <c r="GJ17" s="83"/>
      <c r="GK17" s="83"/>
      <c r="GL17" s="83"/>
      <c r="GM17" s="83"/>
      <c r="GN17" s="83"/>
      <c r="GO17" s="83"/>
      <c r="GP17" s="83"/>
      <c r="GQ17" s="83"/>
      <c r="GR17" s="83"/>
      <c r="GS17" s="83"/>
      <c r="GT17" s="83"/>
      <c r="GU17" s="83"/>
      <c r="GV17" s="83"/>
      <c r="GW17" s="83"/>
      <c r="GX17" s="83"/>
      <c r="GY17" s="83"/>
      <c r="GZ17" s="83"/>
      <c r="HA17" s="83"/>
      <c r="HB17" s="83"/>
      <c r="HC17" s="83"/>
      <c r="HD17" s="83"/>
      <c r="HE17" s="83"/>
      <c r="HF17" s="83"/>
      <c r="HG17" s="83"/>
      <c r="HH17" s="83"/>
      <c r="HI17" s="83"/>
      <c r="HJ17" s="83"/>
      <c r="HK17" s="83"/>
      <c r="HL17" s="83"/>
      <c r="HM17" s="83"/>
      <c r="HN17" s="83"/>
      <c r="HO17" s="83"/>
      <c r="HP17" s="83"/>
      <c r="HQ17" s="83"/>
      <c r="HR17" s="83"/>
      <c r="HS17" s="83"/>
      <c r="HT17" s="83"/>
      <c r="HU17" s="83"/>
      <c r="HV17" s="83"/>
      <c r="HW17" s="83"/>
      <c r="HX17" s="83"/>
      <c r="HY17" s="83"/>
      <c r="HZ17" s="83"/>
      <c r="IA17" s="83"/>
      <c r="IB17" s="83"/>
      <c r="IC17" s="83"/>
      <c r="ID17" s="83"/>
      <c r="IE17" s="83"/>
      <c r="IF17" s="83"/>
      <c r="IG17" s="83"/>
      <c r="IH17" s="83"/>
      <c r="II17" s="83"/>
      <c r="IJ17" s="83"/>
      <c r="IK17" s="83"/>
      <c r="IL17" s="83"/>
      <c r="IM17" s="83"/>
      <c r="IN17" s="83"/>
      <c r="IO17" s="83"/>
      <c r="IP17" s="83"/>
      <c r="IQ17" s="83"/>
      <c r="IR17" s="83"/>
      <c r="IS17" s="83"/>
    </row>
    <row r="18" spans="1:253" x14ac:dyDescent="0.25">
      <c r="A18" s="86"/>
      <c r="B18" s="293"/>
      <c r="C18" s="293"/>
      <c r="F18" s="88"/>
      <c r="G18" s="88"/>
      <c r="H18" s="59"/>
      <c r="I18" s="59"/>
      <c r="J18" s="86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Y18" s="83"/>
      <c r="BZ18" s="83"/>
      <c r="CA18" s="83"/>
      <c r="CB18" s="83"/>
      <c r="CC18" s="83"/>
      <c r="CD18" s="83"/>
      <c r="CE18" s="83"/>
      <c r="CF18" s="83"/>
      <c r="CG18" s="83"/>
      <c r="CH18" s="83"/>
      <c r="CI18" s="83"/>
      <c r="CJ18" s="83"/>
      <c r="CK18" s="83"/>
      <c r="CL18" s="83"/>
      <c r="CM18" s="83"/>
      <c r="CN18" s="83"/>
      <c r="CO18" s="83"/>
      <c r="CP18" s="83"/>
      <c r="CQ18" s="83"/>
      <c r="CR18" s="83"/>
      <c r="CS18" s="83"/>
      <c r="CT18" s="83"/>
      <c r="CU18" s="83"/>
      <c r="CV18" s="83"/>
      <c r="CW18" s="83"/>
      <c r="CX18" s="83"/>
      <c r="CY18" s="83"/>
      <c r="CZ18" s="83"/>
      <c r="DA18" s="83"/>
      <c r="DB18" s="83"/>
      <c r="DC18" s="83"/>
      <c r="DD18" s="83"/>
      <c r="DE18" s="83"/>
      <c r="DF18" s="83"/>
      <c r="DG18" s="83"/>
      <c r="DH18" s="83"/>
      <c r="DI18" s="83"/>
      <c r="DJ18" s="83"/>
      <c r="DK18" s="83"/>
      <c r="DL18" s="83"/>
      <c r="DM18" s="83"/>
      <c r="DN18" s="83"/>
      <c r="DO18" s="83"/>
      <c r="DP18" s="83"/>
      <c r="DQ18" s="83"/>
      <c r="DR18" s="83"/>
      <c r="DS18" s="83"/>
      <c r="DT18" s="83"/>
      <c r="DU18" s="83"/>
      <c r="DV18" s="83"/>
      <c r="DW18" s="83"/>
      <c r="DX18" s="83"/>
      <c r="DY18" s="83"/>
      <c r="DZ18" s="83"/>
      <c r="EA18" s="83"/>
      <c r="EB18" s="83"/>
      <c r="EC18" s="83"/>
      <c r="ED18" s="83"/>
      <c r="EE18" s="83"/>
      <c r="EF18" s="83"/>
      <c r="EG18" s="83"/>
      <c r="EH18" s="83"/>
      <c r="EI18" s="83"/>
      <c r="EJ18" s="83"/>
      <c r="EK18" s="83"/>
      <c r="EL18" s="83"/>
      <c r="EM18" s="83"/>
      <c r="EN18" s="83"/>
      <c r="EO18" s="83"/>
      <c r="EP18" s="83"/>
      <c r="EQ18" s="83"/>
      <c r="ER18" s="83"/>
      <c r="ES18" s="83"/>
      <c r="ET18" s="83"/>
      <c r="EU18" s="83"/>
      <c r="EV18" s="83"/>
      <c r="EW18" s="83"/>
      <c r="EX18" s="83"/>
      <c r="EY18" s="83"/>
      <c r="EZ18" s="83"/>
      <c r="FA18" s="83"/>
      <c r="FB18" s="83"/>
      <c r="FC18" s="83"/>
      <c r="FD18" s="83"/>
      <c r="FE18" s="83"/>
      <c r="FF18" s="83"/>
      <c r="FG18" s="83"/>
      <c r="FH18" s="83"/>
      <c r="FI18" s="83"/>
      <c r="FJ18" s="83"/>
      <c r="FK18" s="83"/>
      <c r="FL18" s="83"/>
      <c r="FM18" s="83"/>
      <c r="FN18" s="83"/>
      <c r="FO18" s="83"/>
      <c r="FP18" s="83"/>
      <c r="FQ18" s="83"/>
      <c r="FR18" s="83"/>
      <c r="FS18" s="83"/>
      <c r="FT18" s="83"/>
      <c r="FU18" s="83"/>
      <c r="FV18" s="83"/>
      <c r="FW18" s="83"/>
      <c r="FX18" s="83"/>
      <c r="FY18" s="83"/>
      <c r="FZ18" s="83"/>
      <c r="GA18" s="83"/>
      <c r="GB18" s="83"/>
      <c r="GC18" s="83"/>
      <c r="GD18" s="83"/>
      <c r="GE18" s="83"/>
      <c r="GF18" s="83"/>
      <c r="GG18" s="83"/>
      <c r="GH18" s="83"/>
      <c r="GI18" s="83"/>
      <c r="GJ18" s="83"/>
      <c r="GK18" s="83"/>
      <c r="GL18" s="83"/>
      <c r="GM18" s="83"/>
      <c r="GN18" s="83"/>
      <c r="GO18" s="83"/>
      <c r="GP18" s="83"/>
      <c r="GQ18" s="83"/>
      <c r="GR18" s="83"/>
      <c r="GS18" s="83"/>
      <c r="GT18" s="83"/>
      <c r="GU18" s="83"/>
      <c r="GV18" s="83"/>
      <c r="GW18" s="83"/>
      <c r="GX18" s="83"/>
      <c r="GY18" s="83"/>
      <c r="GZ18" s="83"/>
      <c r="HA18" s="83"/>
      <c r="HB18" s="83"/>
      <c r="HC18" s="83"/>
      <c r="HD18" s="83"/>
      <c r="HE18" s="83"/>
      <c r="HF18" s="83"/>
      <c r="HG18" s="83"/>
      <c r="HH18" s="83"/>
      <c r="HI18" s="83"/>
      <c r="HJ18" s="83"/>
      <c r="HK18" s="83"/>
      <c r="HL18" s="83"/>
      <c r="HM18" s="83"/>
      <c r="HN18" s="83"/>
      <c r="HO18" s="83"/>
      <c r="HP18" s="83"/>
      <c r="HQ18" s="83"/>
      <c r="HR18" s="83"/>
      <c r="HS18" s="83"/>
      <c r="HT18" s="83"/>
      <c r="HU18" s="83"/>
      <c r="HV18" s="83"/>
      <c r="HW18" s="83"/>
      <c r="HX18" s="83"/>
      <c r="HY18" s="83"/>
      <c r="HZ18" s="83"/>
      <c r="IA18" s="83"/>
      <c r="IB18" s="83"/>
      <c r="IC18" s="83"/>
      <c r="ID18" s="83"/>
      <c r="IE18" s="83"/>
      <c r="IF18" s="83"/>
      <c r="IG18" s="83"/>
      <c r="IH18" s="83"/>
      <c r="II18" s="83"/>
      <c r="IJ18" s="83"/>
      <c r="IK18" s="83"/>
      <c r="IL18" s="83"/>
      <c r="IM18" s="83"/>
      <c r="IN18" s="83"/>
      <c r="IO18" s="83"/>
      <c r="IP18" s="83"/>
      <c r="IQ18" s="83"/>
      <c r="IR18" s="83"/>
      <c r="IS18" s="83"/>
    </row>
    <row r="19" spans="1:253" x14ac:dyDescent="0.25">
      <c r="A19" s="90"/>
      <c r="B19" s="293" t="s">
        <v>327</v>
      </c>
      <c r="C19" s="293"/>
      <c r="D19" s="297" t="s">
        <v>328</v>
      </c>
      <c r="E19" s="297"/>
      <c r="F19" s="85"/>
      <c r="G19" s="297" t="s">
        <v>329</v>
      </c>
      <c r="H19" s="297"/>
      <c r="I19" s="299" t="s">
        <v>330</v>
      </c>
      <c r="J19" s="299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  <c r="BX19" s="91"/>
      <c r="BY19" s="91"/>
      <c r="BZ19" s="91"/>
      <c r="CA19" s="91"/>
      <c r="CB19" s="91"/>
      <c r="CC19" s="91"/>
      <c r="CD19" s="91"/>
      <c r="CE19" s="91"/>
      <c r="CF19" s="91"/>
      <c r="CG19" s="91"/>
      <c r="CH19" s="91"/>
      <c r="CI19" s="91"/>
      <c r="CJ19" s="91"/>
      <c r="CK19" s="91"/>
      <c r="CL19" s="91"/>
      <c r="CM19" s="91"/>
      <c r="CN19" s="91"/>
      <c r="CO19" s="91"/>
      <c r="CP19" s="91"/>
      <c r="CQ19" s="91"/>
      <c r="CR19" s="91"/>
      <c r="CS19" s="91"/>
      <c r="CT19" s="91"/>
      <c r="CU19" s="91"/>
      <c r="CV19" s="91"/>
      <c r="CW19" s="91"/>
      <c r="CX19" s="91"/>
      <c r="CY19" s="91"/>
      <c r="CZ19" s="91"/>
      <c r="DA19" s="91"/>
      <c r="DB19" s="91"/>
      <c r="DC19" s="91"/>
      <c r="DD19" s="91"/>
      <c r="DE19" s="91"/>
      <c r="DF19" s="91"/>
      <c r="DG19" s="91"/>
      <c r="DH19" s="91"/>
      <c r="DI19" s="91"/>
      <c r="DJ19" s="91"/>
      <c r="DK19" s="91"/>
      <c r="DL19" s="91"/>
      <c r="DM19" s="91"/>
      <c r="DN19" s="91"/>
      <c r="DO19" s="91"/>
      <c r="DP19" s="91"/>
      <c r="DQ19" s="91"/>
      <c r="DR19" s="91"/>
      <c r="DS19" s="91"/>
      <c r="DT19" s="91"/>
      <c r="DU19" s="91"/>
      <c r="DV19" s="91"/>
      <c r="DW19" s="91"/>
      <c r="DX19" s="91"/>
      <c r="DY19" s="91"/>
      <c r="DZ19" s="91"/>
      <c r="EA19" s="91"/>
      <c r="EB19" s="91"/>
      <c r="EC19" s="91"/>
      <c r="ED19" s="91"/>
      <c r="EE19" s="91"/>
      <c r="EF19" s="91"/>
      <c r="EG19" s="91"/>
      <c r="EH19" s="91"/>
      <c r="EI19" s="91"/>
      <c r="EJ19" s="91"/>
      <c r="EK19" s="91"/>
      <c r="EL19" s="91"/>
      <c r="EM19" s="91"/>
      <c r="EN19" s="91"/>
      <c r="EO19" s="91"/>
      <c r="EP19" s="91"/>
      <c r="EQ19" s="91"/>
      <c r="ER19" s="91"/>
      <c r="ES19" s="91"/>
      <c r="ET19" s="91"/>
      <c r="EU19" s="91"/>
      <c r="EV19" s="91"/>
      <c r="EW19" s="91"/>
      <c r="EX19" s="91"/>
      <c r="EY19" s="91"/>
      <c r="EZ19" s="91"/>
      <c r="FA19" s="91"/>
      <c r="FB19" s="91"/>
      <c r="FC19" s="91"/>
      <c r="FD19" s="91"/>
      <c r="FE19" s="91"/>
      <c r="FF19" s="91"/>
      <c r="FG19" s="91"/>
      <c r="FH19" s="91"/>
      <c r="FI19" s="91"/>
      <c r="FJ19" s="91"/>
      <c r="FK19" s="91"/>
      <c r="FL19" s="91"/>
      <c r="FM19" s="91"/>
      <c r="FN19" s="91"/>
      <c r="FO19" s="91"/>
      <c r="FP19" s="91"/>
      <c r="FQ19" s="91"/>
      <c r="FR19" s="91"/>
      <c r="FS19" s="91"/>
      <c r="FT19" s="91"/>
      <c r="FU19" s="91"/>
      <c r="FV19" s="91"/>
      <c r="FW19" s="91"/>
      <c r="FX19" s="91"/>
      <c r="FY19" s="91"/>
      <c r="FZ19" s="91"/>
      <c r="GA19" s="91"/>
      <c r="GB19" s="91"/>
      <c r="GC19" s="91"/>
      <c r="GD19" s="91"/>
      <c r="GE19" s="91"/>
      <c r="GF19" s="91"/>
      <c r="GG19" s="91"/>
      <c r="GH19" s="91"/>
      <c r="GI19" s="91"/>
      <c r="GJ19" s="91"/>
      <c r="GK19" s="91"/>
      <c r="GL19" s="91"/>
      <c r="GM19" s="91"/>
      <c r="GN19" s="91"/>
      <c r="GO19" s="91"/>
      <c r="GP19" s="91"/>
      <c r="GQ19" s="91"/>
      <c r="GR19" s="91"/>
      <c r="GS19" s="91"/>
      <c r="GT19" s="91"/>
      <c r="GU19" s="91"/>
      <c r="GV19" s="91"/>
      <c r="GW19" s="91"/>
      <c r="GX19" s="91"/>
      <c r="GY19" s="91"/>
      <c r="GZ19" s="91"/>
      <c r="HA19" s="91"/>
      <c r="HB19" s="91"/>
      <c r="HC19" s="91"/>
      <c r="HD19" s="91"/>
      <c r="HE19" s="91"/>
      <c r="HF19" s="91"/>
      <c r="HG19" s="91"/>
      <c r="HH19" s="91"/>
      <c r="HI19" s="91"/>
      <c r="HJ19" s="91"/>
      <c r="HK19" s="91"/>
      <c r="HL19" s="91"/>
      <c r="HM19" s="91"/>
      <c r="HN19" s="91"/>
      <c r="HO19" s="91"/>
      <c r="HP19" s="91"/>
      <c r="HQ19" s="91"/>
      <c r="HR19" s="91"/>
      <c r="HS19" s="91"/>
      <c r="HT19" s="91"/>
      <c r="HU19" s="91"/>
      <c r="HV19" s="91"/>
      <c r="HW19" s="91"/>
      <c r="HX19" s="91"/>
      <c r="HY19" s="91"/>
      <c r="HZ19" s="91"/>
      <c r="IA19" s="91"/>
      <c r="IB19" s="91"/>
      <c r="IC19" s="91"/>
      <c r="ID19" s="91"/>
      <c r="IE19" s="91"/>
      <c r="IF19" s="91"/>
      <c r="IG19" s="91"/>
      <c r="IH19" s="91"/>
      <c r="II19" s="91"/>
      <c r="IJ19" s="91"/>
      <c r="IK19" s="91"/>
      <c r="IL19" s="91"/>
      <c r="IM19" s="91"/>
      <c r="IN19" s="91"/>
      <c r="IO19" s="91"/>
      <c r="IP19" s="91"/>
      <c r="IQ19" s="91"/>
      <c r="IR19" s="91"/>
      <c r="IS19" s="91"/>
    </row>
    <row r="20" spans="1:253" x14ac:dyDescent="0.25">
      <c r="B20" s="55"/>
      <c r="C20" s="87"/>
      <c r="E20" s="297"/>
      <c r="F20" s="297"/>
      <c r="H20" s="59"/>
      <c r="I20" s="59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83"/>
      <c r="BG20" s="83"/>
      <c r="BH20" s="83"/>
      <c r="BI20" s="83"/>
      <c r="BJ20" s="83"/>
      <c r="BK20" s="83"/>
      <c r="BL20" s="83"/>
      <c r="BM20" s="83"/>
      <c r="BN20" s="83"/>
      <c r="BO20" s="83"/>
      <c r="BP20" s="83"/>
      <c r="BQ20" s="83"/>
      <c r="BR20" s="83"/>
      <c r="BS20" s="83"/>
      <c r="BT20" s="83"/>
      <c r="BU20" s="83"/>
      <c r="BV20" s="83"/>
      <c r="BW20" s="83"/>
      <c r="BX20" s="83"/>
      <c r="BY20" s="83"/>
      <c r="BZ20" s="83"/>
      <c r="CA20" s="83"/>
      <c r="CB20" s="83"/>
      <c r="CC20" s="83"/>
      <c r="CD20" s="83"/>
      <c r="CE20" s="83"/>
      <c r="CF20" s="83"/>
      <c r="CG20" s="83"/>
      <c r="CH20" s="83"/>
      <c r="CI20" s="83"/>
      <c r="CJ20" s="83"/>
      <c r="CK20" s="83"/>
      <c r="CL20" s="83"/>
      <c r="CM20" s="83"/>
      <c r="CN20" s="83"/>
      <c r="CO20" s="83"/>
      <c r="CP20" s="83"/>
      <c r="CQ20" s="83"/>
      <c r="CR20" s="83"/>
      <c r="CS20" s="83"/>
      <c r="CT20" s="83"/>
      <c r="CU20" s="83"/>
      <c r="CV20" s="83"/>
      <c r="CW20" s="83"/>
      <c r="CX20" s="83"/>
      <c r="CY20" s="83"/>
      <c r="CZ20" s="83"/>
      <c r="DA20" s="83"/>
      <c r="DB20" s="83"/>
      <c r="DC20" s="83"/>
      <c r="DD20" s="83"/>
      <c r="DE20" s="83"/>
      <c r="DF20" s="83"/>
      <c r="DG20" s="83"/>
      <c r="DH20" s="83"/>
      <c r="DI20" s="83"/>
      <c r="DJ20" s="83"/>
      <c r="DK20" s="83"/>
      <c r="DL20" s="83"/>
      <c r="DM20" s="83"/>
      <c r="DN20" s="83"/>
      <c r="DO20" s="83"/>
      <c r="DP20" s="83"/>
      <c r="DQ20" s="83"/>
      <c r="DR20" s="83"/>
      <c r="DS20" s="83"/>
      <c r="DT20" s="83"/>
      <c r="DU20" s="83"/>
      <c r="DV20" s="83"/>
      <c r="DW20" s="83"/>
      <c r="DX20" s="83"/>
      <c r="DY20" s="83"/>
      <c r="DZ20" s="83"/>
      <c r="EA20" s="83"/>
      <c r="EB20" s="83"/>
      <c r="EC20" s="83"/>
      <c r="ED20" s="83"/>
      <c r="EE20" s="83"/>
      <c r="EF20" s="83"/>
      <c r="EG20" s="83"/>
      <c r="EH20" s="83"/>
      <c r="EI20" s="83"/>
      <c r="EJ20" s="83"/>
      <c r="EK20" s="83"/>
      <c r="EL20" s="83"/>
      <c r="EM20" s="83"/>
      <c r="EN20" s="83"/>
      <c r="EO20" s="83"/>
      <c r="EP20" s="83"/>
      <c r="EQ20" s="83"/>
      <c r="ER20" s="83"/>
      <c r="ES20" s="83"/>
      <c r="ET20" s="83"/>
      <c r="EU20" s="83"/>
      <c r="EV20" s="83"/>
      <c r="EW20" s="83"/>
      <c r="EX20" s="83"/>
      <c r="EY20" s="83"/>
      <c r="EZ20" s="83"/>
      <c r="FA20" s="83"/>
      <c r="FB20" s="83"/>
      <c r="FC20" s="83"/>
      <c r="FD20" s="83"/>
      <c r="FE20" s="83"/>
      <c r="FF20" s="83"/>
      <c r="FG20" s="83"/>
      <c r="FH20" s="83"/>
      <c r="FI20" s="83"/>
      <c r="FJ20" s="83"/>
      <c r="FK20" s="83"/>
      <c r="FL20" s="83"/>
      <c r="FM20" s="83"/>
      <c r="FN20" s="83"/>
      <c r="FO20" s="83"/>
      <c r="FP20" s="83"/>
      <c r="FQ20" s="83"/>
      <c r="FR20" s="83"/>
      <c r="FS20" s="83"/>
      <c r="FT20" s="83"/>
      <c r="FU20" s="83"/>
      <c r="FV20" s="83"/>
      <c r="FW20" s="83"/>
      <c r="FX20" s="83"/>
      <c r="FY20" s="83"/>
      <c r="FZ20" s="83"/>
      <c r="GA20" s="83"/>
      <c r="GB20" s="83"/>
      <c r="GC20" s="83"/>
      <c r="GD20" s="83"/>
      <c r="GE20" s="83"/>
      <c r="GF20" s="83"/>
      <c r="GG20" s="83"/>
      <c r="GH20" s="83"/>
      <c r="GI20" s="83"/>
      <c r="GJ20" s="83"/>
      <c r="GK20" s="83"/>
      <c r="GL20" s="83"/>
      <c r="GM20" s="83"/>
      <c r="GN20" s="83"/>
      <c r="GO20" s="83"/>
      <c r="GP20" s="83"/>
      <c r="GQ20" s="83"/>
      <c r="GR20" s="83"/>
      <c r="GS20" s="83"/>
      <c r="GT20" s="83"/>
      <c r="GU20" s="83"/>
      <c r="GV20" s="83"/>
      <c r="GW20" s="83"/>
      <c r="GX20" s="83"/>
      <c r="GY20" s="83"/>
      <c r="GZ20" s="83"/>
      <c r="HA20" s="83"/>
      <c r="HB20" s="83"/>
      <c r="HC20" s="83"/>
      <c r="HD20" s="83"/>
      <c r="HE20" s="83"/>
      <c r="HF20" s="83"/>
      <c r="HG20" s="83"/>
      <c r="HH20" s="83"/>
      <c r="HI20" s="83"/>
      <c r="HJ20" s="83"/>
      <c r="HK20" s="83"/>
      <c r="HL20" s="83"/>
      <c r="HM20" s="83"/>
      <c r="HN20" s="83"/>
      <c r="HO20" s="83"/>
      <c r="HP20" s="83"/>
      <c r="HQ20" s="83"/>
      <c r="HR20" s="83"/>
      <c r="HS20" s="83"/>
      <c r="HT20" s="83"/>
      <c r="HU20" s="83"/>
      <c r="HV20" s="83"/>
      <c r="HW20" s="83"/>
      <c r="HX20" s="83"/>
      <c r="HY20" s="83"/>
      <c r="HZ20" s="83"/>
      <c r="IA20" s="83"/>
      <c r="IB20" s="83"/>
      <c r="IC20" s="83"/>
      <c r="ID20" s="83"/>
      <c r="IE20" s="83"/>
      <c r="IF20" s="83"/>
      <c r="IG20" s="83"/>
      <c r="IH20" s="83"/>
      <c r="II20" s="83"/>
      <c r="IJ20" s="83"/>
      <c r="IK20" s="83"/>
      <c r="IL20" s="83"/>
      <c r="IM20" s="83"/>
      <c r="IN20" s="83"/>
      <c r="IO20" s="83"/>
      <c r="IP20" s="83"/>
      <c r="IQ20" s="83"/>
      <c r="IR20" s="83"/>
      <c r="IS20" s="83"/>
    </row>
    <row r="21" spans="1:253" x14ac:dyDescent="0.25">
      <c r="B21" s="55"/>
      <c r="C21" s="87"/>
      <c r="H21" s="59"/>
      <c r="I21" s="59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3"/>
      <c r="BL21" s="83"/>
      <c r="BM21" s="83"/>
      <c r="BN21" s="83"/>
      <c r="BO21" s="83"/>
      <c r="BP21" s="83"/>
      <c r="BQ21" s="83"/>
      <c r="BR21" s="83"/>
      <c r="BS21" s="83"/>
      <c r="BT21" s="83"/>
      <c r="BU21" s="83"/>
      <c r="BV21" s="83"/>
      <c r="BW21" s="83"/>
      <c r="BX21" s="83"/>
      <c r="BY21" s="83"/>
      <c r="BZ21" s="83"/>
      <c r="CA21" s="83"/>
      <c r="CB21" s="83"/>
      <c r="CC21" s="83"/>
      <c r="CD21" s="83"/>
      <c r="CE21" s="83"/>
      <c r="CF21" s="83"/>
      <c r="CG21" s="83"/>
      <c r="CH21" s="83"/>
      <c r="CI21" s="83"/>
      <c r="CJ21" s="83"/>
      <c r="CK21" s="83"/>
      <c r="CL21" s="83"/>
      <c r="CM21" s="83"/>
      <c r="CN21" s="83"/>
      <c r="CO21" s="83"/>
      <c r="CP21" s="83"/>
      <c r="CQ21" s="83"/>
      <c r="CR21" s="83"/>
      <c r="CS21" s="83"/>
      <c r="CT21" s="83"/>
      <c r="CU21" s="83"/>
      <c r="CV21" s="83"/>
      <c r="CW21" s="83"/>
      <c r="CX21" s="83"/>
      <c r="CY21" s="83"/>
      <c r="CZ21" s="83"/>
      <c r="DA21" s="83"/>
      <c r="DB21" s="83"/>
      <c r="DC21" s="83"/>
      <c r="DD21" s="83"/>
      <c r="DE21" s="83"/>
      <c r="DF21" s="83"/>
      <c r="DG21" s="83"/>
      <c r="DH21" s="83"/>
      <c r="DI21" s="83"/>
      <c r="DJ21" s="83"/>
      <c r="DK21" s="83"/>
      <c r="DL21" s="83"/>
      <c r="DM21" s="83"/>
      <c r="DN21" s="83"/>
      <c r="DO21" s="83"/>
      <c r="DP21" s="83"/>
      <c r="DQ21" s="83"/>
      <c r="DR21" s="83"/>
      <c r="DS21" s="83"/>
      <c r="DT21" s="83"/>
      <c r="DU21" s="83"/>
      <c r="DV21" s="83"/>
      <c r="DW21" s="83"/>
      <c r="DX21" s="83"/>
      <c r="DY21" s="83"/>
      <c r="DZ21" s="83"/>
      <c r="EA21" s="83"/>
      <c r="EB21" s="83"/>
      <c r="EC21" s="83"/>
      <c r="ED21" s="83"/>
      <c r="EE21" s="83"/>
      <c r="EF21" s="83"/>
      <c r="EG21" s="83"/>
      <c r="EH21" s="83"/>
      <c r="EI21" s="83"/>
      <c r="EJ21" s="83"/>
      <c r="EK21" s="83"/>
      <c r="EL21" s="83"/>
      <c r="EM21" s="83"/>
      <c r="EN21" s="83"/>
      <c r="EO21" s="83"/>
      <c r="EP21" s="83"/>
      <c r="EQ21" s="83"/>
      <c r="ER21" s="83"/>
      <c r="ES21" s="83"/>
      <c r="ET21" s="83"/>
      <c r="EU21" s="83"/>
      <c r="EV21" s="83"/>
      <c r="EW21" s="83"/>
      <c r="EX21" s="83"/>
      <c r="EY21" s="83"/>
      <c r="EZ21" s="83"/>
      <c r="FA21" s="83"/>
      <c r="FB21" s="83"/>
      <c r="FC21" s="83"/>
      <c r="FD21" s="83"/>
      <c r="FE21" s="83"/>
      <c r="FF21" s="83"/>
      <c r="FG21" s="83"/>
      <c r="FH21" s="83"/>
      <c r="FI21" s="83"/>
      <c r="FJ21" s="83"/>
      <c r="FK21" s="83"/>
      <c r="FL21" s="83"/>
      <c r="FM21" s="83"/>
      <c r="FN21" s="83"/>
      <c r="FO21" s="83"/>
      <c r="FP21" s="83"/>
      <c r="FQ21" s="83"/>
      <c r="FR21" s="83"/>
      <c r="FS21" s="83"/>
      <c r="FT21" s="83"/>
      <c r="FU21" s="83"/>
      <c r="FV21" s="83"/>
      <c r="FW21" s="83"/>
      <c r="FX21" s="83"/>
      <c r="FY21" s="83"/>
      <c r="FZ21" s="83"/>
      <c r="GA21" s="83"/>
      <c r="GB21" s="83"/>
      <c r="GC21" s="83"/>
      <c r="GD21" s="83"/>
      <c r="GE21" s="83"/>
      <c r="GF21" s="83"/>
      <c r="GG21" s="83"/>
      <c r="GH21" s="83"/>
      <c r="GI21" s="83"/>
      <c r="GJ21" s="83"/>
      <c r="GK21" s="83"/>
      <c r="GL21" s="83"/>
      <c r="GM21" s="83"/>
      <c r="GN21" s="83"/>
      <c r="GO21" s="83"/>
      <c r="GP21" s="83"/>
      <c r="GQ21" s="83"/>
      <c r="GR21" s="83"/>
      <c r="GS21" s="83"/>
      <c r="GT21" s="83"/>
      <c r="GU21" s="83"/>
      <c r="GV21" s="83"/>
      <c r="GW21" s="83"/>
      <c r="GX21" s="83"/>
      <c r="GY21" s="83"/>
      <c r="GZ21" s="83"/>
      <c r="HA21" s="83"/>
      <c r="HB21" s="83"/>
      <c r="HC21" s="83"/>
      <c r="HD21" s="83"/>
      <c r="HE21" s="83"/>
      <c r="HF21" s="83"/>
      <c r="HG21" s="83"/>
      <c r="HH21" s="83"/>
      <c r="HI21" s="83"/>
      <c r="HJ21" s="83"/>
      <c r="HK21" s="83"/>
      <c r="HL21" s="83"/>
      <c r="HM21" s="83"/>
      <c r="HN21" s="83"/>
      <c r="HO21" s="83"/>
      <c r="HP21" s="83"/>
      <c r="HQ21" s="83"/>
      <c r="HR21" s="83"/>
      <c r="HS21" s="83"/>
      <c r="HT21" s="83"/>
      <c r="HU21" s="83"/>
      <c r="HV21" s="83"/>
      <c r="HW21" s="83"/>
      <c r="HX21" s="83"/>
      <c r="HY21" s="83"/>
      <c r="HZ21" s="83"/>
      <c r="IA21" s="83"/>
      <c r="IB21" s="83"/>
      <c r="IC21" s="83"/>
      <c r="ID21" s="83"/>
      <c r="IE21" s="83"/>
      <c r="IF21" s="83"/>
      <c r="IG21" s="83"/>
      <c r="IH21" s="83"/>
      <c r="II21" s="83"/>
      <c r="IJ21" s="83"/>
      <c r="IK21" s="83"/>
      <c r="IL21" s="83"/>
      <c r="IM21" s="83"/>
      <c r="IN21" s="83"/>
      <c r="IO21" s="83"/>
      <c r="IP21" s="83"/>
      <c r="IQ21" s="83"/>
      <c r="IR21" s="83"/>
      <c r="IS21" s="83"/>
    </row>
    <row r="22" spans="1:253" x14ac:dyDescent="0.25">
      <c r="A22" s="83"/>
      <c r="B22" s="92"/>
      <c r="C22" s="93"/>
      <c r="D22" s="94"/>
      <c r="E22" s="94"/>
      <c r="F22" s="94"/>
      <c r="G22" s="94"/>
      <c r="H22" s="94"/>
      <c r="I22" s="94"/>
      <c r="J22" s="95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3"/>
      <c r="BL22" s="83"/>
      <c r="BM22" s="83"/>
      <c r="BN22" s="83"/>
      <c r="BO22" s="83"/>
      <c r="BP22" s="83"/>
      <c r="BQ22" s="83"/>
      <c r="BR22" s="83"/>
      <c r="BS22" s="83"/>
      <c r="BT22" s="83"/>
      <c r="BU22" s="83"/>
      <c r="BV22" s="83"/>
      <c r="BW22" s="83"/>
      <c r="BX22" s="83"/>
      <c r="BY22" s="83"/>
      <c r="BZ22" s="83"/>
      <c r="CA22" s="83"/>
      <c r="CB22" s="83"/>
      <c r="CC22" s="83"/>
      <c r="CD22" s="83"/>
      <c r="CE22" s="83"/>
      <c r="CF22" s="83"/>
      <c r="CG22" s="83"/>
      <c r="CH22" s="83"/>
      <c r="CI22" s="83"/>
      <c r="CJ22" s="83"/>
      <c r="CK22" s="83"/>
      <c r="CL22" s="83"/>
      <c r="CM22" s="83"/>
      <c r="CN22" s="83"/>
      <c r="CO22" s="83"/>
      <c r="CP22" s="83"/>
      <c r="CQ22" s="83"/>
      <c r="CR22" s="83"/>
      <c r="CS22" s="83"/>
      <c r="CT22" s="83"/>
      <c r="CU22" s="83"/>
      <c r="CV22" s="83"/>
      <c r="CW22" s="83"/>
      <c r="CX22" s="83"/>
      <c r="CY22" s="83"/>
      <c r="CZ22" s="83"/>
      <c r="DA22" s="83"/>
      <c r="DB22" s="83"/>
      <c r="DC22" s="83"/>
      <c r="DD22" s="83"/>
      <c r="DE22" s="83"/>
      <c r="DF22" s="83"/>
      <c r="DG22" s="83"/>
      <c r="DH22" s="83"/>
      <c r="DI22" s="83"/>
      <c r="DJ22" s="83"/>
      <c r="DK22" s="83"/>
      <c r="DL22" s="83"/>
      <c r="DM22" s="83"/>
      <c r="DN22" s="83"/>
      <c r="DO22" s="83"/>
      <c r="DP22" s="83"/>
      <c r="DQ22" s="83"/>
      <c r="DR22" s="83"/>
      <c r="DS22" s="83"/>
      <c r="DT22" s="83"/>
      <c r="DU22" s="83"/>
      <c r="DV22" s="83"/>
      <c r="DW22" s="83"/>
      <c r="DX22" s="83"/>
      <c r="DY22" s="83"/>
      <c r="DZ22" s="83"/>
      <c r="EA22" s="83"/>
      <c r="EB22" s="83"/>
      <c r="EC22" s="83"/>
      <c r="ED22" s="83"/>
      <c r="EE22" s="83"/>
      <c r="EF22" s="83"/>
      <c r="EG22" s="83"/>
      <c r="EH22" s="83"/>
      <c r="EI22" s="83"/>
      <c r="EJ22" s="83"/>
      <c r="EK22" s="83"/>
      <c r="EL22" s="83"/>
      <c r="EM22" s="83"/>
      <c r="EN22" s="83"/>
      <c r="EO22" s="83"/>
      <c r="EP22" s="83"/>
      <c r="EQ22" s="83"/>
      <c r="ER22" s="83"/>
      <c r="ES22" s="83"/>
      <c r="ET22" s="83"/>
      <c r="EU22" s="83"/>
      <c r="EV22" s="83"/>
      <c r="EW22" s="83"/>
      <c r="EX22" s="83"/>
      <c r="EY22" s="83"/>
      <c r="EZ22" s="83"/>
      <c r="FA22" s="83"/>
      <c r="FB22" s="83"/>
      <c r="FC22" s="83"/>
      <c r="FD22" s="83"/>
      <c r="FE22" s="83"/>
      <c r="FF22" s="83"/>
      <c r="FG22" s="83"/>
      <c r="FH22" s="83"/>
      <c r="FI22" s="83"/>
      <c r="FJ22" s="83"/>
      <c r="FK22" s="83"/>
      <c r="FL22" s="83"/>
      <c r="FM22" s="83"/>
      <c r="FN22" s="83"/>
      <c r="FO22" s="83"/>
      <c r="FP22" s="83"/>
      <c r="FQ22" s="83"/>
      <c r="FR22" s="83"/>
      <c r="FS22" s="83"/>
      <c r="FT22" s="83"/>
      <c r="FU22" s="83"/>
      <c r="FV22" s="83"/>
      <c r="FW22" s="83"/>
      <c r="FX22" s="83"/>
      <c r="FY22" s="83"/>
      <c r="FZ22" s="83"/>
      <c r="GA22" s="83"/>
      <c r="GB22" s="83"/>
      <c r="GC22" s="83"/>
      <c r="GD22" s="83"/>
      <c r="GE22" s="83"/>
      <c r="GF22" s="83"/>
      <c r="GG22" s="83"/>
      <c r="GH22" s="83"/>
      <c r="GI22" s="83"/>
      <c r="GJ22" s="83"/>
      <c r="GK22" s="83"/>
      <c r="GL22" s="83"/>
      <c r="GM22" s="83"/>
      <c r="GN22" s="83"/>
      <c r="GO22" s="83"/>
      <c r="GP22" s="83"/>
      <c r="GQ22" s="83"/>
      <c r="GR22" s="83"/>
      <c r="GS22" s="83"/>
      <c r="GT22" s="83"/>
      <c r="GU22" s="83"/>
      <c r="GV22" s="83"/>
      <c r="GW22" s="83"/>
      <c r="GX22" s="83"/>
      <c r="GY22" s="83"/>
      <c r="GZ22" s="83"/>
      <c r="HA22" s="83"/>
      <c r="HB22" s="83"/>
      <c r="HC22" s="83"/>
      <c r="HD22" s="83"/>
      <c r="HE22" s="83"/>
      <c r="HF22" s="83"/>
      <c r="HG22" s="83"/>
      <c r="HH22" s="83"/>
      <c r="HI22" s="83"/>
      <c r="HJ22" s="83"/>
      <c r="HK22" s="83"/>
      <c r="HL22" s="83"/>
      <c r="HM22" s="83"/>
      <c r="HN22" s="83"/>
      <c r="HO22" s="83"/>
      <c r="HP22" s="83"/>
      <c r="HQ22" s="83"/>
      <c r="HR22" s="83"/>
      <c r="HS22" s="83"/>
      <c r="HT22" s="83"/>
      <c r="HU22" s="83"/>
      <c r="HV22" s="83"/>
      <c r="HW22" s="83"/>
      <c r="HX22" s="83"/>
      <c r="HY22" s="83"/>
      <c r="HZ22" s="83"/>
      <c r="IA22" s="83"/>
      <c r="IB22" s="83"/>
      <c r="IC22" s="83"/>
      <c r="ID22" s="83"/>
      <c r="IE22" s="83"/>
      <c r="IF22" s="83"/>
      <c r="IG22" s="83"/>
      <c r="IH22" s="83"/>
      <c r="II22" s="83"/>
      <c r="IJ22" s="83"/>
      <c r="IK22" s="83"/>
      <c r="IL22" s="83"/>
      <c r="IM22" s="83"/>
      <c r="IN22" s="83"/>
      <c r="IO22" s="83"/>
      <c r="IP22" s="83"/>
      <c r="IQ22" s="83"/>
      <c r="IR22" s="83"/>
      <c r="IS22" s="83"/>
    </row>
    <row r="23" spans="1:253" x14ac:dyDescent="0.25">
      <c r="A23" s="83"/>
      <c r="B23" s="92"/>
      <c r="C23" s="93"/>
      <c r="D23" s="94"/>
      <c r="E23" s="94"/>
      <c r="F23" s="94"/>
      <c r="G23" s="94"/>
      <c r="H23" s="94"/>
      <c r="I23" s="94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3"/>
      <c r="BM23" s="83"/>
      <c r="BN23" s="83"/>
      <c r="BO23" s="83"/>
      <c r="BP23" s="83"/>
      <c r="BQ23" s="83"/>
      <c r="BR23" s="83"/>
      <c r="BS23" s="83"/>
      <c r="BT23" s="83"/>
      <c r="BU23" s="83"/>
      <c r="BV23" s="83"/>
      <c r="BW23" s="83"/>
      <c r="BX23" s="83"/>
      <c r="BY23" s="83"/>
      <c r="BZ23" s="83"/>
      <c r="CA23" s="83"/>
      <c r="CB23" s="83"/>
      <c r="CC23" s="83"/>
      <c r="CD23" s="83"/>
      <c r="CE23" s="83"/>
      <c r="CF23" s="83"/>
      <c r="CG23" s="83"/>
      <c r="CH23" s="83"/>
      <c r="CI23" s="83"/>
      <c r="CJ23" s="83"/>
      <c r="CK23" s="83"/>
      <c r="CL23" s="83"/>
      <c r="CM23" s="83"/>
      <c r="CN23" s="83"/>
      <c r="CO23" s="83"/>
      <c r="CP23" s="83"/>
      <c r="CQ23" s="83"/>
      <c r="CR23" s="83"/>
      <c r="CS23" s="83"/>
      <c r="CT23" s="83"/>
      <c r="CU23" s="83"/>
      <c r="CV23" s="83"/>
      <c r="CW23" s="83"/>
      <c r="CX23" s="83"/>
      <c r="CY23" s="83"/>
      <c r="CZ23" s="83"/>
      <c r="DA23" s="83"/>
      <c r="DB23" s="83"/>
      <c r="DC23" s="83"/>
      <c r="DD23" s="83"/>
      <c r="DE23" s="83"/>
      <c r="DF23" s="83"/>
      <c r="DG23" s="83"/>
      <c r="DH23" s="83"/>
      <c r="DI23" s="83"/>
      <c r="DJ23" s="83"/>
      <c r="DK23" s="83"/>
      <c r="DL23" s="83"/>
      <c r="DM23" s="83"/>
      <c r="DN23" s="83"/>
      <c r="DO23" s="83"/>
      <c r="DP23" s="83"/>
      <c r="DQ23" s="83"/>
      <c r="DR23" s="83"/>
      <c r="DS23" s="83"/>
      <c r="DT23" s="83"/>
      <c r="DU23" s="83"/>
      <c r="DV23" s="83"/>
      <c r="DW23" s="83"/>
      <c r="DX23" s="83"/>
      <c r="DY23" s="83"/>
      <c r="DZ23" s="83"/>
      <c r="EA23" s="83"/>
      <c r="EB23" s="83"/>
      <c r="EC23" s="83"/>
      <c r="ED23" s="83"/>
      <c r="EE23" s="83"/>
      <c r="EF23" s="83"/>
      <c r="EG23" s="83"/>
      <c r="EH23" s="83"/>
      <c r="EI23" s="83"/>
      <c r="EJ23" s="83"/>
      <c r="EK23" s="83"/>
      <c r="EL23" s="83"/>
      <c r="EM23" s="83"/>
      <c r="EN23" s="83"/>
      <c r="EO23" s="83"/>
      <c r="EP23" s="83"/>
      <c r="EQ23" s="83"/>
      <c r="ER23" s="83"/>
      <c r="ES23" s="83"/>
      <c r="ET23" s="83"/>
      <c r="EU23" s="83"/>
      <c r="EV23" s="83"/>
      <c r="EW23" s="83"/>
      <c r="EX23" s="83"/>
      <c r="EY23" s="83"/>
      <c r="EZ23" s="83"/>
      <c r="FA23" s="83"/>
      <c r="FB23" s="83"/>
      <c r="FC23" s="83"/>
      <c r="FD23" s="83"/>
      <c r="FE23" s="83"/>
      <c r="FF23" s="83"/>
      <c r="FG23" s="83"/>
      <c r="FH23" s="83"/>
      <c r="FI23" s="83"/>
      <c r="FJ23" s="83"/>
      <c r="FK23" s="83"/>
      <c r="FL23" s="83"/>
      <c r="FM23" s="83"/>
      <c r="FN23" s="83"/>
      <c r="FO23" s="83"/>
      <c r="FP23" s="83"/>
      <c r="FQ23" s="83"/>
      <c r="FR23" s="83"/>
      <c r="FS23" s="83"/>
      <c r="FT23" s="83"/>
      <c r="FU23" s="83"/>
      <c r="FV23" s="83"/>
      <c r="FW23" s="83"/>
      <c r="FX23" s="83"/>
      <c r="FY23" s="83"/>
      <c r="FZ23" s="83"/>
      <c r="GA23" s="83"/>
      <c r="GB23" s="83"/>
      <c r="GC23" s="83"/>
      <c r="GD23" s="83"/>
      <c r="GE23" s="83"/>
      <c r="GF23" s="83"/>
      <c r="GG23" s="83"/>
      <c r="GH23" s="83"/>
      <c r="GI23" s="83"/>
      <c r="GJ23" s="83"/>
      <c r="GK23" s="83"/>
      <c r="GL23" s="83"/>
      <c r="GM23" s="83"/>
      <c r="GN23" s="83"/>
      <c r="GO23" s="83"/>
      <c r="GP23" s="83"/>
      <c r="GQ23" s="83"/>
      <c r="GR23" s="83"/>
      <c r="GS23" s="83"/>
      <c r="GT23" s="83"/>
      <c r="GU23" s="83"/>
      <c r="GV23" s="83"/>
      <c r="GW23" s="83"/>
      <c r="GX23" s="83"/>
      <c r="GY23" s="83"/>
      <c r="GZ23" s="83"/>
      <c r="HA23" s="83"/>
      <c r="HB23" s="83"/>
      <c r="HC23" s="83"/>
      <c r="HD23" s="83"/>
      <c r="HE23" s="83"/>
      <c r="HF23" s="83"/>
      <c r="HG23" s="83"/>
      <c r="HH23" s="83"/>
      <c r="HI23" s="83"/>
      <c r="HJ23" s="83"/>
      <c r="HK23" s="83"/>
      <c r="HL23" s="83"/>
      <c r="HM23" s="83"/>
      <c r="HN23" s="83"/>
      <c r="HO23" s="83"/>
      <c r="HP23" s="83"/>
      <c r="HQ23" s="83"/>
      <c r="HR23" s="83"/>
      <c r="HS23" s="83"/>
      <c r="HT23" s="83"/>
      <c r="HU23" s="83"/>
      <c r="HV23" s="83"/>
      <c r="HW23" s="83"/>
      <c r="HX23" s="83"/>
      <c r="HY23" s="83"/>
      <c r="HZ23" s="83"/>
      <c r="IA23" s="83"/>
      <c r="IB23" s="83"/>
      <c r="IC23" s="83"/>
      <c r="ID23" s="83"/>
      <c r="IE23" s="83"/>
      <c r="IF23" s="83"/>
      <c r="IG23" s="83"/>
      <c r="IH23" s="83"/>
      <c r="II23" s="83"/>
      <c r="IJ23" s="83"/>
      <c r="IK23" s="83"/>
      <c r="IL23" s="83"/>
      <c r="IM23" s="83"/>
      <c r="IN23" s="83"/>
      <c r="IO23" s="83"/>
      <c r="IP23" s="83"/>
      <c r="IQ23" s="83"/>
      <c r="IR23" s="83"/>
      <c r="IS23" s="83"/>
    </row>
    <row r="24" spans="1:253" x14ac:dyDescent="0.25">
      <c r="A24" s="83"/>
      <c r="B24" s="92"/>
      <c r="C24" s="93"/>
      <c r="D24" s="94"/>
      <c r="E24" s="94" t="s">
        <v>331</v>
      </c>
      <c r="F24" s="94"/>
      <c r="G24" s="94"/>
      <c r="H24" s="94"/>
      <c r="I24" s="94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83"/>
      <c r="BY24" s="83"/>
      <c r="BZ24" s="83"/>
      <c r="CA24" s="83"/>
      <c r="CB24" s="83"/>
      <c r="CC24" s="83"/>
      <c r="CD24" s="83"/>
      <c r="CE24" s="83"/>
      <c r="CF24" s="83"/>
      <c r="CG24" s="83"/>
      <c r="CH24" s="83"/>
      <c r="CI24" s="83"/>
      <c r="CJ24" s="83"/>
      <c r="CK24" s="83"/>
      <c r="CL24" s="83"/>
      <c r="CM24" s="83"/>
      <c r="CN24" s="83"/>
      <c r="CO24" s="83"/>
      <c r="CP24" s="83"/>
      <c r="CQ24" s="83"/>
      <c r="CR24" s="83"/>
      <c r="CS24" s="83"/>
      <c r="CT24" s="83"/>
      <c r="CU24" s="83"/>
      <c r="CV24" s="83"/>
      <c r="CW24" s="83"/>
      <c r="CX24" s="83"/>
      <c r="CY24" s="83"/>
      <c r="CZ24" s="83"/>
      <c r="DA24" s="83"/>
      <c r="DB24" s="83"/>
      <c r="DC24" s="83"/>
      <c r="DD24" s="83"/>
      <c r="DE24" s="83"/>
      <c r="DF24" s="83"/>
      <c r="DG24" s="83"/>
      <c r="DH24" s="83"/>
      <c r="DI24" s="83"/>
      <c r="DJ24" s="83"/>
      <c r="DK24" s="83"/>
      <c r="DL24" s="83"/>
      <c r="DM24" s="83"/>
      <c r="DN24" s="83"/>
      <c r="DO24" s="83"/>
      <c r="DP24" s="83"/>
      <c r="DQ24" s="83"/>
      <c r="DR24" s="83"/>
      <c r="DS24" s="83"/>
      <c r="DT24" s="83"/>
      <c r="DU24" s="83"/>
      <c r="DV24" s="83"/>
      <c r="DW24" s="83"/>
      <c r="DX24" s="83"/>
      <c r="DY24" s="83"/>
      <c r="DZ24" s="83"/>
      <c r="EA24" s="83"/>
      <c r="EB24" s="83"/>
      <c r="EC24" s="83"/>
      <c r="ED24" s="83"/>
      <c r="EE24" s="83"/>
      <c r="EF24" s="83"/>
      <c r="EG24" s="83"/>
      <c r="EH24" s="83"/>
      <c r="EI24" s="83"/>
      <c r="EJ24" s="83"/>
      <c r="EK24" s="83"/>
      <c r="EL24" s="83"/>
      <c r="EM24" s="83"/>
      <c r="EN24" s="83"/>
      <c r="EO24" s="83"/>
      <c r="EP24" s="83"/>
      <c r="EQ24" s="83"/>
      <c r="ER24" s="83"/>
      <c r="ES24" s="83"/>
      <c r="ET24" s="83"/>
      <c r="EU24" s="83"/>
      <c r="EV24" s="83"/>
      <c r="EW24" s="83"/>
      <c r="EX24" s="83"/>
      <c r="EY24" s="83"/>
      <c r="EZ24" s="83"/>
      <c r="FA24" s="83"/>
      <c r="FB24" s="83"/>
      <c r="FC24" s="83"/>
      <c r="FD24" s="83"/>
      <c r="FE24" s="83"/>
      <c r="FF24" s="83"/>
      <c r="FG24" s="83"/>
      <c r="FH24" s="83"/>
      <c r="FI24" s="83"/>
      <c r="FJ24" s="83"/>
      <c r="FK24" s="83"/>
      <c r="FL24" s="83"/>
      <c r="FM24" s="83"/>
      <c r="FN24" s="83"/>
      <c r="FO24" s="83"/>
      <c r="FP24" s="83"/>
      <c r="FQ24" s="83"/>
      <c r="FR24" s="83"/>
      <c r="FS24" s="83"/>
      <c r="FT24" s="83"/>
      <c r="FU24" s="83"/>
      <c r="FV24" s="83"/>
      <c r="FW24" s="83"/>
      <c r="FX24" s="83"/>
      <c r="FY24" s="83"/>
      <c r="FZ24" s="83"/>
      <c r="GA24" s="83"/>
      <c r="GB24" s="83"/>
      <c r="GC24" s="83"/>
      <c r="GD24" s="83"/>
      <c r="GE24" s="83"/>
      <c r="GF24" s="83"/>
      <c r="GG24" s="83"/>
      <c r="GH24" s="83"/>
      <c r="GI24" s="83"/>
      <c r="GJ24" s="83"/>
      <c r="GK24" s="83"/>
      <c r="GL24" s="83"/>
      <c r="GM24" s="83"/>
      <c r="GN24" s="83"/>
      <c r="GO24" s="83"/>
      <c r="GP24" s="83"/>
      <c r="GQ24" s="83"/>
      <c r="GR24" s="83"/>
      <c r="GS24" s="83"/>
      <c r="GT24" s="83"/>
      <c r="GU24" s="83"/>
      <c r="GV24" s="83"/>
      <c r="GW24" s="83"/>
      <c r="GX24" s="83"/>
      <c r="GY24" s="83"/>
      <c r="GZ24" s="83"/>
      <c r="HA24" s="83"/>
      <c r="HB24" s="83"/>
      <c r="HC24" s="83"/>
      <c r="HD24" s="83"/>
      <c r="HE24" s="83"/>
      <c r="HF24" s="83"/>
      <c r="HG24" s="83"/>
      <c r="HH24" s="83"/>
      <c r="HI24" s="83"/>
      <c r="HJ24" s="83"/>
      <c r="HK24" s="83"/>
      <c r="HL24" s="83"/>
      <c r="HM24" s="83"/>
      <c r="HN24" s="83"/>
      <c r="HO24" s="83"/>
      <c r="HP24" s="83"/>
      <c r="HQ24" s="83"/>
      <c r="HR24" s="83"/>
      <c r="HS24" s="83"/>
      <c r="HT24" s="83"/>
      <c r="HU24" s="83"/>
      <c r="HV24" s="83"/>
      <c r="HW24" s="83"/>
      <c r="HX24" s="83"/>
      <c r="HY24" s="83"/>
      <c r="HZ24" s="83"/>
      <c r="IA24" s="83"/>
      <c r="IB24" s="83"/>
      <c r="IC24" s="83"/>
      <c r="ID24" s="83"/>
      <c r="IE24" s="83"/>
      <c r="IF24" s="83"/>
      <c r="IG24" s="83"/>
      <c r="IH24" s="83"/>
      <c r="II24" s="83"/>
      <c r="IJ24" s="83"/>
      <c r="IK24" s="83"/>
      <c r="IL24" s="83"/>
      <c r="IM24" s="83"/>
      <c r="IN24" s="83"/>
      <c r="IO24" s="83"/>
      <c r="IP24" s="83"/>
      <c r="IQ24" s="83"/>
      <c r="IR24" s="83"/>
      <c r="IS24" s="83"/>
    </row>
    <row r="25" spans="1:253" x14ac:dyDescent="0.25">
      <c r="A25" s="83"/>
      <c r="B25" s="92"/>
      <c r="C25" s="93"/>
      <c r="D25" s="94"/>
      <c r="E25" s="94"/>
      <c r="F25" s="94"/>
      <c r="G25" s="94"/>
      <c r="H25" s="94"/>
      <c r="I25" s="94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3"/>
      <c r="BM25" s="83"/>
      <c r="BN25" s="83"/>
      <c r="BO25" s="83"/>
      <c r="BP25" s="83"/>
      <c r="BQ25" s="83"/>
      <c r="BR25" s="83"/>
      <c r="BS25" s="83"/>
      <c r="BT25" s="83"/>
      <c r="BU25" s="83"/>
      <c r="BV25" s="83"/>
      <c r="BW25" s="83"/>
      <c r="BX25" s="83"/>
      <c r="BY25" s="83"/>
      <c r="BZ25" s="83"/>
      <c r="CA25" s="83"/>
      <c r="CB25" s="83"/>
      <c r="CC25" s="83"/>
      <c r="CD25" s="83"/>
      <c r="CE25" s="83"/>
      <c r="CF25" s="83"/>
      <c r="CG25" s="83"/>
      <c r="CH25" s="83"/>
      <c r="CI25" s="83"/>
      <c r="CJ25" s="83"/>
      <c r="CK25" s="83"/>
      <c r="CL25" s="83"/>
      <c r="CM25" s="83"/>
      <c r="CN25" s="83"/>
      <c r="CO25" s="83"/>
      <c r="CP25" s="83"/>
      <c r="CQ25" s="83"/>
      <c r="CR25" s="83"/>
      <c r="CS25" s="83"/>
      <c r="CT25" s="83"/>
      <c r="CU25" s="83"/>
      <c r="CV25" s="83"/>
      <c r="CW25" s="83"/>
      <c r="CX25" s="83"/>
      <c r="CY25" s="83"/>
      <c r="CZ25" s="83"/>
      <c r="DA25" s="83"/>
      <c r="DB25" s="83"/>
      <c r="DC25" s="83"/>
      <c r="DD25" s="83"/>
      <c r="DE25" s="83"/>
      <c r="DF25" s="83"/>
      <c r="DG25" s="83"/>
      <c r="DH25" s="83"/>
      <c r="DI25" s="83"/>
      <c r="DJ25" s="83"/>
      <c r="DK25" s="83"/>
      <c r="DL25" s="83"/>
      <c r="DM25" s="83"/>
      <c r="DN25" s="83"/>
      <c r="DO25" s="83"/>
      <c r="DP25" s="83"/>
      <c r="DQ25" s="83"/>
      <c r="DR25" s="83"/>
      <c r="DS25" s="83"/>
      <c r="DT25" s="83"/>
      <c r="DU25" s="83"/>
      <c r="DV25" s="83"/>
      <c r="DW25" s="83"/>
      <c r="DX25" s="83"/>
      <c r="DY25" s="83"/>
      <c r="DZ25" s="83"/>
      <c r="EA25" s="83"/>
      <c r="EB25" s="83"/>
      <c r="EC25" s="83"/>
      <c r="ED25" s="83"/>
      <c r="EE25" s="83"/>
      <c r="EF25" s="83"/>
      <c r="EG25" s="83"/>
      <c r="EH25" s="83"/>
      <c r="EI25" s="83"/>
      <c r="EJ25" s="83"/>
      <c r="EK25" s="83"/>
      <c r="EL25" s="83"/>
      <c r="EM25" s="83"/>
      <c r="EN25" s="83"/>
      <c r="EO25" s="83"/>
      <c r="EP25" s="83"/>
      <c r="EQ25" s="83"/>
      <c r="ER25" s="83"/>
      <c r="ES25" s="83"/>
      <c r="ET25" s="83"/>
      <c r="EU25" s="83"/>
      <c r="EV25" s="83"/>
      <c r="EW25" s="83"/>
      <c r="EX25" s="83"/>
      <c r="EY25" s="83"/>
      <c r="EZ25" s="83"/>
      <c r="FA25" s="83"/>
      <c r="FB25" s="83"/>
      <c r="FC25" s="83"/>
      <c r="FD25" s="83"/>
      <c r="FE25" s="83"/>
      <c r="FF25" s="83"/>
      <c r="FG25" s="83"/>
      <c r="FH25" s="83"/>
      <c r="FI25" s="83"/>
      <c r="FJ25" s="83"/>
      <c r="FK25" s="83"/>
      <c r="FL25" s="83"/>
      <c r="FM25" s="83"/>
      <c r="FN25" s="83"/>
      <c r="FO25" s="83"/>
      <c r="FP25" s="83"/>
      <c r="FQ25" s="83"/>
      <c r="FR25" s="83"/>
      <c r="FS25" s="83"/>
      <c r="FT25" s="83"/>
      <c r="FU25" s="83"/>
      <c r="FV25" s="83"/>
      <c r="FW25" s="83"/>
      <c r="FX25" s="83"/>
      <c r="FY25" s="83"/>
      <c r="FZ25" s="83"/>
      <c r="GA25" s="83"/>
      <c r="GB25" s="83"/>
      <c r="GC25" s="83"/>
      <c r="GD25" s="83"/>
      <c r="GE25" s="83"/>
      <c r="GF25" s="83"/>
      <c r="GG25" s="83"/>
      <c r="GH25" s="83"/>
      <c r="GI25" s="83"/>
      <c r="GJ25" s="83"/>
      <c r="GK25" s="83"/>
      <c r="GL25" s="83"/>
      <c r="GM25" s="83"/>
      <c r="GN25" s="83"/>
      <c r="GO25" s="83"/>
      <c r="GP25" s="83"/>
      <c r="GQ25" s="83"/>
      <c r="GR25" s="83"/>
      <c r="GS25" s="83"/>
      <c r="GT25" s="83"/>
      <c r="GU25" s="83"/>
      <c r="GV25" s="83"/>
      <c r="GW25" s="83"/>
      <c r="GX25" s="83"/>
      <c r="GY25" s="83"/>
      <c r="GZ25" s="83"/>
      <c r="HA25" s="83"/>
      <c r="HB25" s="83"/>
      <c r="HC25" s="83"/>
      <c r="HD25" s="83"/>
      <c r="HE25" s="83"/>
      <c r="HF25" s="83"/>
      <c r="HG25" s="83"/>
      <c r="HH25" s="83"/>
      <c r="HI25" s="83"/>
      <c r="HJ25" s="83"/>
      <c r="HK25" s="83"/>
      <c r="HL25" s="83"/>
      <c r="HM25" s="83"/>
      <c r="HN25" s="83"/>
      <c r="HO25" s="83"/>
      <c r="HP25" s="83"/>
      <c r="HQ25" s="83"/>
      <c r="HR25" s="83"/>
      <c r="HS25" s="83"/>
      <c r="HT25" s="83"/>
      <c r="HU25" s="83"/>
      <c r="HV25" s="83"/>
      <c r="HW25" s="83"/>
      <c r="HX25" s="83"/>
      <c r="HY25" s="83"/>
      <c r="HZ25" s="83"/>
      <c r="IA25" s="83"/>
      <c r="IB25" s="83"/>
      <c r="IC25" s="83"/>
      <c r="ID25" s="83"/>
      <c r="IE25" s="83"/>
      <c r="IF25" s="83"/>
      <c r="IG25" s="83"/>
      <c r="IH25" s="83"/>
      <c r="II25" s="83"/>
      <c r="IJ25" s="83"/>
      <c r="IK25" s="83"/>
      <c r="IL25" s="83"/>
      <c r="IM25" s="83"/>
      <c r="IN25" s="83"/>
      <c r="IO25" s="83"/>
      <c r="IP25" s="83"/>
      <c r="IQ25" s="83"/>
      <c r="IR25" s="83"/>
      <c r="IS25" s="83"/>
    </row>
    <row r="26" spans="1:253" x14ac:dyDescent="0.25">
      <c r="C26" s="56"/>
      <c r="D26" s="57"/>
      <c r="E26" s="57"/>
      <c r="G26" s="59"/>
      <c r="H26" s="59"/>
      <c r="I26" s="59"/>
    </row>
    <row r="27" spans="1:253" x14ac:dyDescent="0.25">
      <c r="C27" s="56"/>
      <c r="D27" s="57"/>
      <c r="E27" s="57"/>
      <c r="G27" s="59"/>
      <c r="H27" s="59"/>
      <c r="I27" s="59"/>
    </row>
    <row r="28" spans="1:253" x14ac:dyDescent="0.25">
      <c r="C28" s="56"/>
      <c r="D28" s="57"/>
      <c r="E28" s="57"/>
      <c r="G28" s="59"/>
      <c r="H28" s="59"/>
      <c r="I28" s="59"/>
    </row>
    <row r="29" spans="1:253" x14ac:dyDescent="0.25">
      <c r="C29" s="56"/>
      <c r="D29" s="57"/>
      <c r="E29" s="57"/>
      <c r="G29" s="59"/>
      <c r="H29" s="59"/>
      <c r="I29" s="59"/>
    </row>
    <row r="30" spans="1:253" x14ac:dyDescent="0.25">
      <c r="C30" s="56"/>
      <c r="D30" s="57"/>
      <c r="E30" s="57"/>
      <c r="G30" s="59"/>
      <c r="H30" s="59"/>
      <c r="I30" s="59"/>
    </row>
    <row r="31" spans="1:253" x14ac:dyDescent="0.25">
      <c r="A31" s="61"/>
      <c r="B31" s="61"/>
      <c r="C31" s="56"/>
      <c r="D31" s="57"/>
      <c r="E31" s="57"/>
      <c r="G31" s="59"/>
      <c r="H31" s="59"/>
      <c r="I31" s="59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M31" s="61"/>
      <c r="CN31" s="61"/>
      <c r="CO31" s="61"/>
      <c r="CP31" s="61"/>
      <c r="CQ31" s="61"/>
      <c r="CR31" s="61"/>
      <c r="CS31" s="61"/>
      <c r="CT31" s="61"/>
      <c r="CU31" s="61"/>
      <c r="CV31" s="61"/>
      <c r="CW31" s="61"/>
      <c r="CX31" s="61"/>
      <c r="CY31" s="61"/>
      <c r="CZ31" s="61"/>
      <c r="DA31" s="61"/>
      <c r="DB31" s="61"/>
      <c r="DC31" s="61"/>
      <c r="DD31" s="61"/>
      <c r="DE31" s="61"/>
      <c r="DF31" s="61"/>
      <c r="DG31" s="61"/>
      <c r="DH31" s="61"/>
      <c r="DI31" s="61"/>
      <c r="DJ31" s="61"/>
      <c r="DK31" s="61"/>
      <c r="DL31" s="61"/>
      <c r="DM31" s="61"/>
      <c r="DN31" s="61"/>
      <c r="DO31" s="61"/>
      <c r="DP31" s="61"/>
      <c r="DQ31" s="61"/>
      <c r="DR31" s="61"/>
      <c r="DS31" s="61"/>
      <c r="DT31" s="61"/>
      <c r="DU31" s="61"/>
      <c r="DV31" s="61"/>
      <c r="DW31" s="61"/>
      <c r="DX31" s="61"/>
      <c r="DY31" s="61"/>
      <c r="DZ31" s="61"/>
      <c r="EA31" s="61"/>
      <c r="EB31" s="61"/>
      <c r="EC31" s="61"/>
      <c r="ED31" s="61"/>
      <c r="EE31" s="61"/>
      <c r="EF31" s="61"/>
      <c r="EG31" s="61"/>
      <c r="EH31" s="61"/>
      <c r="EI31" s="61"/>
      <c r="EJ31" s="61"/>
      <c r="EK31" s="61"/>
      <c r="EL31" s="61"/>
      <c r="EM31" s="61"/>
      <c r="EN31" s="61"/>
      <c r="EO31" s="61"/>
      <c r="EP31" s="61"/>
      <c r="EQ31" s="61"/>
      <c r="ER31" s="61"/>
      <c r="ES31" s="61"/>
      <c r="ET31" s="61"/>
      <c r="EU31" s="61"/>
      <c r="EV31" s="61"/>
      <c r="EW31" s="61"/>
      <c r="EX31" s="61"/>
      <c r="EY31" s="61"/>
      <c r="EZ31" s="61"/>
      <c r="FA31" s="61"/>
      <c r="FB31" s="61"/>
      <c r="FC31" s="61"/>
      <c r="FD31" s="61"/>
      <c r="FE31" s="61"/>
      <c r="FF31" s="61"/>
      <c r="FG31" s="61"/>
      <c r="FH31" s="61"/>
      <c r="FI31" s="61"/>
      <c r="FJ31" s="61"/>
      <c r="FK31" s="61"/>
      <c r="FL31" s="61"/>
      <c r="FM31" s="61"/>
      <c r="FN31" s="61"/>
      <c r="FO31" s="61"/>
      <c r="FP31" s="61"/>
      <c r="FQ31" s="61"/>
      <c r="FR31" s="61"/>
      <c r="FS31" s="61"/>
      <c r="FT31" s="61"/>
      <c r="FU31" s="61"/>
      <c r="FV31" s="61"/>
      <c r="FW31" s="61"/>
      <c r="FX31" s="61"/>
      <c r="FY31" s="61"/>
      <c r="FZ31" s="61"/>
      <c r="GA31" s="61"/>
      <c r="GB31" s="61"/>
      <c r="GC31" s="61"/>
      <c r="GD31" s="61"/>
      <c r="GE31" s="61"/>
      <c r="GF31" s="61"/>
      <c r="GG31" s="61"/>
      <c r="GH31" s="61"/>
      <c r="GI31" s="61"/>
      <c r="GJ31" s="61"/>
      <c r="GK31" s="61"/>
      <c r="GL31" s="61"/>
      <c r="GM31" s="61"/>
      <c r="GN31" s="61"/>
      <c r="GO31" s="61"/>
      <c r="GP31" s="61"/>
      <c r="GQ31" s="61"/>
      <c r="GR31" s="61"/>
      <c r="GS31" s="61"/>
      <c r="GT31" s="61"/>
      <c r="GU31" s="61"/>
      <c r="GV31" s="61"/>
      <c r="GW31" s="61"/>
      <c r="GX31" s="61"/>
      <c r="GY31" s="61"/>
      <c r="GZ31" s="61"/>
      <c r="HA31" s="61"/>
      <c r="HB31" s="61"/>
      <c r="HC31" s="61"/>
      <c r="HD31" s="61"/>
      <c r="HE31" s="61"/>
      <c r="HF31" s="61"/>
      <c r="HG31" s="61"/>
      <c r="HH31" s="61"/>
      <c r="HI31" s="61"/>
      <c r="HJ31" s="61"/>
      <c r="HK31" s="61"/>
      <c r="HL31" s="61"/>
      <c r="HM31" s="61"/>
      <c r="HN31" s="61"/>
      <c r="HO31" s="61"/>
      <c r="HP31" s="61"/>
      <c r="HQ31" s="61"/>
      <c r="HR31" s="61"/>
      <c r="HS31" s="61"/>
      <c r="HT31" s="61"/>
      <c r="HU31" s="61"/>
      <c r="HV31" s="61"/>
      <c r="HW31" s="61"/>
      <c r="HX31" s="61"/>
      <c r="HY31" s="61"/>
      <c r="HZ31" s="61"/>
      <c r="IA31" s="61"/>
      <c r="IB31" s="61"/>
      <c r="IC31" s="61"/>
      <c r="ID31" s="61"/>
      <c r="IE31" s="61"/>
      <c r="IF31" s="61"/>
      <c r="IG31" s="61"/>
      <c r="IH31" s="61"/>
      <c r="II31" s="61"/>
      <c r="IJ31" s="61"/>
      <c r="IK31" s="61"/>
      <c r="IL31" s="61"/>
      <c r="IM31" s="61"/>
      <c r="IN31" s="61"/>
      <c r="IO31" s="61"/>
      <c r="IP31" s="61"/>
      <c r="IQ31" s="61"/>
      <c r="IR31" s="61"/>
      <c r="IS31" s="61"/>
    </row>
    <row r="32" spans="1:253" x14ac:dyDescent="0.25">
      <c r="A32" s="61"/>
      <c r="B32" s="61"/>
      <c r="C32" s="56"/>
      <c r="D32" s="57"/>
      <c r="E32" s="57"/>
      <c r="G32" s="59"/>
      <c r="H32" s="59"/>
      <c r="I32" s="59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M32" s="61"/>
      <c r="CN32" s="61"/>
      <c r="CO32" s="61"/>
      <c r="CP32" s="61"/>
      <c r="CQ32" s="61"/>
      <c r="CR32" s="61"/>
      <c r="CS32" s="61"/>
      <c r="CT32" s="61"/>
      <c r="CU32" s="61"/>
      <c r="CV32" s="61"/>
      <c r="CW32" s="61"/>
      <c r="CX32" s="61"/>
      <c r="CY32" s="61"/>
      <c r="CZ32" s="61"/>
      <c r="DA32" s="61"/>
      <c r="DB32" s="61"/>
      <c r="DC32" s="61"/>
      <c r="DD32" s="61"/>
      <c r="DE32" s="61"/>
      <c r="DF32" s="61"/>
      <c r="DG32" s="61"/>
      <c r="DH32" s="61"/>
      <c r="DI32" s="61"/>
      <c r="DJ32" s="61"/>
      <c r="DK32" s="61"/>
      <c r="DL32" s="61"/>
      <c r="DM32" s="61"/>
      <c r="DN32" s="61"/>
      <c r="DO32" s="61"/>
      <c r="DP32" s="61"/>
      <c r="DQ32" s="61"/>
      <c r="DR32" s="61"/>
      <c r="DS32" s="61"/>
      <c r="DT32" s="61"/>
      <c r="DU32" s="61"/>
      <c r="DV32" s="61"/>
      <c r="DW32" s="61"/>
      <c r="DX32" s="61"/>
      <c r="DY32" s="61"/>
      <c r="DZ32" s="61"/>
      <c r="EA32" s="61"/>
      <c r="EB32" s="61"/>
      <c r="EC32" s="61"/>
      <c r="ED32" s="61"/>
      <c r="EE32" s="61"/>
      <c r="EF32" s="61"/>
      <c r="EG32" s="61"/>
      <c r="EH32" s="61"/>
      <c r="EI32" s="61"/>
      <c r="EJ32" s="61"/>
      <c r="EK32" s="61"/>
      <c r="EL32" s="61"/>
      <c r="EM32" s="61"/>
      <c r="EN32" s="61"/>
      <c r="EO32" s="61"/>
      <c r="EP32" s="61"/>
      <c r="EQ32" s="61"/>
      <c r="ER32" s="61"/>
      <c r="ES32" s="61"/>
      <c r="ET32" s="61"/>
      <c r="EU32" s="61"/>
      <c r="EV32" s="61"/>
      <c r="EW32" s="61"/>
      <c r="EX32" s="61"/>
      <c r="EY32" s="61"/>
      <c r="EZ32" s="61"/>
      <c r="FA32" s="61"/>
      <c r="FB32" s="61"/>
      <c r="FC32" s="61"/>
      <c r="FD32" s="61"/>
      <c r="FE32" s="61"/>
      <c r="FF32" s="61"/>
      <c r="FG32" s="61"/>
      <c r="FH32" s="61"/>
      <c r="FI32" s="61"/>
      <c r="FJ32" s="61"/>
      <c r="FK32" s="61"/>
      <c r="FL32" s="61"/>
      <c r="FM32" s="61"/>
      <c r="FN32" s="61"/>
      <c r="FO32" s="61"/>
      <c r="FP32" s="61"/>
      <c r="FQ32" s="61"/>
      <c r="FR32" s="61"/>
      <c r="FS32" s="61"/>
      <c r="FT32" s="61"/>
      <c r="FU32" s="61"/>
      <c r="FV32" s="61"/>
      <c r="FW32" s="61"/>
      <c r="FX32" s="61"/>
      <c r="FY32" s="61"/>
      <c r="FZ32" s="61"/>
      <c r="GA32" s="61"/>
      <c r="GB32" s="61"/>
      <c r="GC32" s="61"/>
      <c r="GD32" s="61"/>
      <c r="GE32" s="61"/>
      <c r="GF32" s="61"/>
      <c r="GG32" s="61"/>
      <c r="GH32" s="61"/>
      <c r="GI32" s="61"/>
      <c r="GJ32" s="61"/>
      <c r="GK32" s="61"/>
      <c r="GL32" s="61"/>
      <c r="GM32" s="61"/>
      <c r="GN32" s="61"/>
      <c r="GO32" s="61"/>
      <c r="GP32" s="61"/>
      <c r="GQ32" s="61"/>
      <c r="GR32" s="61"/>
      <c r="GS32" s="61"/>
      <c r="GT32" s="61"/>
      <c r="GU32" s="61"/>
      <c r="GV32" s="61"/>
      <c r="GW32" s="61"/>
      <c r="GX32" s="61"/>
      <c r="GY32" s="61"/>
      <c r="GZ32" s="61"/>
      <c r="HA32" s="61"/>
      <c r="HB32" s="61"/>
      <c r="HC32" s="61"/>
      <c r="HD32" s="61"/>
      <c r="HE32" s="61"/>
      <c r="HF32" s="61"/>
      <c r="HG32" s="61"/>
      <c r="HH32" s="61"/>
      <c r="HI32" s="61"/>
      <c r="HJ32" s="61"/>
      <c r="HK32" s="61"/>
      <c r="HL32" s="61"/>
      <c r="HM32" s="61"/>
      <c r="HN32" s="61"/>
      <c r="HO32" s="61"/>
      <c r="HP32" s="61"/>
      <c r="HQ32" s="61"/>
      <c r="HR32" s="61"/>
      <c r="HS32" s="61"/>
      <c r="HT32" s="61"/>
      <c r="HU32" s="61"/>
      <c r="HV32" s="61"/>
      <c r="HW32" s="61"/>
      <c r="HX32" s="61"/>
      <c r="HY32" s="61"/>
      <c r="HZ32" s="61"/>
      <c r="IA32" s="61"/>
      <c r="IB32" s="61"/>
      <c r="IC32" s="61"/>
      <c r="ID32" s="61"/>
      <c r="IE32" s="61"/>
      <c r="IF32" s="61"/>
      <c r="IG32" s="61"/>
      <c r="IH32" s="61"/>
      <c r="II32" s="61"/>
      <c r="IJ32" s="61"/>
      <c r="IK32" s="61"/>
      <c r="IL32" s="61"/>
      <c r="IM32" s="61"/>
      <c r="IN32" s="61"/>
      <c r="IO32" s="61"/>
      <c r="IP32" s="61"/>
      <c r="IQ32" s="61"/>
      <c r="IR32" s="61"/>
      <c r="IS32" s="61"/>
    </row>
    <row r="33" spans="3:9" s="61" customFormat="1" x14ac:dyDescent="0.25">
      <c r="C33" s="56"/>
      <c r="D33" s="57"/>
      <c r="E33" s="57"/>
      <c r="F33" s="58"/>
      <c r="G33" s="59"/>
      <c r="H33" s="59"/>
      <c r="I33" s="59"/>
    </row>
    <row r="34" spans="3:9" s="61" customFormat="1" x14ac:dyDescent="0.25">
      <c r="C34" s="56"/>
      <c r="D34" s="57"/>
      <c r="E34" s="57"/>
      <c r="F34" s="58"/>
      <c r="G34" s="59"/>
      <c r="H34" s="59"/>
      <c r="I34" s="59"/>
    </row>
  </sheetData>
  <mergeCells count="18">
    <mergeCell ref="E20:F20"/>
    <mergeCell ref="A13:F13"/>
    <mergeCell ref="G13:J13"/>
    <mergeCell ref="B14:C14"/>
    <mergeCell ref="D14:E14"/>
    <mergeCell ref="G14:H14"/>
    <mergeCell ref="I14:J14"/>
    <mergeCell ref="B18:C18"/>
    <mergeCell ref="B19:C19"/>
    <mergeCell ref="D19:E19"/>
    <mergeCell ref="G19:H19"/>
    <mergeCell ref="I19:J19"/>
    <mergeCell ref="G12:J12"/>
    <mergeCell ref="A4:J4"/>
    <mergeCell ref="A5:J5"/>
    <mergeCell ref="A10:B10"/>
    <mergeCell ref="A11:B11"/>
    <mergeCell ref="C11:I11"/>
  </mergeCells>
  <pageMargins left="0.37" right="0.19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8A29D-1131-4E36-AC44-CB47A259051B}">
  <sheetPr>
    <pageSetUpPr fitToPage="1"/>
  </sheetPr>
  <dimension ref="A1:J50"/>
  <sheetViews>
    <sheetView topLeftCell="A40" zoomScaleNormal="100" workbookViewId="0">
      <selection activeCell="C49" sqref="C49:D49"/>
    </sheetView>
  </sheetViews>
  <sheetFormatPr defaultRowHeight="16.5" x14ac:dyDescent="0.25"/>
  <cols>
    <col min="1" max="1" width="13.109375" style="162" customWidth="1"/>
    <col min="2" max="2" width="13.21875" style="162" hidden="1" customWidth="1"/>
    <col min="3" max="3" width="19.44140625" style="162" customWidth="1"/>
    <col min="4" max="4" width="12.33203125" style="162" customWidth="1"/>
    <col min="5" max="5" width="14.44140625" style="162" customWidth="1"/>
    <col min="6" max="6" width="10.88671875" style="162" customWidth="1"/>
    <col min="7" max="7" width="14.88671875" style="162" customWidth="1"/>
    <col min="8" max="8" width="14.33203125" style="162" customWidth="1"/>
    <col min="9" max="16384" width="8.88671875" style="162"/>
  </cols>
  <sheetData>
    <row r="1" spans="1:8" ht="33.75" customHeight="1" x14ac:dyDescent="0.25">
      <c r="A1" s="302" t="s">
        <v>839</v>
      </c>
      <c r="B1" s="302"/>
      <c r="C1" s="302"/>
      <c r="D1" s="302"/>
      <c r="E1" s="302"/>
      <c r="F1" s="302"/>
      <c r="G1" s="302"/>
      <c r="H1" s="302"/>
    </row>
    <row r="2" spans="1:8" x14ac:dyDescent="0.25">
      <c r="A2" s="172" t="s">
        <v>15</v>
      </c>
      <c r="B2" s="173" t="s">
        <v>21</v>
      </c>
      <c r="C2" s="174" t="s">
        <v>22</v>
      </c>
      <c r="D2" s="174" t="s">
        <v>16</v>
      </c>
      <c r="E2" s="174" t="s">
        <v>18</v>
      </c>
      <c r="F2" s="174" t="s">
        <v>19</v>
      </c>
      <c r="G2" s="174" t="s">
        <v>20</v>
      </c>
      <c r="H2" s="175" t="s">
        <v>24</v>
      </c>
    </row>
    <row r="3" spans="1:8" ht="22.5" customHeight="1" x14ac:dyDescent="0.25">
      <c r="A3" s="176">
        <v>46134</v>
      </c>
      <c r="B3" s="99" t="s">
        <v>520</v>
      </c>
      <c r="C3" s="177" t="s">
        <v>822</v>
      </c>
      <c r="D3" s="99" t="s">
        <v>334</v>
      </c>
      <c r="E3" s="178">
        <v>281</v>
      </c>
      <c r="F3" s="99">
        <v>32960</v>
      </c>
      <c r="G3" s="100">
        <v>46126</v>
      </c>
      <c r="H3" s="179" t="s">
        <v>527</v>
      </c>
    </row>
    <row r="4" spans="1:8" ht="22.5" customHeight="1" x14ac:dyDescent="0.25">
      <c r="A4" s="176">
        <v>46134</v>
      </c>
      <c r="B4" s="99" t="s">
        <v>520</v>
      </c>
      <c r="C4" s="177" t="s">
        <v>823</v>
      </c>
      <c r="D4" s="99" t="s">
        <v>334</v>
      </c>
      <c r="E4" s="178">
        <v>295</v>
      </c>
      <c r="F4" s="99">
        <v>32960</v>
      </c>
      <c r="G4" s="100">
        <v>46126</v>
      </c>
      <c r="H4" s="179" t="s">
        <v>527</v>
      </c>
    </row>
    <row r="5" spans="1:8" ht="22.5" customHeight="1" x14ac:dyDescent="0.25">
      <c r="A5" s="176">
        <v>46134</v>
      </c>
      <c r="B5" s="99" t="s">
        <v>520</v>
      </c>
      <c r="C5" s="177" t="s">
        <v>824</v>
      </c>
      <c r="D5" s="99" t="s">
        <v>334</v>
      </c>
      <c r="E5" s="178">
        <v>372</v>
      </c>
      <c r="F5" s="99">
        <v>32960</v>
      </c>
      <c r="G5" s="100">
        <v>46126</v>
      </c>
      <c r="H5" s="179" t="s">
        <v>527</v>
      </c>
    </row>
    <row r="6" spans="1:8" ht="22.5" customHeight="1" x14ac:dyDescent="0.25">
      <c r="A6" s="176">
        <v>46134</v>
      </c>
      <c r="B6" s="99" t="s">
        <v>520</v>
      </c>
      <c r="C6" s="177" t="s">
        <v>825</v>
      </c>
      <c r="D6" s="99" t="s">
        <v>334</v>
      </c>
      <c r="E6" s="178">
        <v>381</v>
      </c>
      <c r="F6" s="99">
        <v>32960</v>
      </c>
      <c r="G6" s="100">
        <v>46126</v>
      </c>
      <c r="H6" s="179" t="s">
        <v>527</v>
      </c>
    </row>
    <row r="7" spans="1:8" ht="22.5" customHeight="1" x14ac:dyDescent="0.25">
      <c r="A7" s="176">
        <v>46134</v>
      </c>
      <c r="B7" s="99" t="s">
        <v>520</v>
      </c>
      <c r="C7" s="177" t="s">
        <v>526</v>
      </c>
      <c r="D7" s="99" t="s">
        <v>334</v>
      </c>
      <c r="E7" s="178">
        <v>355</v>
      </c>
      <c r="F7" s="99">
        <v>32960</v>
      </c>
      <c r="G7" s="100">
        <v>46126</v>
      </c>
      <c r="H7" s="179" t="s">
        <v>527</v>
      </c>
    </row>
    <row r="8" spans="1:8" ht="22.5" customHeight="1" x14ac:dyDescent="0.25">
      <c r="A8" s="176">
        <v>46134</v>
      </c>
      <c r="B8" s="99" t="s">
        <v>520</v>
      </c>
      <c r="C8" s="177" t="s">
        <v>826</v>
      </c>
      <c r="D8" s="99" t="s">
        <v>334</v>
      </c>
      <c r="E8" s="178">
        <v>308</v>
      </c>
      <c r="F8" s="99">
        <v>32960</v>
      </c>
      <c r="G8" s="100">
        <v>46126</v>
      </c>
      <c r="H8" s="179" t="s">
        <v>527</v>
      </c>
    </row>
    <row r="9" spans="1:8" ht="22.5" customHeight="1" x14ac:dyDescent="0.25">
      <c r="A9" s="176">
        <v>46134</v>
      </c>
      <c r="B9" s="99" t="s">
        <v>520</v>
      </c>
      <c r="C9" s="177" t="s">
        <v>523</v>
      </c>
      <c r="D9" s="99" t="s">
        <v>334</v>
      </c>
      <c r="E9" s="178">
        <v>361</v>
      </c>
      <c r="F9" s="99">
        <v>32960</v>
      </c>
      <c r="G9" s="100">
        <v>46126</v>
      </c>
      <c r="H9" s="179" t="s">
        <v>527</v>
      </c>
    </row>
    <row r="10" spans="1:8" ht="22.5" customHeight="1" x14ac:dyDescent="0.25">
      <c r="A10" s="176">
        <v>46134</v>
      </c>
      <c r="B10" s="99" t="s">
        <v>520</v>
      </c>
      <c r="C10" s="177" t="s">
        <v>524</v>
      </c>
      <c r="D10" s="99" t="s">
        <v>334</v>
      </c>
      <c r="E10" s="178">
        <v>390</v>
      </c>
      <c r="F10" s="99">
        <v>32960</v>
      </c>
      <c r="G10" s="100">
        <v>46126</v>
      </c>
      <c r="H10" s="179" t="s">
        <v>527</v>
      </c>
    </row>
    <row r="11" spans="1:8" ht="22.5" customHeight="1" x14ac:dyDescent="0.25">
      <c r="A11" s="176">
        <v>46134</v>
      </c>
      <c r="B11" s="99" t="s">
        <v>520</v>
      </c>
      <c r="C11" s="177" t="s">
        <v>827</v>
      </c>
      <c r="D11" s="99" t="s">
        <v>334</v>
      </c>
      <c r="E11" s="178">
        <v>330</v>
      </c>
      <c r="F11" s="99">
        <v>32960</v>
      </c>
      <c r="G11" s="100">
        <v>46126</v>
      </c>
      <c r="H11" s="179" t="s">
        <v>527</v>
      </c>
    </row>
    <row r="12" spans="1:8" ht="22.5" customHeight="1" x14ac:dyDescent="0.25">
      <c r="A12" s="176">
        <v>46134</v>
      </c>
      <c r="B12" s="99" t="s">
        <v>520</v>
      </c>
      <c r="C12" s="177" t="s">
        <v>525</v>
      </c>
      <c r="D12" s="99" t="s">
        <v>334</v>
      </c>
      <c r="E12" s="178">
        <v>311</v>
      </c>
      <c r="F12" s="99">
        <v>32960</v>
      </c>
      <c r="G12" s="100">
        <v>46126</v>
      </c>
      <c r="H12" s="179" t="s">
        <v>527</v>
      </c>
    </row>
    <row r="13" spans="1:8" ht="22.5" customHeight="1" x14ac:dyDescent="0.25">
      <c r="A13" s="176">
        <v>46135</v>
      </c>
      <c r="B13" s="99" t="s">
        <v>520</v>
      </c>
      <c r="C13" s="177" t="s">
        <v>823</v>
      </c>
      <c r="D13" s="99" t="s">
        <v>334</v>
      </c>
      <c r="E13" s="178">
        <v>297</v>
      </c>
      <c r="F13" s="99">
        <v>32960</v>
      </c>
      <c r="G13" s="100">
        <v>46126</v>
      </c>
      <c r="H13" s="179" t="s">
        <v>527</v>
      </c>
    </row>
    <row r="14" spans="1:8" ht="22.5" customHeight="1" x14ac:dyDescent="0.25">
      <c r="A14" s="176">
        <v>46135</v>
      </c>
      <c r="B14" s="99" t="s">
        <v>520</v>
      </c>
      <c r="C14" s="177" t="s">
        <v>824</v>
      </c>
      <c r="D14" s="99" t="s">
        <v>334</v>
      </c>
      <c r="E14" s="178">
        <v>243</v>
      </c>
      <c r="F14" s="99">
        <v>32960</v>
      </c>
      <c r="G14" s="100">
        <v>46126</v>
      </c>
      <c r="H14" s="179" t="s">
        <v>527</v>
      </c>
    </row>
    <row r="15" spans="1:8" ht="22.5" customHeight="1" x14ac:dyDescent="0.25">
      <c r="A15" s="176">
        <v>46135</v>
      </c>
      <c r="B15" s="99" t="s">
        <v>520</v>
      </c>
      <c r="C15" s="177" t="s">
        <v>822</v>
      </c>
      <c r="D15" s="99" t="s">
        <v>334</v>
      </c>
      <c r="E15" s="178">
        <v>301</v>
      </c>
      <c r="F15" s="99">
        <v>32960</v>
      </c>
      <c r="G15" s="100">
        <v>46126</v>
      </c>
      <c r="H15" s="179" t="s">
        <v>527</v>
      </c>
    </row>
    <row r="16" spans="1:8" ht="22.5" customHeight="1" x14ac:dyDescent="0.25">
      <c r="A16" s="176">
        <v>46135</v>
      </c>
      <c r="B16" s="99" t="s">
        <v>520</v>
      </c>
      <c r="C16" s="177" t="s">
        <v>826</v>
      </c>
      <c r="D16" s="99" t="s">
        <v>334</v>
      </c>
      <c r="E16" s="178">
        <v>258</v>
      </c>
      <c r="F16" s="99">
        <v>32960</v>
      </c>
      <c r="G16" s="100">
        <v>46126</v>
      </c>
      <c r="H16" s="179" t="s">
        <v>527</v>
      </c>
    </row>
    <row r="17" spans="1:8" ht="22.5" customHeight="1" x14ac:dyDescent="0.25">
      <c r="A17" s="176">
        <v>46136</v>
      </c>
      <c r="B17" s="99" t="s">
        <v>520</v>
      </c>
      <c r="C17" s="177" t="s">
        <v>526</v>
      </c>
      <c r="D17" s="99" t="s">
        <v>334</v>
      </c>
      <c r="E17" s="178">
        <v>389</v>
      </c>
      <c r="F17" s="99">
        <v>32960</v>
      </c>
      <c r="G17" s="100">
        <v>46126</v>
      </c>
      <c r="H17" s="179" t="s">
        <v>527</v>
      </c>
    </row>
    <row r="18" spans="1:8" ht="22.5" customHeight="1" x14ac:dyDescent="0.25">
      <c r="A18" s="176">
        <v>46136</v>
      </c>
      <c r="B18" s="99" t="s">
        <v>520</v>
      </c>
      <c r="C18" s="177" t="s">
        <v>523</v>
      </c>
      <c r="D18" s="99" t="s">
        <v>334</v>
      </c>
      <c r="E18" s="178">
        <v>361</v>
      </c>
      <c r="F18" s="99">
        <v>32960</v>
      </c>
      <c r="G18" s="100">
        <v>46126</v>
      </c>
      <c r="H18" s="179" t="s">
        <v>527</v>
      </c>
    </row>
    <row r="19" spans="1:8" ht="22.5" customHeight="1" x14ac:dyDescent="0.25">
      <c r="A19" s="176">
        <v>46136</v>
      </c>
      <c r="B19" s="99" t="s">
        <v>520</v>
      </c>
      <c r="C19" s="177" t="s">
        <v>825</v>
      </c>
      <c r="D19" s="99" t="s">
        <v>334</v>
      </c>
      <c r="E19" s="178">
        <v>451</v>
      </c>
      <c r="F19" s="99">
        <v>32960</v>
      </c>
      <c r="G19" s="100">
        <v>46126</v>
      </c>
      <c r="H19" s="179" t="s">
        <v>527</v>
      </c>
    </row>
    <row r="20" spans="1:8" ht="22.5" customHeight="1" x14ac:dyDescent="0.25">
      <c r="A20" s="176">
        <v>46136</v>
      </c>
      <c r="B20" s="99" t="s">
        <v>520</v>
      </c>
      <c r="C20" s="177" t="s">
        <v>524</v>
      </c>
      <c r="D20" s="99" t="s">
        <v>334</v>
      </c>
      <c r="E20" s="178">
        <v>431</v>
      </c>
      <c r="F20" s="99">
        <v>32960</v>
      </c>
      <c r="G20" s="100">
        <v>46126</v>
      </c>
      <c r="H20" s="179" t="s">
        <v>527</v>
      </c>
    </row>
    <row r="21" spans="1:8" ht="22.5" customHeight="1" x14ac:dyDescent="0.25">
      <c r="A21" s="180">
        <v>46136</v>
      </c>
      <c r="B21" s="99" t="s">
        <v>520</v>
      </c>
      <c r="C21" s="177" t="s">
        <v>827</v>
      </c>
      <c r="D21" s="99" t="s">
        <v>334</v>
      </c>
      <c r="E21" s="178">
        <v>406</v>
      </c>
      <c r="F21" s="99">
        <v>32960</v>
      </c>
      <c r="G21" s="100">
        <v>46126</v>
      </c>
      <c r="H21" s="179" t="s">
        <v>527</v>
      </c>
    </row>
    <row r="22" spans="1:8" ht="22.5" customHeight="1" x14ac:dyDescent="0.25">
      <c r="A22" s="180">
        <v>46136</v>
      </c>
      <c r="B22" s="99" t="s">
        <v>520</v>
      </c>
      <c r="C22" s="177" t="s">
        <v>525</v>
      </c>
      <c r="D22" s="99" t="s">
        <v>334</v>
      </c>
      <c r="E22" s="178">
        <v>415</v>
      </c>
      <c r="F22" s="99">
        <v>32960</v>
      </c>
      <c r="G22" s="100">
        <v>46126</v>
      </c>
      <c r="H22" s="179" t="s">
        <v>527</v>
      </c>
    </row>
    <row r="23" spans="1:8" ht="22.5" customHeight="1" x14ac:dyDescent="0.25">
      <c r="A23" s="180">
        <v>46136</v>
      </c>
      <c r="B23" s="99" t="s">
        <v>520</v>
      </c>
      <c r="C23" s="177" t="s">
        <v>822</v>
      </c>
      <c r="D23" s="99" t="s">
        <v>334</v>
      </c>
      <c r="E23" s="178">
        <v>247</v>
      </c>
      <c r="F23" s="99">
        <v>32960</v>
      </c>
      <c r="G23" s="100">
        <v>46126</v>
      </c>
      <c r="H23" s="179" t="s">
        <v>527</v>
      </c>
    </row>
    <row r="24" spans="1:8" ht="22.5" customHeight="1" x14ac:dyDescent="0.25">
      <c r="A24" s="180">
        <v>46136</v>
      </c>
      <c r="B24" s="99" t="s">
        <v>520</v>
      </c>
      <c r="C24" s="177" t="s">
        <v>826</v>
      </c>
      <c r="D24" s="99" t="s">
        <v>334</v>
      </c>
      <c r="E24" s="178">
        <v>259</v>
      </c>
      <c r="F24" s="99">
        <v>32960</v>
      </c>
      <c r="G24" s="100">
        <v>46126</v>
      </c>
      <c r="H24" s="179" t="s">
        <v>527</v>
      </c>
    </row>
    <row r="25" spans="1:8" ht="22.5" customHeight="1" x14ac:dyDescent="0.25">
      <c r="A25" s="180">
        <v>46137</v>
      </c>
      <c r="B25" s="99" t="s">
        <v>520</v>
      </c>
      <c r="C25" s="177" t="s">
        <v>524</v>
      </c>
      <c r="D25" s="99" t="s">
        <v>334</v>
      </c>
      <c r="E25" s="178">
        <v>319</v>
      </c>
      <c r="F25" s="99">
        <v>26690</v>
      </c>
      <c r="G25" s="100">
        <v>46137</v>
      </c>
      <c r="H25" s="179" t="s">
        <v>527</v>
      </c>
    </row>
    <row r="26" spans="1:8" ht="22.5" customHeight="1" x14ac:dyDescent="0.25">
      <c r="A26" s="180">
        <v>46137</v>
      </c>
      <c r="B26" s="99" t="s">
        <v>520</v>
      </c>
      <c r="C26" s="177" t="s">
        <v>823</v>
      </c>
      <c r="D26" s="99" t="s">
        <v>334</v>
      </c>
      <c r="E26" s="178">
        <v>385</v>
      </c>
      <c r="F26" s="99">
        <v>26690</v>
      </c>
      <c r="G26" s="100">
        <v>46137</v>
      </c>
      <c r="H26" s="179" t="s">
        <v>527</v>
      </c>
    </row>
    <row r="27" spans="1:8" ht="22.5" customHeight="1" x14ac:dyDescent="0.25">
      <c r="A27" s="180">
        <v>46137</v>
      </c>
      <c r="B27" s="99" t="s">
        <v>520</v>
      </c>
      <c r="C27" s="177" t="s">
        <v>523</v>
      </c>
      <c r="D27" s="99" t="s">
        <v>334</v>
      </c>
      <c r="E27" s="178">
        <v>251</v>
      </c>
      <c r="F27" s="99">
        <v>26690</v>
      </c>
      <c r="G27" s="100">
        <v>46137</v>
      </c>
      <c r="H27" s="179" t="s">
        <v>527</v>
      </c>
    </row>
    <row r="28" spans="1:8" ht="22.5" customHeight="1" x14ac:dyDescent="0.25">
      <c r="A28" s="180">
        <v>46137</v>
      </c>
      <c r="B28" s="99" t="s">
        <v>520</v>
      </c>
      <c r="C28" s="177" t="s">
        <v>824</v>
      </c>
      <c r="D28" s="99" t="s">
        <v>334</v>
      </c>
      <c r="E28" s="178">
        <v>384</v>
      </c>
      <c r="F28" s="99">
        <v>26690</v>
      </c>
      <c r="G28" s="100">
        <v>46137</v>
      </c>
      <c r="H28" s="179" t="s">
        <v>527</v>
      </c>
    </row>
    <row r="29" spans="1:8" ht="22.5" customHeight="1" x14ac:dyDescent="0.25">
      <c r="A29" s="180">
        <v>46139</v>
      </c>
      <c r="B29" s="99" t="s">
        <v>520</v>
      </c>
      <c r="C29" s="177" t="s">
        <v>822</v>
      </c>
      <c r="D29" s="99" t="s">
        <v>334</v>
      </c>
      <c r="E29" s="178">
        <v>246</v>
      </c>
      <c r="F29" s="99">
        <v>26690</v>
      </c>
      <c r="G29" s="100">
        <v>46137</v>
      </c>
      <c r="H29" s="179" t="s">
        <v>527</v>
      </c>
    </row>
    <row r="30" spans="1:8" ht="22.5" customHeight="1" x14ac:dyDescent="0.25">
      <c r="A30" s="180">
        <v>46139</v>
      </c>
      <c r="B30" s="99" t="s">
        <v>520</v>
      </c>
      <c r="C30" s="177" t="s">
        <v>525</v>
      </c>
      <c r="D30" s="99" t="s">
        <v>334</v>
      </c>
      <c r="E30" s="178">
        <v>264</v>
      </c>
      <c r="F30" s="99">
        <v>26690</v>
      </c>
      <c r="G30" s="100">
        <v>46137</v>
      </c>
      <c r="H30" s="179" t="s">
        <v>527</v>
      </c>
    </row>
    <row r="31" spans="1:8" ht="22.5" customHeight="1" x14ac:dyDescent="0.25">
      <c r="A31" s="180">
        <v>46139</v>
      </c>
      <c r="B31" s="99" t="s">
        <v>520</v>
      </c>
      <c r="C31" s="177" t="s">
        <v>825</v>
      </c>
      <c r="D31" s="99" t="s">
        <v>334</v>
      </c>
      <c r="E31" s="178">
        <v>331</v>
      </c>
      <c r="F31" s="99">
        <v>26690</v>
      </c>
      <c r="G31" s="100">
        <v>46137</v>
      </c>
      <c r="H31" s="179" t="s">
        <v>527</v>
      </c>
    </row>
    <row r="32" spans="1:8" ht="22.5" customHeight="1" x14ac:dyDescent="0.25">
      <c r="A32" s="180">
        <v>46139</v>
      </c>
      <c r="B32" s="99" t="s">
        <v>520</v>
      </c>
      <c r="C32" s="177" t="s">
        <v>526</v>
      </c>
      <c r="D32" s="99" t="s">
        <v>334</v>
      </c>
      <c r="E32" s="178">
        <v>402</v>
      </c>
      <c r="F32" s="99">
        <v>26690</v>
      </c>
      <c r="G32" s="100">
        <v>46137</v>
      </c>
      <c r="H32" s="179" t="s">
        <v>527</v>
      </c>
    </row>
    <row r="33" spans="1:10" ht="22.5" customHeight="1" x14ac:dyDescent="0.25">
      <c r="A33" s="180">
        <v>46139</v>
      </c>
      <c r="B33" s="99" t="s">
        <v>520</v>
      </c>
      <c r="C33" s="177" t="s">
        <v>827</v>
      </c>
      <c r="D33" s="99" t="s">
        <v>334</v>
      </c>
      <c r="E33" s="178">
        <v>324</v>
      </c>
      <c r="F33" s="99">
        <v>26690</v>
      </c>
      <c r="G33" s="100">
        <v>46137</v>
      </c>
      <c r="H33" s="179" t="s">
        <v>527</v>
      </c>
    </row>
    <row r="34" spans="1:10" ht="22.5" customHeight="1" x14ac:dyDescent="0.25">
      <c r="A34" s="180">
        <v>46139</v>
      </c>
      <c r="B34" s="99" t="s">
        <v>520</v>
      </c>
      <c r="C34" s="177" t="s">
        <v>828</v>
      </c>
      <c r="D34" s="99" t="s">
        <v>334</v>
      </c>
      <c r="E34" s="178">
        <v>198</v>
      </c>
      <c r="F34" s="99">
        <v>26690</v>
      </c>
      <c r="G34" s="100">
        <v>46137</v>
      </c>
      <c r="H34" s="179" t="s">
        <v>527</v>
      </c>
    </row>
    <row r="35" spans="1:10" ht="22.5" customHeight="1" x14ac:dyDescent="0.25">
      <c r="A35" s="180">
        <v>46139</v>
      </c>
      <c r="B35" s="99" t="s">
        <v>520</v>
      </c>
      <c r="C35" s="177" t="s">
        <v>823</v>
      </c>
      <c r="D35" s="99" t="s">
        <v>334</v>
      </c>
      <c r="E35" s="178">
        <v>241</v>
      </c>
      <c r="F35" s="99">
        <v>26690</v>
      </c>
      <c r="G35" s="100">
        <v>46137</v>
      </c>
      <c r="H35" s="179" t="s">
        <v>527</v>
      </c>
    </row>
    <row r="36" spans="1:10" ht="22.5" customHeight="1" x14ac:dyDescent="0.25">
      <c r="A36" s="180">
        <v>46140</v>
      </c>
      <c r="B36" s="99" t="s">
        <v>520</v>
      </c>
      <c r="C36" s="177" t="s">
        <v>826</v>
      </c>
      <c r="D36" s="99" t="s">
        <v>334</v>
      </c>
      <c r="E36" s="178">
        <v>322</v>
      </c>
      <c r="F36" s="99">
        <v>26690</v>
      </c>
      <c r="G36" s="100">
        <v>46137</v>
      </c>
      <c r="H36" s="179" t="s">
        <v>527</v>
      </c>
    </row>
    <row r="37" spans="1:10" x14ac:dyDescent="0.25">
      <c r="A37" s="180">
        <v>46140</v>
      </c>
      <c r="B37" s="99" t="s">
        <v>520</v>
      </c>
      <c r="C37" s="177" t="s">
        <v>824</v>
      </c>
      <c r="D37" s="99" t="s">
        <v>334</v>
      </c>
      <c r="E37" s="178">
        <v>387</v>
      </c>
      <c r="F37" s="99">
        <v>26690</v>
      </c>
      <c r="G37" s="100">
        <v>46137</v>
      </c>
      <c r="H37" s="179" t="s">
        <v>527</v>
      </c>
    </row>
    <row r="38" spans="1:10" x14ac:dyDescent="0.25">
      <c r="A38" s="180">
        <v>46140</v>
      </c>
      <c r="B38" s="99" t="s">
        <v>520</v>
      </c>
      <c r="C38" s="177" t="s">
        <v>523</v>
      </c>
      <c r="D38" s="99" t="s">
        <v>334</v>
      </c>
      <c r="E38" s="178">
        <v>292</v>
      </c>
      <c r="F38" s="99">
        <v>26690</v>
      </c>
      <c r="G38" s="100">
        <v>46137</v>
      </c>
      <c r="H38" s="179" t="s">
        <v>527</v>
      </c>
    </row>
    <row r="39" spans="1:10" ht="18.75" customHeight="1" x14ac:dyDescent="0.25">
      <c r="A39" s="180">
        <v>46140</v>
      </c>
      <c r="B39" s="99" t="s">
        <v>520</v>
      </c>
      <c r="C39" s="177" t="s">
        <v>524</v>
      </c>
      <c r="D39" s="99" t="s">
        <v>334</v>
      </c>
      <c r="E39" s="178">
        <v>343</v>
      </c>
      <c r="F39" s="99">
        <v>26690</v>
      </c>
      <c r="G39" s="100">
        <v>46137</v>
      </c>
      <c r="H39" s="179" t="s">
        <v>527</v>
      </c>
      <c r="I39" s="167"/>
    </row>
    <row r="40" spans="1:10" x14ac:dyDescent="0.25">
      <c r="A40" s="180">
        <v>46140</v>
      </c>
      <c r="B40" s="99" t="s">
        <v>520</v>
      </c>
      <c r="C40" s="177" t="s">
        <v>825</v>
      </c>
      <c r="D40" s="99" t="s">
        <v>334</v>
      </c>
      <c r="E40" s="178">
        <v>294</v>
      </c>
      <c r="F40" s="99">
        <v>26690</v>
      </c>
      <c r="G40" s="100">
        <v>46137</v>
      </c>
      <c r="H40" s="179" t="s">
        <v>527</v>
      </c>
      <c r="I40" s="169"/>
      <c r="J40" s="168"/>
    </row>
    <row r="41" spans="1:10" x14ac:dyDescent="0.25">
      <c r="A41" s="180">
        <v>46140</v>
      </c>
      <c r="B41" s="99" t="s">
        <v>520</v>
      </c>
      <c r="C41" s="177" t="s">
        <v>828</v>
      </c>
      <c r="D41" s="99" t="s">
        <v>334</v>
      </c>
      <c r="E41" s="178">
        <v>169</v>
      </c>
      <c r="F41" s="99">
        <v>26690</v>
      </c>
      <c r="G41" s="100">
        <v>46137</v>
      </c>
      <c r="H41" s="179" t="s">
        <v>527</v>
      </c>
      <c r="I41" s="169"/>
      <c r="J41" s="168"/>
    </row>
    <row r="42" spans="1:10" x14ac:dyDescent="0.25">
      <c r="A42" s="180">
        <v>46141</v>
      </c>
      <c r="B42" s="99" t="s">
        <v>520</v>
      </c>
      <c r="C42" s="177" t="s">
        <v>822</v>
      </c>
      <c r="D42" s="99" t="s">
        <v>334</v>
      </c>
      <c r="E42" s="178">
        <v>364</v>
      </c>
      <c r="F42" s="99">
        <v>26690</v>
      </c>
      <c r="G42" s="100">
        <v>46137</v>
      </c>
      <c r="H42" s="179" t="s">
        <v>527</v>
      </c>
      <c r="I42" s="169"/>
      <c r="J42" s="168"/>
    </row>
    <row r="43" spans="1:10" ht="18.75" customHeight="1" x14ac:dyDescent="0.25">
      <c r="A43" s="181" t="s">
        <v>320</v>
      </c>
      <c r="B43" s="163"/>
      <c r="C43" s="164"/>
      <c r="D43" s="164"/>
      <c r="E43" s="165">
        <f>SUBTOTAL(109,TBL_GIAONHANDAU4[Số lượng (lít)])</f>
        <v>12958</v>
      </c>
      <c r="F43" s="164"/>
      <c r="G43" s="164"/>
      <c r="H43" s="182"/>
      <c r="I43" s="169"/>
      <c r="J43" s="168"/>
    </row>
    <row r="44" spans="1:10" x14ac:dyDescent="0.25">
      <c r="A44" s="166" t="s">
        <v>333</v>
      </c>
      <c r="B44" s="166"/>
      <c r="C44" s="166"/>
      <c r="D44" s="166"/>
      <c r="E44" s="300" t="s">
        <v>45</v>
      </c>
      <c r="F44" s="300"/>
      <c r="G44" s="300"/>
      <c r="H44" s="300"/>
      <c r="I44" s="171"/>
    </row>
    <row r="45" spans="1:10" x14ac:dyDescent="0.25">
      <c r="A45" s="300" t="s">
        <v>830</v>
      </c>
      <c r="B45" s="300"/>
      <c r="C45" s="300" t="s">
        <v>325</v>
      </c>
      <c r="D45" s="300"/>
      <c r="E45" s="300" t="s">
        <v>831</v>
      </c>
      <c r="F45" s="300"/>
      <c r="G45" s="300" t="s">
        <v>325</v>
      </c>
      <c r="H45" s="300"/>
    </row>
    <row r="46" spans="1:10" x14ac:dyDescent="0.25">
      <c r="A46" s="168"/>
      <c r="B46" s="168"/>
      <c r="C46" s="168"/>
      <c r="D46" s="168"/>
      <c r="F46" s="168"/>
      <c r="G46" s="168"/>
      <c r="H46" s="169"/>
    </row>
    <row r="47" spans="1:10" x14ac:dyDescent="0.25">
      <c r="A47" s="168"/>
      <c r="B47" s="168"/>
      <c r="C47" s="168"/>
      <c r="D47" s="168"/>
      <c r="F47" s="168"/>
      <c r="G47" s="168"/>
      <c r="H47" s="169"/>
    </row>
    <row r="48" spans="1:10" x14ac:dyDescent="0.25">
      <c r="A48" s="168"/>
      <c r="B48" s="170"/>
      <c r="C48" s="168"/>
      <c r="D48" s="168"/>
      <c r="F48" s="168"/>
      <c r="G48" s="168"/>
      <c r="H48" s="169"/>
    </row>
    <row r="49" spans="1:8" x14ac:dyDescent="0.25">
      <c r="A49" s="300" t="s">
        <v>833</v>
      </c>
      <c r="B49" s="300"/>
      <c r="C49" s="300" t="s">
        <v>837</v>
      </c>
      <c r="D49" s="300"/>
      <c r="E49" s="300" t="s">
        <v>834</v>
      </c>
      <c r="F49" s="300"/>
      <c r="G49" s="301" t="s">
        <v>832</v>
      </c>
      <c r="H49" s="301"/>
    </row>
    <row r="50" spans="1:8" x14ac:dyDescent="0.25">
      <c r="B50" s="167"/>
      <c r="C50" s="167"/>
      <c r="D50" s="167"/>
    </row>
  </sheetData>
  <mergeCells count="10">
    <mergeCell ref="A49:B49"/>
    <mergeCell ref="C49:D49"/>
    <mergeCell ref="E49:F49"/>
    <mergeCell ref="G49:H49"/>
    <mergeCell ref="A1:H1"/>
    <mergeCell ref="E44:H44"/>
    <mergeCell ref="A45:B45"/>
    <mergeCell ref="C45:D45"/>
    <mergeCell ref="E45:F45"/>
    <mergeCell ref="G45:H45"/>
  </mergeCells>
  <pageMargins left="0.7" right="0.7" top="0.75" bottom="0.75" header="0.3" footer="0.3"/>
  <pageSetup paperSize="9" scale="59" fitToHeight="0" orientation="portrait" verticalDpi="0" r:id="rId1"/>
  <colBreaks count="1" manualBreakCount="1">
    <brk id="8" max="1048575" man="1"/>
  </colBreaks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250A8-D859-4767-A7CE-C3D20A3539A3}">
  <sheetPr>
    <pageSetUpPr fitToPage="1"/>
  </sheetPr>
  <dimension ref="A1:J413"/>
  <sheetViews>
    <sheetView zoomScaleNormal="100" workbookViewId="0">
      <selection activeCell="F6" sqref="F6"/>
    </sheetView>
  </sheetViews>
  <sheetFormatPr defaultRowHeight="18.75" x14ac:dyDescent="0.3"/>
  <cols>
    <col min="1" max="1" width="4.88671875" style="146" customWidth="1"/>
    <col min="2" max="2" width="8.88671875" style="146" customWidth="1"/>
    <col min="3" max="6" width="11.5546875" style="137" customWidth="1"/>
    <col min="7" max="7" width="10.5546875" style="137" customWidth="1"/>
    <col min="8" max="9" width="13.109375" style="137" customWidth="1"/>
    <col min="10" max="10" width="14.44140625" style="137" customWidth="1"/>
    <col min="11" max="16384" width="8.88671875" style="137"/>
  </cols>
  <sheetData>
    <row r="1" spans="1:10" x14ac:dyDescent="0.3">
      <c r="A1" s="305" t="s">
        <v>333</v>
      </c>
      <c r="B1" s="305"/>
      <c r="C1" s="305"/>
      <c r="D1" s="305"/>
      <c r="E1" s="305"/>
      <c r="F1" s="305"/>
    </row>
    <row r="2" spans="1:10" x14ac:dyDescent="0.3">
      <c r="A2" s="305" t="s">
        <v>835</v>
      </c>
      <c r="B2" s="305"/>
      <c r="C2" s="305"/>
      <c r="D2" s="305"/>
      <c r="E2" s="305"/>
      <c r="F2" s="305"/>
    </row>
    <row r="3" spans="1:10" ht="64.5" customHeight="1" x14ac:dyDescent="0.3">
      <c r="A3" s="306" t="s">
        <v>838</v>
      </c>
      <c r="B3" s="307"/>
      <c r="C3" s="307"/>
      <c r="D3" s="307"/>
      <c r="E3" s="307"/>
      <c r="F3" s="307"/>
      <c r="G3" s="307"/>
      <c r="H3" s="307"/>
      <c r="I3" s="307"/>
      <c r="J3" s="307"/>
    </row>
    <row r="4" spans="1:10" s="138" customFormat="1" x14ac:dyDescent="0.3">
      <c r="A4" s="160" t="s">
        <v>0</v>
      </c>
      <c r="B4" s="160" t="s">
        <v>1</v>
      </c>
      <c r="C4" s="161" t="s">
        <v>2</v>
      </c>
      <c r="D4" s="161" t="s">
        <v>3</v>
      </c>
      <c r="E4" s="161" t="s">
        <v>4</v>
      </c>
      <c r="F4" s="161" t="s">
        <v>5</v>
      </c>
      <c r="G4" s="161" t="s">
        <v>6</v>
      </c>
      <c r="H4" s="161" t="s">
        <v>7</v>
      </c>
      <c r="I4" s="161" t="s">
        <v>8</v>
      </c>
      <c r="J4" s="161" t="s">
        <v>9</v>
      </c>
    </row>
    <row r="5" spans="1:10" x14ac:dyDescent="0.3">
      <c r="A5" s="147">
        <v>1</v>
      </c>
      <c r="B5" s="147">
        <v>3</v>
      </c>
      <c r="C5" s="148">
        <v>46133</v>
      </c>
      <c r="D5" s="149">
        <v>4.2037037033878732E-2</v>
      </c>
      <c r="E5" s="148">
        <v>46133</v>
      </c>
      <c r="F5" s="149">
        <v>5.2326388889923692E-2</v>
      </c>
      <c r="G5" s="150" t="s">
        <v>335</v>
      </c>
      <c r="H5" s="151">
        <v>14060</v>
      </c>
      <c r="I5" s="151">
        <v>30300</v>
      </c>
      <c r="J5" s="151">
        <v>16240</v>
      </c>
    </row>
    <row r="6" spans="1:10" x14ac:dyDescent="0.3">
      <c r="A6" s="147">
        <v>2</v>
      </c>
      <c r="B6" s="147">
        <v>5</v>
      </c>
      <c r="C6" s="148">
        <v>46133</v>
      </c>
      <c r="D6" s="149">
        <v>4.3194444442633539E-2</v>
      </c>
      <c r="E6" s="148">
        <v>46133</v>
      </c>
      <c r="F6" s="149">
        <v>6.3194444446708076E-2</v>
      </c>
      <c r="G6" s="150" t="s">
        <v>336</v>
      </c>
      <c r="H6" s="151">
        <v>14020</v>
      </c>
      <c r="I6" s="151">
        <v>31580</v>
      </c>
      <c r="J6" s="151">
        <v>17560</v>
      </c>
    </row>
    <row r="7" spans="1:10" x14ac:dyDescent="0.3">
      <c r="A7" s="147">
        <v>3</v>
      </c>
      <c r="B7" s="147">
        <v>6</v>
      </c>
      <c r="C7" s="148">
        <v>46133</v>
      </c>
      <c r="D7" s="149">
        <v>4.3680555558239575E-2</v>
      </c>
      <c r="E7" s="148">
        <v>46133</v>
      </c>
      <c r="F7" s="149">
        <v>6.8217592590372078E-2</v>
      </c>
      <c r="G7" s="150" t="s">
        <v>337</v>
      </c>
      <c r="H7" s="151">
        <v>14070</v>
      </c>
      <c r="I7" s="151">
        <v>32000</v>
      </c>
      <c r="J7" s="151">
        <v>17930</v>
      </c>
    </row>
    <row r="8" spans="1:10" x14ac:dyDescent="0.3">
      <c r="A8" s="147">
        <v>4</v>
      </c>
      <c r="B8" s="147">
        <v>9</v>
      </c>
      <c r="C8" s="148">
        <v>46133</v>
      </c>
      <c r="D8" s="149">
        <v>7.7627314814890269E-2</v>
      </c>
      <c r="E8" s="148">
        <v>46133</v>
      </c>
      <c r="F8" s="149">
        <v>8.3310185182199348E-2</v>
      </c>
      <c r="G8" s="150" t="s">
        <v>43</v>
      </c>
      <c r="H8" s="151">
        <v>14090</v>
      </c>
      <c r="I8" s="151">
        <v>32390</v>
      </c>
      <c r="J8" s="151">
        <v>18300</v>
      </c>
    </row>
    <row r="9" spans="1:10" x14ac:dyDescent="0.3">
      <c r="A9" s="147">
        <v>5</v>
      </c>
      <c r="B9" s="147">
        <v>12</v>
      </c>
      <c r="C9" s="148">
        <v>46133</v>
      </c>
      <c r="D9" s="149">
        <v>0.15916666666453239</v>
      </c>
      <c r="E9" s="148">
        <v>46133</v>
      </c>
      <c r="F9" s="149">
        <v>0.16763888888817746</v>
      </c>
      <c r="G9" s="150" t="s">
        <v>335</v>
      </c>
      <c r="H9" s="151">
        <v>14040</v>
      </c>
      <c r="I9" s="151">
        <v>31330</v>
      </c>
      <c r="J9" s="151">
        <v>17290</v>
      </c>
    </row>
    <row r="10" spans="1:10" x14ac:dyDescent="0.3">
      <c r="A10" s="147">
        <v>6</v>
      </c>
      <c r="B10" s="147">
        <v>15</v>
      </c>
      <c r="C10" s="148">
        <v>46133</v>
      </c>
      <c r="D10" s="149">
        <v>0.17878472222218988</v>
      </c>
      <c r="E10" s="148">
        <v>46133</v>
      </c>
      <c r="F10" s="149">
        <v>0.18607638889079681</v>
      </c>
      <c r="G10" s="150" t="s">
        <v>336</v>
      </c>
      <c r="H10" s="151">
        <v>13990</v>
      </c>
      <c r="I10" s="151">
        <v>33220</v>
      </c>
      <c r="J10" s="151">
        <v>19230</v>
      </c>
    </row>
    <row r="11" spans="1:10" x14ac:dyDescent="0.3">
      <c r="A11" s="147">
        <v>7</v>
      </c>
      <c r="B11" s="147">
        <v>16</v>
      </c>
      <c r="C11" s="148">
        <v>46133</v>
      </c>
      <c r="D11" s="149">
        <v>0.19593750000058208</v>
      </c>
      <c r="E11" s="148">
        <v>46133</v>
      </c>
      <c r="F11" s="149">
        <v>0.20336805555416504</v>
      </c>
      <c r="G11" s="150" t="s">
        <v>337</v>
      </c>
      <c r="H11" s="151">
        <v>14050</v>
      </c>
      <c r="I11" s="151">
        <v>32450</v>
      </c>
      <c r="J11" s="151">
        <v>18400</v>
      </c>
    </row>
    <row r="12" spans="1:10" x14ac:dyDescent="0.3">
      <c r="A12" s="147">
        <v>8</v>
      </c>
      <c r="B12" s="147">
        <v>19</v>
      </c>
      <c r="C12" s="148">
        <v>46133</v>
      </c>
      <c r="D12" s="149">
        <v>0.21805555555329192</v>
      </c>
      <c r="E12" s="148">
        <v>46133</v>
      </c>
      <c r="F12" s="149">
        <v>0.22584490740700858</v>
      </c>
      <c r="G12" s="150" t="s">
        <v>43</v>
      </c>
      <c r="H12" s="151">
        <v>14070</v>
      </c>
      <c r="I12" s="151">
        <v>32760</v>
      </c>
      <c r="J12" s="151">
        <v>18690</v>
      </c>
    </row>
    <row r="13" spans="1:10" x14ac:dyDescent="0.3">
      <c r="A13" s="147">
        <v>9</v>
      </c>
      <c r="B13" s="147">
        <v>22</v>
      </c>
      <c r="C13" s="148">
        <v>46133</v>
      </c>
      <c r="D13" s="149">
        <v>0.27952546296000946</v>
      </c>
      <c r="E13" s="148">
        <v>46133</v>
      </c>
      <c r="F13" s="149">
        <v>0.28598379629693227</v>
      </c>
      <c r="G13" s="150" t="s">
        <v>335</v>
      </c>
      <c r="H13" s="151">
        <v>14020</v>
      </c>
      <c r="I13" s="151">
        <v>31350</v>
      </c>
      <c r="J13" s="151">
        <v>17330</v>
      </c>
    </row>
    <row r="14" spans="1:10" x14ac:dyDescent="0.3">
      <c r="A14" s="147">
        <v>10</v>
      </c>
      <c r="B14" s="147">
        <v>24</v>
      </c>
      <c r="C14" s="148">
        <v>46133</v>
      </c>
      <c r="D14" s="149">
        <v>0.30752314814890269</v>
      </c>
      <c r="E14" s="148">
        <v>46133</v>
      </c>
      <c r="F14" s="149">
        <v>0.31520833333343035</v>
      </c>
      <c r="G14" s="150" t="s">
        <v>336</v>
      </c>
      <c r="H14" s="151">
        <v>13970</v>
      </c>
      <c r="I14" s="151">
        <v>31860</v>
      </c>
      <c r="J14" s="151">
        <v>17890</v>
      </c>
    </row>
    <row r="15" spans="1:10" x14ac:dyDescent="0.3">
      <c r="A15" s="147">
        <v>11</v>
      </c>
      <c r="B15" s="147">
        <v>26</v>
      </c>
      <c r="C15" s="148">
        <v>46133</v>
      </c>
      <c r="D15" s="149">
        <v>0.32084490740817273</v>
      </c>
      <c r="E15" s="148">
        <v>46133</v>
      </c>
      <c r="F15" s="149">
        <v>0.32687500000000003</v>
      </c>
      <c r="G15" s="150" t="s">
        <v>337</v>
      </c>
      <c r="H15" s="151">
        <v>14050</v>
      </c>
      <c r="I15" s="151">
        <v>32680</v>
      </c>
      <c r="J15" s="151">
        <v>18630</v>
      </c>
    </row>
    <row r="16" spans="1:10" x14ac:dyDescent="0.3">
      <c r="A16" s="147">
        <v>12</v>
      </c>
      <c r="B16" s="147">
        <v>29</v>
      </c>
      <c r="C16" s="148">
        <v>46133</v>
      </c>
      <c r="D16" s="149">
        <v>0.348877314812853</v>
      </c>
      <c r="E16" s="148">
        <v>46133</v>
      </c>
      <c r="F16" s="149">
        <v>0.35428240741021</v>
      </c>
      <c r="G16" s="150" t="s">
        <v>43</v>
      </c>
      <c r="H16" s="151">
        <v>14050</v>
      </c>
      <c r="I16" s="151">
        <v>33080</v>
      </c>
      <c r="J16" s="151">
        <v>19030</v>
      </c>
    </row>
    <row r="17" spans="1:10" x14ac:dyDescent="0.3">
      <c r="A17" s="147">
        <v>13</v>
      </c>
      <c r="B17" s="147">
        <v>32</v>
      </c>
      <c r="C17" s="148">
        <v>46133</v>
      </c>
      <c r="D17" s="149">
        <v>0.41252314814482816</v>
      </c>
      <c r="E17" s="148">
        <v>46133</v>
      </c>
      <c r="F17" s="149">
        <v>0.41666666666424135</v>
      </c>
      <c r="G17" s="150" t="s">
        <v>335</v>
      </c>
      <c r="H17" s="151">
        <v>14000</v>
      </c>
      <c r="I17" s="151">
        <v>32160</v>
      </c>
      <c r="J17" s="151">
        <v>18160</v>
      </c>
    </row>
    <row r="18" spans="1:10" x14ac:dyDescent="0.3">
      <c r="A18" s="147">
        <v>14</v>
      </c>
      <c r="B18" s="147">
        <v>34</v>
      </c>
      <c r="C18" s="148">
        <v>46133</v>
      </c>
      <c r="D18" s="149">
        <v>0.43527777777489973</v>
      </c>
      <c r="E18" s="148">
        <v>46133</v>
      </c>
      <c r="F18" s="149">
        <v>0.45336805555416504</v>
      </c>
      <c r="G18" s="150" t="s">
        <v>336</v>
      </c>
      <c r="H18" s="151">
        <v>13940</v>
      </c>
      <c r="I18" s="151">
        <v>32590</v>
      </c>
      <c r="J18" s="151">
        <v>18650</v>
      </c>
    </row>
    <row r="19" spans="1:10" x14ac:dyDescent="0.3">
      <c r="A19" s="147">
        <v>15</v>
      </c>
      <c r="B19" s="147">
        <v>36</v>
      </c>
      <c r="C19" s="148">
        <v>46133</v>
      </c>
      <c r="D19" s="149">
        <v>0.45667824074189411</v>
      </c>
      <c r="E19" s="148">
        <v>46133</v>
      </c>
      <c r="F19" s="149">
        <v>0.46077546296146465</v>
      </c>
      <c r="G19" s="150" t="s">
        <v>337</v>
      </c>
      <c r="H19" s="151">
        <v>13980</v>
      </c>
      <c r="I19" s="151">
        <v>32440</v>
      </c>
      <c r="J19" s="151">
        <v>18460</v>
      </c>
    </row>
    <row r="20" spans="1:10" x14ac:dyDescent="0.3">
      <c r="A20" s="147">
        <v>16</v>
      </c>
      <c r="B20" s="147">
        <v>39</v>
      </c>
      <c r="C20" s="148">
        <v>46133</v>
      </c>
      <c r="D20" s="149">
        <v>0.47934027777955635</v>
      </c>
      <c r="E20" s="148">
        <v>46133</v>
      </c>
      <c r="F20" s="149">
        <v>0.48872685185051523</v>
      </c>
      <c r="G20" s="150" t="s">
        <v>43</v>
      </c>
      <c r="H20" s="151">
        <v>14000</v>
      </c>
      <c r="I20" s="151">
        <v>31710</v>
      </c>
      <c r="J20" s="151">
        <v>17710</v>
      </c>
    </row>
    <row r="21" spans="1:10" x14ac:dyDescent="0.3">
      <c r="A21" s="147">
        <v>17</v>
      </c>
      <c r="B21" s="147">
        <v>42</v>
      </c>
      <c r="C21" s="148">
        <v>46133</v>
      </c>
      <c r="D21" s="149">
        <v>0.54091435185546288</v>
      </c>
      <c r="E21" s="148">
        <v>46133</v>
      </c>
      <c r="F21" s="149">
        <v>0.54554398148320615</v>
      </c>
      <c r="G21" s="150" t="s">
        <v>335</v>
      </c>
      <c r="H21" s="151">
        <v>13960</v>
      </c>
      <c r="I21" s="151">
        <v>31650</v>
      </c>
      <c r="J21" s="151">
        <v>17690</v>
      </c>
    </row>
    <row r="22" spans="1:10" x14ac:dyDescent="0.3">
      <c r="A22" s="147">
        <v>18</v>
      </c>
      <c r="B22" s="147">
        <v>44</v>
      </c>
      <c r="C22" s="148">
        <v>46133</v>
      </c>
      <c r="D22" s="149">
        <v>0.56988425926101627</v>
      </c>
      <c r="E22" s="148">
        <v>46133</v>
      </c>
      <c r="F22" s="149">
        <v>0.57407407407299615</v>
      </c>
      <c r="G22" s="150" t="s">
        <v>337</v>
      </c>
      <c r="H22" s="151">
        <v>13930</v>
      </c>
      <c r="I22" s="151">
        <v>30780</v>
      </c>
      <c r="J22" s="151">
        <v>16850</v>
      </c>
    </row>
    <row r="23" spans="1:10" x14ac:dyDescent="0.3">
      <c r="A23" s="147">
        <v>19</v>
      </c>
      <c r="B23" s="147">
        <v>45</v>
      </c>
      <c r="C23" s="148">
        <v>46133</v>
      </c>
      <c r="D23" s="149">
        <v>0.57107638888555812</v>
      </c>
      <c r="E23" s="148">
        <v>46133</v>
      </c>
      <c r="F23" s="149">
        <v>0.57893518518540077</v>
      </c>
      <c r="G23" s="150" t="s">
        <v>336</v>
      </c>
      <c r="H23" s="151">
        <v>13910</v>
      </c>
      <c r="I23" s="151">
        <v>30450</v>
      </c>
      <c r="J23" s="151">
        <v>16540</v>
      </c>
    </row>
    <row r="24" spans="1:10" x14ac:dyDescent="0.3">
      <c r="A24" s="147">
        <v>20</v>
      </c>
      <c r="B24" s="147">
        <v>49</v>
      </c>
      <c r="C24" s="148">
        <v>46133</v>
      </c>
      <c r="D24" s="149">
        <v>0.61712962963065365</v>
      </c>
      <c r="E24" s="148">
        <v>46133</v>
      </c>
      <c r="F24" s="149">
        <v>0.62201388888934162</v>
      </c>
      <c r="G24" s="150" t="s">
        <v>43</v>
      </c>
      <c r="H24" s="151">
        <v>13980</v>
      </c>
      <c r="I24" s="151">
        <v>32190</v>
      </c>
      <c r="J24" s="151">
        <v>18210</v>
      </c>
    </row>
    <row r="25" spans="1:10" x14ac:dyDescent="0.3">
      <c r="A25" s="147">
        <v>21</v>
      </c>
      <c r="B25" s="147">
        <v>52</v>
      </c>
      <c r="C25" s="148">
        <v>46133</v>
      </c>
      <c r="D25" s="149">
        <v>0.6653356481474475</v>
      </c>
      <c r="E25" s="148">
        <v>46133</v>
      </c>
      <c r="F25" s="149">
        <v>0.66953703703620704</v>
      </c>
      <c r="G25" s="150" t="s">
        <v>335</v>
      </c>
      <c r="H25" s="151">
        <v>13940</v>
      </c>
      <c r="I25" s="151">
        <v>32140</v>
      </c>
      <c r="J25" s="151">
        <v>18200</v>
      </c>
    </row>
    <row r="26" spans="1:10" x14ac:dyDescent="0.3">
      <c r="A26" s="147">
        <v>22</v>
      </c>
      <c r="B26" s="147">
        <v>53</v>
      </c>
      <c r="C26" s="148">
        <v>46133</v>
      </c>
      <c r="D26" s="149">
        <v>0.68512731481481481</v>
      </c>
      <c r="E26" s="148">
        <v>46133</v>
      </c>
      <c r="F26" s="149">
        <v>0.68914351851851852</v>
      </c>
      <c r="G26" s="150" t="s">
        <v>337</v>
      </c>
      <c r="H26" s="151">
        <v>13910</v>
      </c>
      <c r="I26" s="151">
        <v>33120</v>
      </c>
      <c r="J26" s="151">
        <v>19210</v>
      </c>
    </row>
    <row r="27" spans="1:10" x14ac:dyDescent="0.3">
      <c r="A27" s="147">
        <v>23</v>
      </c>
      <c r="B27" s="147">
        <v>55</v>
      </c>
      <c r="C27" s="148">
        <v>46133</v>
      </c>
      <c r="D27" s="149">
        <v>0.72649305555555554</v>
      </c>
      <c r="E27" s="148">
        <v>46133</v>
      </c>
      <c r="F27" s="149">
        <v>0.732025462962963</v>
      </c>
      <c r="G27" s="150" t="s">
        <v>336</v>
      </c>
      <c r="H27" s="151">
        <v>13820</v>
      </c>
      <c r="I27" s="151">
        <v>32180</v>
      </c>
      <c r="J27" s="151">
        <v>18360</v>
      </c>
    </row>
    <row r="28" spans="1:10" x14ac:dyDescent="0.3">
      <c r="A28" s="147">
        <v>24</v>
      </c>
      <c r="B28" s="147">
        <v>57</v>
      </c>
      <c r="C28" s="148">
        <v>46133</v>
      </c>
      <c r="D28" s="149">
        <v>0.73998842592592595</v>
      </c>
      <c r="E28" s="148">
        <v>46133</v>
      </c>
      <c r="F28" s="149">
        <v>0.7462037037037037</v>
      </c>
      <c r="G28" s="150" t="s">
        <v>43</v>
      </c>
      <c r="H28" s="151">
        <v>13960</v>
      </c>
      <c r="I28" s="151">
        <v>32180</v>
      </c>
      <c r="J28" s="151">
        <v>18220</v>
      </c>
    </row>
    <row r="29" spans="1:10" x14ac:dyDescent="0.3">
      <c r="A29" s="147">
        <v>25</v>
      </c>
      <c r="B29" s="147">
        <v>65</v>
      </c>
      <c r="C29" s="148">
        <v>46134</v>
      </c>
      <c r="D29" s="149">
        <v>4.3541666665987577E-2</v>
      </c>
      <c r="E29" s="148">
        <v>46134</v>
      </c>
      <c r="F29" s="149">
        <v>7.7743055553582963E-2</v>
      </c>
      <c r="G29" s="150" t="s">
        <v>43</v>
      </c>
      <c r="H29" s="151">
        <v>13940</v>
      </c>
      <c r="I29" s="151">
        <v>33350</v>
      </c>
      <c r="J29" s="151">
        <v>19410</v>
      </c>
    </row>
    <row r="30" spans="1:10" x14ac:dyDescent="0.3">
      <c r="A30" s="147">
        <v>26</v>
      </c>
      <c r="B30" s="147">
        <v>67</v>
      </c>
      <c r="C30" s="148">
        <v>46134</v>
      </c>
      <c r="D30" s="149">
        <v>5.8275462964957114E-2</v>
      </c>
      <c r="E30" s="148">
        <v>46134</v>
      </c>
      <c r="F30" s="149">
        <v>8.965277778042946E-2</v>
      </c>
      <c r="G30" s="150" t="s">
        <v>337</v>
      </c>
      <c r="H30" s="151">
        <v>13840</v>
      </c>
      <c r="I30" s="151">
        <v>31360</v>
      </c>
      <c r="J30" s="151">
        <v>17520</v>
      </c>
    </row>
    <row r="31" spans="1:10" x14ac:dyDescent="0.3">
      <c r="A31" s="147">
        <v>27</v>
      </c>
      <c r="B31" s="147">
        <v>68</v>
      </c>
      <c r="C31" s="148">
        <v>46134</v>
      </c>
      <c r="D31" s="149">
        <v>6.0254629628616385E-2</v>
      </c>
      <c r="E31" s="148">
        <v>46134</v>
      </c>
      <c r="F31" s="149">
        <v>9.50231481474475E-2</v>
      </c>
      <c r="G31" s="150" t="s">
        <v>335</v>
      </c>
      <c r="H31" s="151">
        <v>13920</v>
      </c>
      <c r="I31" s="151">
        <v>32360</v>
      </c>
      <c r="J31" s="151">
        <v>18440</v>
      </c>
    </row>
    <row r="32" spans="1:10" x14ac:dyDescent="0.3">
      <c r="A32" s="147">
        <v>28</v>
      </c>
      <c r="B32" s="147">
        <v>69</v>
      </c>
      <c r="C32" s="148">
        <v>46134</v>
      </c>
      <c r="D32" s="149">
        <v>7.5497685182199348E-2</v>
      </c>
      <c r="E32" s="148">
        <v>46134</v>
      </c>
      <c r="F32" s="149">
        <v>0.10045138889108784</v>
      </c>
      <c r="G32" s="150" t="s">
        <v>336</v>
      </c>
      <c r="H32" s="151">
        <v>13800</v>
      </c>
      <c r="I32" s="151">
        <v>32540</v>
      </c>
      <c r="J32" s="151">
        <v>18740</v>
      </c>
    </row>
    <row r="33" spans="1:10" x14ac:dyDescent="0.3">
      <c r="A33" s="147">
        <v>29</v>
      </c>
      <c r="B33" s="147">
        <v>74</v>
      </c>
      <c r="C33" s="148">
        <v>46134</v>
      </c>
      <c r="D33" s="149">
        <v>0.18752314814628335</v>
      </c>
      <c r="E33" s="148">
        <v>46134</v>
      </c>
      <c r="F33" s="149">
        <v>0.19445601852203254</v>
      </c>
      <c r="G33" s="150" t="s">
        <v>43</v>
      </c>
      <c r="H33" s="151">
        <v>14080</v>
      </c>
      <c r="I33" s="151">
        <v>31500</v>
      </c>
      <c r="J33" s="151">
        <v>17420</v>
      </c>
    </row>
    <row r="34" spans="1:10" x14ac:dyDescent="0.3">
      <c r="A34" s="147">
        <v>30</v>
      </c>
      <c r="B34" s="147">
        <v>77</v>
      </c>
      <c r="C34" s="148">
        <v>46134</v>
      </c>
      <c r="D34" s="149">
        <v>0.216273148151231</v>
      </c>
      <c r="E34" s="148">
        <v>46134</v>
      </c>
      <c r="F34" s="149">
        <v>0.22392361111269565</v>
      </c>
      <c r="G34" s="150" t="s">
        <v>335</v>
      </c>
      <c r="H34" s="151">
        <v>13960</v>
      </c>
      <c r="I34" s="151">
        <v>33250</v>
      </c>
      <c r="J34" s="151">
        <v>19290</v>
      </c>
    </row>
    <row r="35" spans="1:10" x14ac:dyDescent="0.3">
      <c r="A35" s="147">
        <v>31</v>
      </c>
      <c r="B35" s="147">
        <v>78</v>
      </c>
      <c r="C35" s="148">
        <v>46134</v>
      </c>
      <c r="D35" s="149">
        <v>0.22746527777781012</v>
      </c>
      <c r="E35" s="148">
        <v>46134</v>
      </c>
      <c r="F35" s="149">
        <v>0.23484953703882638</v>
      </c>
      <c r="G35" s="150" t="s">
        <v>336</v>
      </c>
      <c r="H35" s="151">
        <v>13830</v>
      </c>
      <c r="I35" s="151">
        <v>32480</v>
      </c>
      <c r="J35" s="151">
        <v>18650</v>
      </c>
    </row>
    <row r="36" spans="1:10" x14ac:dyDescent="0.3">
      <c r="A36" s="147">
        <v>32</v>
      </c>
      <c r="B36" s="147">
        <v>79</v>
      </c>
      <c r="C36" s="148">
        <v>46134</v>
      </c>
      <c r="D36" s="149">
        <v>0.22795138888614019</v>
      </c>
      <c r="E36" s="148">
        <v>46134</v>
      </c>
      <c r="F36" s="149">
        <v>0.24167824073811062</v>
      </c>
      <c r="G36" s="150" t="s">
        <v>337</v>
      </c>
      <c r="H36" s="151">
        <v>13880</v>
      </c>
      <c r="I36" s="151">
        <v>32090</v>
      </c>
      <c r="J36" s="151">
        <v>18210</v>
      </c>
    </row>
    <row r="37" spans="1:10" x14ac:dyDescent="0.3">
      <c r="A37" s="147">
        <v>33</v>
      </c>
      <c r="B37" s="147">
        <v>84</v>
      </c>
      <c r="C37" s="148">
        <v>46134</v>
      </c>
      <c r="D37" s="149">
        <v>0.31193287036876427</v>
      </c>
      <c r="E37" s="148">
        <v>46134</v>
      </c>
      <c r="F37" s="149">
        <v>0.32288194444117835</v>
      </c>
      <c r="G37" s="150" t="s">
        <v>43</v>
      </c>
      <c r="H37" s="151">
        <v>13980</v>
      </c>
      <c r="I37" s="151">
        <v>32680</v>
      </c>
      <c r="J37" s="151">
        <v>18700</v>
      </c>
    </row>
    <row r="38" spans="1:10" x14ac:dyDescent="0.3">
      <c r="A38" s="147">
        <v>34</v>
      </c>
      <c r="B38" s="147">
        <v>87</v>
      </c>
      <c r="C38" s="148">
        <v>46134</v>
      </c>
      <c r="D38" s="149">
        <v>0.36179398147942265</v>
      </c>
      <c r="E38" s="148">
        <v>46134</v>
      </c>
      <c r="F38" s="149">
        <v>0.36627314814541023</v>
      </c>
      <c r="G38" s="150" t="s">
        <v>335</v>
      </c>
      <c r="H38" s="151">
        <v>13870</v>
      </c>
      <c r="I38" s="151">
        <v>33560</v>
      </c>
      <c r="J38" s="151">
        <v>19690</v>
      </c>
    </row>
    <row r="39" spans="1:10" x14ac:dyDescent="0.3">
      <c r="A39" s="147">
        <v>35</v>
      </c>
      <c r="B39" s="147">
        <v>89</v>
      </c>
      <c r="C39" s="148">
        <v>46134</v>
      </c>
      <c r="D39" s="149">
        <v>0.38775462962803431</v>
      </c>
      <c r="E39" s="148">
        <v>46134</v>
      </c>
      <c r="F39" s="149">
        <v>0.39493055555794854</v>
      </c>
      <c r="G39" s="150" t="s">
        <v>336</v>
      </c>
      <c r="H39" s="151">
        <v>13750</v>
      </c>
      <c r="I39" s="151">
        <v>33990</v>
      </c>
      <c r="J39" s="151">
        <v>20240</v>
      </c>
    </row>
    <row r="40" spans="1:10" x14ac:dyDescent="0.3">
      <c r="A40" s="147">
        <v>36</v>
      </c>
      <c r="B40" s="147">
        <v>90</v>
      </c>
      <c r="C40" s="148">
        <v>46134</v>
      </c>
      <c r="D40" s="149">
        <v>0.39554398148175096</v>
      </c>
      <c r="E40" s="148">
        <v>46134</v>
      </c>
      <c r="F40" s="149">
        <v>0.4022569444423425</v>
      </c>
      <c r="G40" s="150" t="s">
        <v>337</v>
      </c>
      <c r="H40" s="151">
        <v>13830</v>
      </c>
      <c r="I40" s="151">
        <v>33080</v>
      </c>
      <c r="J40" s="151">
        <v>19250</v>
      </c>
    </row>
    <row r="41" spans="1:10" x14ac:dyDescent="0.3">
      <c r="A41" s="147">
        <v>37</v>
      </c>
      <c r="B41" s="147">
        <v>93</v>
      </c>
      <c r="C41" s="148">
        <v>46134</v>
      </c>
      <c r="D41" s="149">
        <v>0.44065972221869742</v>
      </c>
      <c r="E41" s="148">
        <v>46134</v>
      </c>
      <c r="F41" s="149">
        <v>0.46068287036905531</v>
      </c>
      <c r="G41" s="150" t="s">
        <v>43</v>
      </c>
      <c r="H41" s="151">
        <v>13880</v>
      </c>
      <c r="I41" s="151">
        <v>33690</v>
      </c>
      <c r="J41" s="151">
        <v>19810</v>
      </c>
    </row>
    <row r="42" spans="1:10" x14ac:dyDescent="0.3">
      <c r="A42" s="147">
        <v>38</v>
      </c>
      <c r="B42" s="147">
        <v>97</v>
      </c>
      <c r="C42" s="148">
        <v>46134</v>
      </c>
      <c r="D42" s="149">
        <v>0.50187500000174623</v>
      </c>
      <c r="E42" s="148">
        <v>46134</v>
      </c>
      <c r="F42" s="149">
        <v>0.50685185185284354</v>
      </c>
      <c r="G42" s="150" t="s">
        <v>335</v>
      </c>
      <c r="H42" s="151">
        <v>13840</v>
      </c>
      <c r="I42" s="151">
        <v>32740</v>
      </c>
      <c r="J42" s="151">
        <v>18900</v>
      </c>
    </row>
    <row r="43" spans="1:10" x14ac:dyDescent="0.3">
      <c r="A43" s="147">
        <v>39</v>
      </c>
      <c r="B43" s="147">
        <v>99</v>
      </c>
      <c r="C43" s="148">
        <v>46134</v>
      </c>
      <c r="D43" s="149">
        <v>0.55466435185371665</v>
      </c>
      <c r="E43" s="148">
        <v>46134</v>
      </c>
      <c r="F43" s="149">
        <v>0.55874999999650754</v>
      </c>
      <c r="G43" s="150" t="s">
        <v>336</v>
      </c>
      <c r="H43" s="151">
        <v>14100</v>
      </c>
      <c r="I43" s="151">
        <v>32570</v>
      </c>
      <c r="J43" s="151">
        <v>18470</v>
      </c>
    </row>
    <row r="44" spans="1:10" x14ac:dyDescent="0.3">
      <c r="A44" s="147">
        <v>40</v>
      </c>
      <c r="B44" s="147">
        <v>102</v>
      </c>
      <c r="C44" s="148">
        <v>46134</v>
      </c>
      <c r="D44" s="149">
        <v>0.58657407407736173</v>
      </c>
      <c r="E44" s="148">
        <v>46134</v>
      </c>
      <c r="F44" s="149">
        <v>0.59218749999854481</v>
      </c>
      <c r="G44" s="150" t="s">
        <v>43</v>
      </c>
      <c r="H44" s="151">
        <v>14110</v>
      </c>
      <c r="I44" s="151">
        <v>32910</v>
      </c>
      <c r="J44" s="151">
        <v>18800</v>
      </c>
    </row>
    <row r="45" spans="1:10" x14ac:dyDescent="0.3">
      <c r="A45" s="147">
        <v>41</v>
      </c>
      <c r="B45" s="147">
        <v>104</v>
      </c>
      <c r="C45" s="148">
        <v>46134</v>
      </c>
      <c r="D45" s="149">
        <v>0.59428240740817273</v>
      </c>
      <c r="E45" s="148">
        <v>46134</v>
      </c>
      <c r="F45" s="149">
        <v>0.59864583333546761</v>
      </c>
      <c r="G45" s="150" t="s">
        <v>337</v>
      </c>
      <c r="H45" s="151">
        <v>14090</v>
      </c>
      <c r="I45" s="151">
        <v>34320</v>
      </c>
      <c r="J45" s="151">
        <v>20230</v>
      </c>
    </row>
    <row r="46" spans="1:10" x14ac:dyDescent="0.3">
      <c r="A46" s="147">
        <v>42</v>
      </c>
      <c r="B46" s="147">
        <v>106</v>
      </c>
      <c r="C46" s="148">
        <v>46134</v>
      </c>
      <c r="D46" s="149">
        <v>0.63021990740526235</v>
      </c>
      <c r="E46" s="148">
        <v>46134</v>
      </c>
      <c r="F46" s="149">
        <v>0.63557870370277669</v>
      </c>
      <c r="G46" s="150" t="s">
        <v>335</v>
      </c>
      <c r="H46" s="151">
        <v>14070</v>
      </c>
      <c r="I46" s="151">
        <v>32420</v>
      </c>
      <c r="J46" s="151">
        <v>18350</v>
      </c>
    </row>
    <row r="47" spans="1:10" x14ac:dyDescent="0.3">
      <c r="A47" s="147">
        <v>43</v>
      </c>
      <c r="B47" s="147">
        <v>109</v>
      </c>
      <c r="C47" s="148">
        <v>46134</v>
      </c>
      <c r="D47" s="149" t="s">
        <v>338</v>
      </c>
      <c r="E47" s="148">
        <v>46134</v>
      </c>
      <c r="F47" s="149" t="s">
        <v>339</v>
      </c>
      <c r="G47" s="150" t="s">
        <v>336</v>
      </c>
      <c r="H47" s="151">
        <v>14030</v>
      </c>
      <c r="I47" s="151">
        <v>34160</v>
      </c>
      <c r="J47" s="151">
        <v>20130</v>
      </c>
    </row>
    <row r="48" spans="1:10" x14ac:dyDescent="0.3">
      <c r="A48" s="147">
        <v>44</v>
      </c>
      <c r="B48" s="147">
        <v>112</v>
      </c>
      <c r="C48" s="148">
        <v>46134</v>
      </c>
      <c r="D48" s="149" t="s">
        <v>340</v>
      </c>
      <c r="E48" s="148">
        <v>46134</v>
      </c>
      <c r="F48" s="149" t="s">
        <v>341</v>
      </c>
      <c r="G48" s="150" t="s">
        <v>43</v>
      </c>
      <c r="H48" s="151">
        <v>14120</v>
      </c>
      <c r="I48" s="151">
        <v>33380</v>
      </c>
      <c r="J48" s="151">
        <v>19260</v>
      </c>
    </row>
    <row r="49" spans="1:10" x14ac:dyDescent="0.3">
      <c r="A49" s="147">
        <v>45</v>
      </c>
      <c r="B49" s="147">
        <v>114</v>
      </c>
      <c r="C49" s="148">
        <v>46134</v>
      </c>
      <c r="D49" s="149" t="s">
        <v>342</v>
      </c>
      <c r="E49" s="148">
        <v>46134</v>
      </c>
      <c r="F49" s="149" t="s">
        <v>343</v>
      </c>
      <c r="G49" s="150" t="s">
        <v>337</v>
      </c>
      <c r="H49" s="151">
        <v>14030</v>
      </c>
      <c r="I49" s="151">
        <v>32660</v>
      </c>
      <c r="J49" s="151">
        <v>18630</v>
      </c>
    </row>
    <row r="50" spans="1:10" x14ac:dyDescent="0.3">
      <c r="A50" s="147">
        <v>46</v>
      </c>
      <c r="B50" s="147">
        <v>116</v>
      </c>
      <c r="C50" s="148">
        <v>46134</v>
      </c>
      <c r="D50" s="149" t="s">
        <v>344</v>
      </c>
      <c r="E50" s="148">
        <v>46134</v>
      </c>
      <c r="F50" s="149" t="s">
        <v>345</v>
      </c>
      <c r="G50" s="150" t="s">
        <v>335</v>
      </c>
      <c r="H50" s="151">
        <v>14030</v>
      </c>
      <c r="I50" s="151">
        <v>32100</v>
      </c>
      <c r="J50" s="151">
        <v>18070</v>
      </c>
    </row>
    <row r="51" spans="1:10" x14ac:dyDescent="0.3">
      <c r="A51" s="147">
        <v>47</v>
      </c>
      <c r="B51" s="147">
        <v>119</v>
      </c>
      <c r="C51" s="148">
        <v>46134</v>
      </c>
      <c r="D51" s="149" t="s">
        <v>346</v>
      </c>
      <c r="E51" s="148">
        <v>46134</v>
      </c>
      <c r="F51" s="149" t="s">
        <v>347</v>
      </c>
      <c r="G51" s="150" t="s">
        <v>336</v>
      </c>
      <c r="H51" s="151">
        <v>13960</v>
      </c>
      <c r="I51" s="151">
        <v>32810</v>
      </c>
      <c r="J51" s="151">
        <v>18850</v>
      </c>
    </row>
    <row r="52" spans="1:10" x14ac:dyDescent="0.3">
      <c r="A52" s="147">
        <v>48</v>
      </c>
      <c r="B52" s="147">
        <v>120</v>
      </c>
      <c r="C52" s="148">
        <v>46134</v>
      </c>
      <c r="D52" s="149" t="s">
        <v>348</v>
      </c>
      <c r="E52" s="148">
        <v>46134</v>
      </c>
      <c r="F52" s="149" t="s">
        <v>349</v>
      </c>
      <c r="G52" s="150" t="s">
        <v>337</v>
      </c>
      <c r="H52" s="151">
        <v>14040</v>
      </c>
      <c r="I52" s="151">
        <v>32620</v>
      </c>
      <c r="J52" s="151">
        <v>18580</v>
      </c>
    </row>
    <row r="53" spans="1:10" x14ac:dyDescent="0.3">
      <c r="A53" s="147">
        <v>49</v>
      </c>
      <c r="B53" s="147">
        <v>178</v>
      </c>
      <c r="C53" s="148">
        <v>46135</v>
      </c>
      <c r="D53" s="149">
        <v>4.3368055557948537E-2</v>
      </c>
      <c r="E53" s="148">
        <v>46135</v>
      </c>
      <c r="F53" s="149">
        <v>6.0682870367600117E-2</v>
      </c>
      <c r="G53" s="150" t="s">
        <v>335</v>
      </c>
      <c r="H53" s="151">
        <v>14020</v>
      </c>
      <c r="I53" s="151">
        <v>32600</v>
      </c>
      <c r="J53" s="151">
        <v>18580</v>
      </c>
    </row>
    <row r="54" spans="1:10" x14ac:dyDescent="0.3">
      <c r="A54" s="147">
        <v>50</v>
      </c>
      <c r="B54" s="147">
        <v>181</v>
      </c>
      <c r="C54" s="148">
        <v>46135</v>
      </c>
      <c r="D54" s="149">
        <v>4.4513888889923692E-2</v>
      </c>
      <c r="E54" s="148">
        <v>46135</v>
      </c>
      <c r="F54" s="149">
        <v>7.4548611111822538E-2</v>
      </c>
      <c r="G54" s="150" t="s">
        <v>336</v>
      </c>
      <c r="H54" s="151">
        <v>13950</v>
      </c>
      <c r="I54" s="151">
        <v>33140</v>
      </c>
      <c r="J54" s="151">
        <v>19190</v>
      </c>
    </row>
    <row r="55" spans="1:10" x14ac:dyDescent="0.3">
      <c r="A55" s="147">
        <v>51</v>
      </c>
      <c r="B55" s="147">
        <v>183</v>
      </c>
      <c r="C55" s="148">
        <v>46135</v>
      </c>
      <c r="D55" s="149">
        <v>8.5277777776354924E-2</v>
      </c>
      <c r="E55" s="148">
        <v>46135</v>
      </c>
      <c r="F55" s="149">
        <v>9.1921296298096422E-2</v>
      </c>
      <c r="G55" s="150" t="s">
        <v>43</v>
      </c>
      <c r="H55" s="151">
        <v>14090</v>
      </c>
      <c r="I55" s="151">
        <v>33450</v>
      </c>
      <c r="J55" s="151">
        <v>19360</v>
      </c>
    </row>
    <row r="56" spans="1:10" x14ac:dyDescent="0.3">
      <c r="A56" s="147">
        <v>52</v>
      </c>
      <c r="B56" s="147">
        <v>185</v>
      </c>
      <c r="C56" s="148">
        <v>46135</v>
      </c>
      <c r="D56" s="149">
        <v>0.14591435185138835</v>
      </c>
      <c r="E56" s="148">
        <v>46135</v>
      </c>
      <c r="F56" s="149">
        <v>0.153599537035916</v>
      </c>
      <c r="G56" s="150" t="s">
        <v>337</v>
      </c>
      <c r="H56" s="151">
        <v>14060</v>
      </c>
      <c r="I56" s="151">
        <v>32420</v>
      </c>
      <c r="J56" s="151">
        <v>18360</v>
      </c>
    </row>
    <row r="57" spans="1:10" x14ac:dyDescent="0.3">
      <c r="A57" s="147">
        <v>53</v>
      </c>
      <c r="B57" s="147">
        <v>188</v>
      </c>
      <c r="C57" s="148">
        <v>46135</v>
      </c>
      <c r="D57" s="149">
        <v>0.17010416666744277</v>
      </c>
      <c r="E57" s="148">
        <v>46135</v>
      </c>
      <c r="F57" s="149">
        <v>0.17603009259619284</v>
      </c>
      <c r="G57" s="150" t="s">
        <v>335</v>
      </c>
      <c r="H57" s="151">
        <v>13980</v>
      </c>
      <c r="I57" s="151">
        <v>33180</v>
      </c>
      <c r="J57" s="151">
        <v>19200</v>
      </c>
    </row>
    <row r="58" spans="1:10" x14ac:dyDescent="0.3">
      <c r="A58" s="147">
        <v>54</v>
      </c>
      <c r="B58" s="147">
        <v>191</v>
      </c>
      <c r="C58" s="148">
        <v>46135</v>
      </c>
      <c r="D58" s="149">
        <v>0.19432870370656019</v>
      </c>
      <c r="E58" s="148">
        <v>46135</v>
      </c>
      <c r="F58" s="149">
        <v>0.20053240740526235</v>
      </c>
      <c r="G58" s="150" t="s">
        <v>336</v>
      </c>
      <c r="H58" s="151">
        <v>13850</v>
      </c>
      <c r="I58" s="151">
        <v>32880</v>
      </c>
      <c r="J58" s="151">
        <v>19030</v>
      </c>
    </row>
    <row r="59" spans="1:10" x14ac:dyDescent="0.3">
      <c r="A59" s="147">
        <v>55</v>
      </c>
      <c r="B59" s="147">
        <v>193</v>
      </c>
      <c r="C59" s="148">
        <v>46135</v>
      </c>
      <c r="D59" s="149">
        <v>0.21094907407677965</v>
      </c>
      <c r="E59" s="148">
        <v>46135</v>
      </c>
      <c r="F59" s="149">
        <v>0.21738425926014315</v>
      </c>
      <c r="G59" s="150" t="s">
        <v>43</v>
      </c>
      <c r="H59" s="151">
        <v>14010</v>
      </c>
      <c r="I59" s="151">
        <v>33340</v>
      </c>
      <c r="J59" s="151">
        <v>19330</v>
      </c>
    </row>
    <row r="60" spans="1:10" x14ac:dyDescent="0.3">
      <c r="A60" s="147">
        <v>56</v>
      </c>
      <c r="B60" s="147">
        <v>195</v>
      </c>
      <c r="C60" s="148">
        <v>46135</v>
      </c>
      <c r="D60" s="149">
        <v>0.27254629629896954</v>
      </c>
      <c r="E60" s="148">
        <v>46135</v>
      </c>
      <c r="F60" s="149">
        <v>0.27935185185197042</v>
      </c>
      <c r="G60" s="150" t="s">
        <v>337</v>
      </c>
      <c r="H60" s="151">
        <v>13970</v>
      </c>
      <c r="I60" s="151">
        <v>31900</v>
      </c>
      <c r="J60" s="151">
        <v>17930</v>
      </c>
    </row>
    <row r="61" spans="1:10" x14ac:dyDescent="0.3">
      <c r="A61" s="147">
        <v>57</v>
      </c>
      <c r="B61" s="147">
        <v>199</v>
      </c>
      <c r="C61" s="148">
        <v>46135</v>
      </c>
      <c r="D61" s="149">
        <v>0.30055555555736646</v>
      </c>
      <c r="E61" s="148">
        <v>46135</v>
      </c>
      <c r="F61" s="149">
        <v>0.30965277777431766</v>
      </c>
      <c r="G61" s="150" t="s">
        <v>335</v>
      </c>
      <c r="H61" s="151">
        <v>13860</v>
      </c>
      <c r="I61" s="151">
        <v>32030</v>
      </c>
      <c r="J61" s="151">
        <v>18170</v>
      </c>
    </row>
    <row r="62" spans="1:10" x14ac:dyDescent="0.3">
      <c r="A62" s="147">
        <v>58</v>
      </c>
      <c r="B62" s="147">
        <v>200</v>
      </c>
      <c r="C62" s="148">
        <v>46135</v>
      </c>
      <c r="D62" s="149">
        <v>0.31884259259095415</v>
      </c>
      <c r="E62" s="148">
        <v>46135</v>
      </c>
      <c r="F62" s="149">
        <v>0.32452546296553919</v>
      </c>
      <c r="G62" s="150" t="s">
        <v>336</v>
      </c>
      <c r="H62" s="151">
        <v>13770</v>
      </c>
      <c r="I62" s="151">
        <v>32950</v>
      </c>
      <c r="J62" s="151">
        <v>19180</v>
      </c>
    </row>
    <row r="63" spans="1:10" x14ac:dyDescent="0.3">
      <c r="A63" s="147">
        <v>59</v>
      </c>
      <c r="B63" s="147">
        <v>203</v>
      </c>
      <c r="C63" s="148">
        <v>46135</v>
      </c>
      <c r="D63" s="149">
        <v>0.33788194444787223</v>
      </c>
      <c r="E63" s="148">
        <v>46135</v>
      </c>
      <c r="F63" s="149">
        <v>0.34565972222480923</v>
      </c>
      <c r="G63" s="150" t="s">
        <v>43</v>
      </c>
      <c r="H63" s="151">
        <v>13980</v>
      </c>
      <c r="I63" s="151">
        <v>32740</v>
      </c>
      <c r="J63" s="151">
        <v>18760</v>
      </c>
    </row>
    <row r="64" spans="1:10" x14ac:dyDescent="0.3">
      <c r="A64" s="147">
        <v>60</v>
      </c>
      <c r="B64" s="147">
        <v>205</v>
      </c>
      <c r="C64" s="148">
        <v>46135</v>
      </c>
      <c r="D64" s="149">
        <v>0.40136574074131204</v>
      </c>
      <c r="E64" s="148">
        <v>46135</v>
      </c>
      <c r="F64" s="149">
        <v>0.40641203703853535</v>
      </c>
      <c r="G64" s="150" t="s">
        <v>337</v>
      </c>
      <c r="H64" s="151">
        <v>13910</v>
      </c>
      <c r="I64" s="151">
        <v>34000</v>
      </c>
      <c r="J64" s="151">
        <v>20090</v>
      </c>
    </row>
    <row r="65" spans="1:10" x14ac:dyDescent="0.3">
      <c r="A65" s="147">
        <v>61</v>
      </c>
      <c r="B65" s="147">
        <v>209</v>
      </c>
      <c r="C65" s="148">
        <v>46135</v>
      </c>
      <c r="D65" s="149">
        <v>0.43353009259590181</v>
      </c>
      <c r="E65" s="148">
        <v>46135</v>
      </c>
      <c r="F65" s="149">
        <v>0.43971064814832062</v>
      </c>
      <c r="G65" s="150" t="s">
        <v>335</v>
      </c>
      <c r="H65" s="151">
        <v>13910</v>
      </c>
      <c r="I65" s="151">
        <v>32860</v>
      </c>
      <c r="J65" s="151">
        <v>18950</v>
      </c>
    </row>
    <row r="66" spans="1:10" x14ac:dyDescent="0.3">
      <c r="A66" s="147">
        <v>62</v>
      </c>
      <c r="B66" s="147">
        <v>211</v>
      </c>
      <c r="C66" s="148">
        <v>46135</v>
      </c>
      <c r="D66" s="149">
        <v>0.44511574073840166</v>
      </c>
      <c r="E66" s="148">
        <v>46135</v>
      </c>
      <c r="F66" s="149">
        <v>0.46770833332993789</v>
      </c>
      <c r="G66" s="150" t="s">
        <v>336</v>
      </c>
      <c r="H66" s="151">
        <v>13790</v>
      </c>
      <c r="I66" s="151">
        <v>31780</v>
      </c>
      <c r="J66" s="151">
        <v>17990</v>
      </c>
    </row>
    <row r="67" spans="1:10" x14ac:dyDescent="0.3">
      <c r="A67" s="147">
        <v>63</v>
      </c>
      <c r="B67" s="147">
        <v>213</v>
      </c>
      <c r="C67" s="148">
        <v>46135</v>
      </c>
      <c r="D67" s="149">
        <v>0.46504629629635019</v>
      </c>
      <c r="E67" s="148">
        <v>46135</v>
      </c>
      <c r="F67" s="149">
        <v>0.47717592592380242</v>
      </c>
      <c r="G67" s="150" t="s">
        <v>43</v>
      </c>
      <c r="H67" s="151">
        <v>13950</v>
      </c>
      <c r="I67" s="151">
        <v>33860</v>
      </c>
      <c r="J67" s="151">
        <v>19910</v>
      </c>
    </row>
    <row r="68" spans="1:10" x14ac:dyDescent="0.3">
      <c r="A68" s="147">
        <v>64</v>
      </c>
      <c r="B68" s="147">
        <v>215</v>
      </c>
      <c r="C68" s="148">
        <v>46135</v>
      </c>
      <c r="D68" s="149">
        <v>0.52648148148000473</v>
      </c>
      <c r="E68" s="148">
        <v>46135</v>
      </c>
      <c r="F68" s="149">
        <v>0.53148148148466134</v>
      </c>
      <c r="G68" s="150" t="s">
        <v>337</v>
      </c>
      <c r="H68" s="151">
        <v>13890</v>
      </c>
      <c r="I68" s="151">
        <v>33220</v>
      </c>
      <c r="J68" s="151">
        <v>19330</v>
      </c>
    </row>
    <row r="69" spans="1:10" x14ac:dyDescent="0.3">
      <c r="A69" s="147">
        <v>65</v>
      </c>
      <c r="B69" s="147">
        <v>219</v>
      </c>
      <c r="C69" s="148">
        <v>46135</v>
      </c>
      <c r="D69" s="149">
        <v>0.55478009259240935</v>
      </c>
      <c r="E69" s="148">
        <v>46135</v>
      </c>
      <c r="F69" s="149">
        <v>0.55921296296583023</v>
      </c>
      <c r="G69" s="150" t="s">
        <v>335</v>
      </c>
      <c r="H69" s="151">
        <v>13890</v>
      </c>
      <c r="I69" s="151">
        <v>33120</v>
      </c>
      <c r="J69" s="151">
        <v>19230</v>
      </c>
    </row>
    <row r="70" spans="1:10" x14ac:dyDescent="0.3">
      <c r="A70" s="147">
        <v>66</v>
      </c>
      <c r="B70" s="147">
        <v>221</v>
      </c>
      <c r="C70" s="148">
        <v>46135</v>
      </c>
      <c r="D70" s="149">
        <v>0.58126157407241408</v>
      </c>
      <c r="E70" s="148">
        <v>46135</v>
      </c>
      <c r="F70" s="149">
        <v>0.58940972221898846</v>
      </c>
      <c r="G70" s="150" t="s">
        <v>336</v>
      </c>
      <c r="H70" s="151">
        <v>13800</v>
      </c>
      <c r="I70" s="151">
        <v>32260</v>
      </c>
      <c r="J70" s="151">
        <v>18460</v>
      </c>
    </row>
    <row r="71" spans="1:10" x14ac:dyDescent="0.3">
      <c r="A71" s="147">
        <v>67</v>
      </c>
      <c r="B71" s="147">
        <v>223</v>
      </c>
      <c r="C71" s="148">
        <v>46135</v>
      </c>
      <c r="D71" s="149">
        <v>0.61883101851708489</v>
      </c>
      <c r="E71" s="148">
        <v>46135</v>
      </c>
      <c r="F71" s="149">
        <v>0.62304398148262408</v>
      </c>
      <c r="G71" s="150" t="s">
        <v>43</v>
      </c>
      <c r="H71" s="151">
        <v>13940</v>
      </c>
      <c r="I71" s="151">
        <v>33270</v>
      </c>
      <c r="J71" s="151">
        <v>19330</v>
      </c>
    </row>
    <row r="72" spans="1:10" x14ac:dyDescent="0.3">
      <c r="A72" s="147">
        <v>68</v>
      </c>
      <c r="B72" s="147">
        <v>225</v>
      </c>
      <c r="C72" s="148">
        <v>46135</v>
      </c>
      <c r="D72" s="149">
        <v>0.65612268518452765</v>
      </c>
      <c r="E72" s="148">
        <v>46135</v>
      </c>
      <c r="F72" s="149">
        <v>0.66130787037400296</v>
      </c>
      <c r="G72" s="150" t="s">
        <v>337</v>
      </c>
      <c r="H72" s="151">
        <v>13860</v>
      </c>
      <c r="I72" s="151">
        <v>34140</v>
      </c>
      <c r="J72" s="151">
        <v>20280</v>
      </c>
    </row>
    <row r="73" spans="1:10" x14ac:dyDescent="0.3">
      <c r="A73" s="147">
        <v>69</v>
      </c>
      <c r="B73" s="147">
        <v>229</v>
      </c>
      <c r="C73" s="148">
        <v>46135</v>
      </c>
      <c r="D73" s="149">
        <v>0.68059027777781012</v>
      </c>
      <c r="E73" s="148">
        <v>46135</v>
      </c>
      <c r="F73" s="149">
        <v>0.68556712962890742</v>
      </c>
      <c r="G73" s="150" t="s">
        <v>335</v>
      </c>
      <c r="H73" s="151">
        <v>13860</v>
      </c>
      <c r="I73" s="151">
        <v>32830</v>
      </c>
      <c r="J73" s="151">
        <v>18970</v>
      </c>
    </row>
    <row r="74" spans="1:10" x14ac:dyDescent="0.3">
      <c r="A74" s="147">
        <v>70</v>
      </c>
      <c r="B74" s="147">
        <v>232</v>
      </c>
      <c r="C74" s="148">
        <v>46135</v>
      </c>
      <c r="D74" s="149" t="s">
        <v>350</v>
      </c>
      <c r="E74" s="148">
        <v>46135</v>
      </c>
      <c r="F74" s="149" t="s">
        <v>351</v>
      </c>
      <c r="G74" s="150" t="s">
        <v>43</v>
      </c>
      <c r="H74" s="151">
        <v>13900</v>
      </c>
      <c r="I74" s="151">
        <v>33510</v>
      </c>
      <c r="J74" s="151">
        <v>19610</v>
      </c>
    </row>
    <row r="75" spans="1:10" x14ac:dyDescent="0.3">
      <c r="A75" s="147">
        <v>71</v>
      </c>
      <c r="B75" s="147">
        <v>233</v>
      </c>
      <c r="C75" s="148">
        <v>46135</v>
      </c>
      <c r="D75" s="149" t="s">
        <v>352</v>
      </c>
      <c r="E75" s="148">
        <v>46135</v>
      </c>
      <c r="F75" s="149" t="s">
        <v>353</v>
      </c>
      <c r="G75" s="150" t="s">
        <v>337</v>
      </c>
      <c r="H75" s="151">
        <v>13820</v>
      </c>
      <c r="I75" s="151">
        <v>32600</v>
      </c>
      <c r="J75" s="151">
        <v>18780</v>
      </c>
    </row>
    <row r="76" spans="1:10" x14ac:dyDescent="0.3">
      <c r="A76" s="147">
        <v>72</v>
      </c>
      <c r="B76" s="147">
        <v>239</v>
      </c>
      <c r="C76" s="148">
        <v>46136</v>
      </c>
      <c r="D76" s="149" t="s">
        <v>354</v>
      </c>
      <c r="E76" s="148">
        <v>46136</v>
      </c>
      <c r="F76" s="149" t="s">
        <v>355</v>
      </c>
      <c r="G76" s="150" t="s">
        <v>337</v>
      </c>
      <c r="H76" s="151">
        <v>13800</v>
      </c>
      <c r="I76" s="151">
        <v>32160</v>
      </c>
      <c r="J76" s="151">
        <v>18360</v>
      </c>
    </row>
    <row r="77" spans="1:10" x14ac:dyDescent="0.3">
      <c r="A77" s="147">
        <v>73</v>
      </c>
      <c r="B77" s="147">
        <v>241</v>
      </c>
      <c r="C77" s="148">
        <v>46136</v>
      </c>
      <c r="D77" s="149" t="s">
        <v>356</v>
      </c>
      <c r="E77" s="148">
        <v>46136</v>
      </c>
      <c r="F77" s="149" t="s">
        <v>357</v>
      </c>
      <c r="G77" s="150" t="s">
        <v>43</v>
      </c>
      <c r="H77" s="151">
        <v>13880</v>
      </c>
      <c r="I77" s="151">
        <v>32720</v>
      </c>
      <c r="J77" s="151">
        <v>18840</v>
      </c>
    </row>
    <row r="78" spans="1:10" x14ac:dyDescent="0.3">
      <c r="A78" s="147">
        <v>74</v>
      </c>
      <c r="B78" s="147">
        <v>242</v>
      </c>
      <c r="C78" s="148">
        <v>46136</v>
      </c>
      <c r="D78" s="149" t="s">
        <v>358</v>
      </c>
      <c r="E78" s="148">
        <v>46136</v>
      </c>
      <c r="F78" s="149" t="s">
        <v>359</v>
      </c>
      <c r="G78" s="150" t="s">
        <v>335</v>
      </c>
      <c r="H78" s="151">
        <v>13850</v>
      </c>
      <c r="I78" s="151">
        <v>34240</v>
      </c>
      <c r="J78" s="151">
        <v>20390</v>
      </c>
    </row>
    <row r="79" spans="1:10" x14ac:dyDescent="0.3">
      <c r="A79" s="147">
        <v>75</v>
      </c>
      <c r="B79" s="147">
        <v>248</v>
      </c>
      <c r="C79" s="148">
        <v>46136</v>
      </c>
      <c r="D79" s="149" t="s">
        <v>360</v>
      </c>
      <c r="E79" s="148">
        <v>46136</v>
      </c>
      <c r="F79" s="149" t="s">
        <v>361</v>
      </c>
      <c r="G79" s="150" t="s">
        <v>336</v>
      </c>
      <c r="H79" s="151">
        <v>13730</v>
      </c>
      <c r="I79" s="151">
        <v>32710</v>
      </c>
      <c r="J79" s="151">
        <v>18980</v>
      </c>
    </row>
    <row r="80" spans="1:10" x14ac:dyDescent="0.3">
      <c r="A80" s="147">
        <v>76</v>
      </c>
      <c r="B80" s="147">
        <v>249</v>
      </c>
      <c r="C80" s="148">
        <v>46136</v>
      </c>
      <c r="D80" s="149" t="s">
        <v>362</v>
      </c>
      <c r="E80" s="148">
        <v>46136</v>
      </c>
      <c r="F80" s="149" t="s">
        <v>363</v>
      </c>
      <c r="G80" s="150" t="s">
        <v>337</v>
      </c>
      <c r="H80" s="151">
        <v>13800</v>
      </c>
      <c r="I80" s="151">
        <v>32180</v>
      </c>
      <c r="J80" s="151">
        <v>18380</v>
      </c>
    </row>
    <row r="81" spans="1:10" x14ac:dyDescent="0.3">
      <c r="A81" s="147">
        <v>77</v>
      </c>
      <c r="B81" s="147">
        <v>250</v>
      </c>
      <c r="C81" s="148">
        <v>46136</v>
      </c>
      <c r="D81" s="149" t="s">
        <v>364</v>
      </c>
      <c r="E81" s="148">
        <v>46136</v>
      </c>
      <c r="F81" s="149" t="s">
        <v>365</v>
      </c>
      <c r="G81" s="150" t="s">
        <v>43</v>
      </c>
      <c r="H81" s="151">
        <v>13910</v>
      </c>
      <c r="I81" s="151">
        <v>32690</v>
      </c>
      <c r="J81" s="151">
        <v>18780</v>
      </c>
    </row>
    <row r="82" spans="1:10" x14ac:dyDescent="0.3">
      <c r="A82" s="147">
        <v>78</v>
      </c>
      <c r="B82" s="147">
        <v>252</v>
      </c>
      <c r="C82" s="148">
        <v>46136</v>
      </c>
      <c r="D82" s="149" t="s">
        <v>366</v>
      </c>
      <c r="E82" s="148">
        <v>46136</v>
      </c>
      <c r="F82" s="149" t="s">
        <v>367</v>
      </c>
      <c r="G82" s="150" t="s">
        <v>335</v>
      </c>
      <c r="H82" s="151">
        <v>13880</v>
      </c>
      <c r="I82" s="151">
        <v>33820</v>
      </c>
      <c r="J82" s="151">
        <v>19940</v>
      </c>
    </row>
    <row r="83" spans="1:10" x14ac:dyDescent="0.3">
      <c r="A83" s="147">
        <v>79</v>
      </c>
      <c r="B83" s="147">
        <v>258</v>
      </c>
      <c r="C83" s="148">
        <v>46136</v>
      </c>
      <c r="D83" s="149" t="s">
        <v>368</v>
      </c>
      <c r="E83" s="148">
        <v>46136</v>
      </c>
      <c r="F83" s="149" t="s">
        <v>369</v>
      </c>
      <c r="G83" s="150" t="s">
        <v>337</v>
      </c>
      <c r="H83" s="151">
        <v>13770</v>
      </c>
      <c r="I83" s="151">
        <v>33300</v>
      </c>
      <c r="J83" s="151">
        <v>19530</v>
      </c>
    </row>
    <row r="84" spans="1:10" x14ac:dyDescent="0.3">
      <c r="A84" s="147">
        <v>80</v>
      </c>
      <c r="B84" s="147">
        <v>259</v>
      </c>
      <c r="C84" s="148">
        <v>46136</v>
      </c>
      <c r="D84" s="149" t="s">
        <v>370</v>
      </c>
      <c r="E84" s="148">
        <v>46136</v>
      </c>
      <c r="F84" s="149" t="s">
        <v>371</v>
      </c>
      <c r="G84" s="150" t="s">
        <v>336</v>
      </c>
      <c r="H84" s="151">
        <v>14020</v>
      </c>
      <c r="I84" s="151">
        <v>34280</v>
      </c>
      <c r="J84" s="151">
        <v>20260</v>
      </c>
    </row>
    <row r="85" spans="1:10" x14ac:dyDescent="0.3">
      <c r="A85" s="147">
        <v>81</v>
      </c>
      <c r="B85" s="147">
        <v>260</v>
      </c>
      <c r="C85" s="148">
        <v>46136</v>
      </c>
      <c r="D85" s="149" t="s">
        <v>372</v>
      </c>
      <c r="E85" s="148">
        <v>46136</v>
      </c>
      <c r="F85" s="149" t="s">
        <v>373</v>
      </c>
      <c r="G85" s="150" t="s">
        <v>43</v>
      </c>
      <c r="H85" s="151">
        <v>14170</v>
      </c>
      <c r="I85" s="151">
        <v>34950</v>
      </c>
      <c r="J85" s="151">
        <v>20780</v>
      </c>
    </row>
    <row r="86" spans="1:10" x14ac:dyDescent="0.3">
      <c r="A86" s="147">
        <v>82</v>
      </c>
      <c r="B86" s="147">
        <v>263</v>
      </c>
      <c r="C86" s="148">
        <v>46136</v>
      </c>
      <c r="D86" s="149" t="s">
        <v>374</v>
      </c>
      <c r="E86" s="148">
        <v>46136</v>
      </c>
      <c r="F86" s="149" t="s">
        <v>375</v>
      </c>
      <c r="G86" s="150" t="s">
        <v>335</v>
      </c>
      <c r="H86" s="151">
        <v>13800</v>
      </c>
      <c r="I86" s="151">
        <v>34530</v>
      </c>
      <c r="J86" s="151">
        <v>20730</v>
      </c>
    </row>
    <row r="87" spans="1:10" x14ac:dyDescent="0.3">
      <c r="A87" s="147">
        <v>83</v>
      </c>
      <c r="B87" s="147">
        <v>267</v>
      </c>
      <c r="C87" s="148">
        <v>46136</v>
      </c>
      <c r="D87" s="149" t="s">
        <v>376</v>
      </c>
      <c r="E87" s="148">
        <v>46136</v>
      </c>
      <c r="F87" s="149" t="s">
        <v>377</v>
      </c>
      <c r="G87" s="150" t="s">
        <v>337</v>
      </c>
      <c r="H87" s="151">
        <v>14090</v>
      </c>
      <c r="I87" s="151">
        <v>34630</v>
      </c>
      <c r="J87" s="151">
        <v>20540</v>
      </c>
    </row>
    <row r="88" spans="1:10" x14ac:dyDescent="0.3">
      <c r="A88" s="147">
        <v>84</v>
      </c>
      <c r="B88" s="147">
        <v>269</v>
      </c>
      <c r="C88" s="148">
        <v>46136</v>
      </c>
      <c r="D88" s="149" t="s">
        <v>378</v>
      </c>
      <c r="E88" s="148">
        <v>46136</v>
      </c>
      <c r="F88" s="149" t="s">
        <v>379</v>
      </c>
      <c r="G88" s="150" t="s">
        <v>336</v>
      </c>
      <c r="H88" s="151">
        <v>13980</v>
      </c>
      <c r="I88" s="151">
        <v>33820</v>
      </c>
      <c r="J88" s="151">
        <v>19840</v>
      </c>
    </row>
    <row r="89" spans="1:10" x14ac:dyDescent="0.3">
      <c r="A89" s="147">
        <v>85</v>
      </c>
      <c r="B89" s="147">
        <v>270</v>
      </c>
      <c r="C89" s="148">
        <v>46136</v>
      </c>
      <c r="D89" s="149" t="s">
        <v>380</v>
      </c>
      <c r="E89" s="148">
        <v>46136</v>
      </c>
      <c r="F89" s="149" t="s">
        <v>381</v>
      </c>
      <c r="G89" s="150" t="s">
        <v>43</v>
      </c>
      <c r="H89" s="151">
        <v>14100</v>
      </c>
      <c r="I89" s="151">
        <v>33900</v>
      </c>
      <c r="J89" s="151">
        <v>19800</v>
      </c>
    </row>
    <row r="90" spans="1:10" x14ac:dyDescent="0.3">
      <c r="A90" s="147">
        <v>86</v>
      </c>
      <c r="B90" s="147">
        <v>273</v>
      </c>
      <c r="C90" s="148">
        <v>46136</v>
      </c>
      <c r="D90" s="149" t="s">
        <v>382</v>
      </c>
      <c r="E90" s="148">
        <v>46136</v>
      </c>
      <c r="F90" s="149" t="s">
        <v>383</v>
      </c>
      <c r="G90" s="150" t="s">
        <v>335</v>
      </c>
      <c r="H90" s="151">
        <v>13740</v>
      </c>
      <c r="I90" s="151">
        <v>34620</v>
      </c>
      <c r="J90" s="151">
        <v>20880</v>
      </c>
    </row>
    <row r="91" spans="1:10" x14ac:dyDescent="0.3">
      <c r="A91" s="147">
        <v>87</v>
      </c>
      <c r="B91" s="147">
        <v>277</v>
      </c>
      <c r="C91" s="148">
        <v>46136</v>
      </c>
      <c r="D91" s="149" t="s">
        <v>384</v>
      </c>
      <c r="E91" s="148">
        <v>46136</v>
      </c>
      <c r="F91" s="149" t="s">
        <v>385</v>
      </c>
      <c r="G91" s="150" t="s">
        <v>337</v>
      </c>
      <c r="H91" s="151">
        <v>14050</v>
      </c>
      <c r="I91" s="151">
        <v>33720</v>
      </c>
      <c r="J91" s="151">
        <v>19670</v>
      </c>
    </row>
    <row r="92" spans="1:10" x14ac:dyDescent="0.3">
      <c r="A92" s="147">
        <v>88</v>
      </c>
      <c r="B92" s="147">
        <v>279</v>
      </c>
      <c r="C92" s="148">
        <v>46136</v>
      </c>
      <c r="D92" s="149" t="s">
        <v>386</v>
      </c>
      <c r="E92" s="148">
        <v>46136</v>
      </c>
      <c r="F92" s="149" t="s">
        <v>387</v>
      </c>
      <c r="G92" s="150" t="s">
        <v>336</v>
      </c>
      <c r="H92" s="151">
        <v>13950</v>
      </c>
      <c r="I92" s="151">
        <v>33560</v>
      </c>
      <c r="J92" s="151">
        <v>19610</v>
      </c>
    </row>
    <row r="93" spans="1:10" x14ac:dyDescent="0.3">
      <c r="A93" s="147">
        <v>89</v>
      </c>
      <c r="B93" s="147">
        <v>280</v>
      </c>
      <c r="C93" s="148">
        <v>46136</v>
      </c>
      <c r="D93" s="149" t="s">
        <v>388</v>
      </c>
      <c r="E93" s="148">
        <v>46136</v>
      </c>
      <c r="F93" s="149" t="s">
        <v>389</v>
      </c>
      <c r="G93" s="150" t="s">
        <v>43</v>
      </c>
      <c r="H93" s="151">
        <v>14120</v>
      </c>
      <c r="I93" s="151">
        <v>33090</v>
      </c>
      <c r="J93" s="151">
        <v>18970</v>
      </c>
    </row>
    <row r="94" spans="1:10" x14ac:dyDescent="0.3">
      <c r="A94" s="147">
        <v>90</v>
      </c>
      <c r="B94" s="147">
        <v>283</v>
      </c>
      <c r="C94" s="148">
        <v>46136</v>
      </c>
      <c r="D94" s="149" t="s">
        <v>390</v>
      </c>
      <c r="E94" s="148">
        <v>46136</v>
      </c>
      <c r="F94" s="149" t="s">
        <v>391</v>
      </c>
      <c r="G94" s="150" t="s">
        <v>335</v>
      </c>
      <c r="H94" s="151">
        <v>14060</v>
      </c>
      <c r="I94" s="151">
        <v>33220</v>
      </c>
      <c r="J94" s="151">
        <v>19160</v>
      </c>
    </row>
    <row r="95" spans="1:10" x14ac:dyDescent="0.3">
      <c r="A95" s="147">
        <v>91</v>
      </c>
      <c r="B95" s="147">
        <v>284</v>
      </c>
      <c r="C95" s="148">
        <v>46136</v>
      </c>
      <c r="D95" s="149" t="s">
        <v>392</v>
      </c>
      <c r="E95" s="148">
        <v>46136</v>
      </c>
      <c r="F95" s="149" t="s">
        <v>393</v>
      </c>
      <c r="G95" s="150" t="s">
        <v>337</v>
      </c>
      <c r="H95" s="151">
        <v>14010</v>
      </c>
      <c r="I95" s="151">
        <v>32910</v>
      </c>
      <c r="J95" s="151">
        <v>18900</v>
      </c>
    </row>
    <row r="96" spans="1:10" x14ac:dyDescent="0.3">
      <c r="A96" s="147">
        <v>92</v>
      </c>
      <c r="B96" s="147">
        <v>287</v>
      </c>
      <c r="C96" s="148">
        <v>46137</v>
      </c>
      <c r="D96" s="149" t="s">
        <v>394</v>
      </c>
      <c r="E96" s="148">
        <v>46137</v>
      </c>
      <c r="F96" s="149" t="s">
        <v>395</v>
      </c>
      <c r="G96" s="150" t="s">
        <v>337</v>
      </c>
      <c r="H96" s="151">
        <v>13930</v>
      </c>
      <c r="I96" s="151">
        <v>32980</v>
      </c>
      <c r="J96" s="151">
        <v>19050</v>
      </c>
    </row>
    <row r="97" spans="1:10" x14ac:dyDescent="0.3">
      <c r="A97" s="147">
        <v>93</v>
      </c>
      <c r="B97" s="147">
        <v>291</v>
      </c>
      <c r="C97" s="148">
        <v>46137</v>
      </c>
      <c r="D97" s="149" t="s">
        <v>396</v>
      </c>
      <c r="E97" s="148">
        <v>46137</v>
      </c>
      <c r="F97" s="149" t="s">
        <v>397</v>
      </c>
      <c r="G97" s="150" t="s">
        <v>335</v>
      </c>
      <c r="H97" s="151">
        <v>14010</v>
      </c>
      <c r="I97" s="151">
        <v>32770</v>
      </c>
      <c r="J97" s="151">
        <v>18760</v>
      </c>
    </row>
    <row r="98" spans="1:10" x14ac:dyDescent="0.3">
      <c r="A98" s="147">
        <v>94</v>
      </c>
      <c r="B98" s="147">
        <v>293</v>
      </c>
      <c r="C98" s="148">
        <v>46137</v>
      </c>
      <c r="D98" s="149" t="s">
        <v>398</v>
      </c>
      <c r="E98" s="148">
        <v>46137</v>
      </c>
      <c r="F98" s="149" t="s">
        <v>399</v>
      </c>
      <c r="G98" s="150" t="s">
        <v>336</v>
      </c>
      <c r="H98" s="151">
        <v>13930</v>
      </c>
      <c r="I98" s="151">
        <v>32960</v>
      </c>
      <c r="J98" s="151">
        <v>19030</v>
      </c>
    </row>
    <row r="99" spans="1:10" x14ac:dyDescent="0.3">
      <c r="A99" s="147">
        <v>95</v>
      </c>
      <c r="B99" s="147">
        <v>294</v>
      </c>
      <c r="C99" s="148">
        <v>46137</v>
      </c>
      <c r="D99" s="149" t="s">
        <v>400</v>
      </c>
      <c r="E99" s="148">
        <v>46137</v>
      </c>
      <c r="F99" s="149" t="s">
        <v>401</v>
      </c>
      <c r="G99" s="150" t="s">
        <v>43</v>
      </c>
      <c r="H99" s="151">
        <v>14030</v>
      </c>
      <c r="I99" s="151">
        <v>33420</v>
      </c>
      <c r="J99" s="151">
        <v>19390</v>
      </c>
    </row>
    <row r="100" spans="1:10" x14ac:dyDescent="0.3">
      <c r="A100" s="147">
        <v>96</v>
      </c>
      <c r="B100" s="147">
        <v>297</v>
      </c>
      <c r="C100" s="148">
        <v>46137</v>
      </c>
      <c r="D100" s="149" t="s">
        <v>402</v>
      </c>
      <c r="E100" s="148">
        <v>46137</v>
      </c>
      <c r="F100" s="149" t="s">
        <v>403</v>
      </c>
      <c r="G100" s="150" t="s">
        <v>337</v>
      </c>
      <c r="H100" s="151">
        <v>13910</v>
      </c>
      <c r="I100" s="151">
        <v>33130</v>
      </c>
      <c r="J100" s="151">
        <v>19220</v>
      </c>
    </row>
    <row r="101" spans="1:10" x14ac:dyDescent="0.3">
      <c r="A101" s="147">
        <v>97</v>
      </c>
      <c r="B101" s="147">
        <v>301</v>
      </c>
      <c r="C101" s="148">
        <v>46137</v>
      </c>
      <c r="D101" s="149" t="s">
        <v>404</v>
      </c>
      <c r="E101" s="148">
        <v>46137</v>
      </c>
      <c r="F101" s="149" t="s">
        <v>405</v>
      </c>
      <c r="G101" s="150" t="s">
        <v>335</v>
      </c>
      <c r="H101" s="151">
        <v>14000</v>
      </c>
      <c r="I101" s="151">
        <v>32740</v>
      </c>
      <c r="J101" s="151">
        <v>18740</v>
      </c>
    </row>
    <row r="102" spans="1:10" x14ac:dyDescent="0.3">
      <c r="A102" s="147">
        <v>98</v>
      </c>
      <c r="B102" s="147">
        <v>303</v>
      </c>
      <c r="C102" s="148">
        <v>46137</v>
      </c>
      <c r="D102" s="149" t="s">
        <v>406</v>
      </c>
      <c r="E102" s="148">
        <v>46137</v>
      </c>
      <c r="F102" s="149" t="s">
        <v>407</v>
      </c>
      <c r="G102" s="150" t="s">
        <v>336</v>
      </c>
      <c r="H102" s="151">
        <v>13920</v>
      </c>
      <c r="I102" s="151">
        <v>32570</v>
      </c>
      <c r="J102" s="151">
        <v>18650</v>
      </c>
    </row>
    <row r="103" spans="1:10" x14ac:dyDescent="0.3">
      <c r="A103" s="147">
        <v>99</v>
      </c>
      <c r="B103" s="147">
        <v>304</v>
      </c>
      <c r="C103" s="148">
        <v>46137</v>
      </c>
      <c r="D103" s="149" t="s">
        <v>408</v>
      </c>
      <c r="E103" s="148">
        <v>46137</v>
      </c>
      <c r="F103" s="149" t="s">
        <v>409</v>
      </c>
      <c r="G103" s="150" t="s">
        <v>43</v>
      </c>
      <c r="H103" s="151">
        <v>13980</v>
      </c>
      <c r="I103" s="151">
        <v>31960</v>
      </c>
      <c r="J103" s="151">
        <v>17980</v>
      </c>
    </row>
    <row r="104" spans="1:10" x14ac:dyDescent="0.3">
      <c r="A104" s="147">
        <v>100</v>
      </c>
      <c r="B104" s="147">
        <v>307</v>
      </c>
      <c r="C104" s="148">
        <v>46137</v>
      </c>
      <c r="D104" s="149" t="s">
        <v>410</v>
      </c>
      <c r="E104" s="148">
        <v>46137</v>
      </c>
      <c r="F104" s="149" t="s">
        <v>411</v>
      </c>
      <c r="G104" s="150" t="s">
        <v>337</v>
      </c>
      <c r="H104" s="151">
        <v>13860</v>
      </c>
      <c r="I104" s="151">
        <v>32100</v>
      </c>
      <c r="J104" s="151">
        <v>18240</v>
      </c>
    </row>
    <row r="105" spans="1:10" x14ac:dyDescent="0.3">
      <c r="A105" s="147">
        <v>101</v>
      </c>
      <c r="B105" s="147">
        <v>311</v>
      </c>
      <c r="C105" s="148">
        <v>46137</v>
      </c>
      <c r="D105" s="149" t="s">
        <v>412</v>
      </c>
      <c r="E105" s="148">
        <v>46137</v>
      </c>
      <c r="F105" s="149" t="s">
        <v>413</v>
      </c>
      <c r="G105" s="150" t="s">
        <v>335</v>
      </c>
      <c r="H105" s="151">
        <v>13980</v>
      </c>
      <c r="I105" s="151">
        <v>32790</v>
      </c>
      <c r="J105" s="151">
        <v>18810</v>
      </c>
    </row>
    <row r="106" spans="1:10" x14ac:dyDescent="0.3">
      <c r="A106" s="147">
        <v>102</v>
      </c>
      <c r="B106" s="147">
        <v>313</v>
      </c>
      <c r="C106" s="148">
        <v>46137</v>
      </c>
      <c r="D106" s="149" t="s">
        <v>414</v>
      </c>
      <c r="E106" s="148">
        <v>46137</v>
      </c>
      <c r="F106" s="149" t="s">
        <v>415</v>
      </c>
      <c r="G106" s="150" t="s">
        <v>43</v>
      </c>
      <c r="H106" s="151">
        <v>13970</v>
      </c>
      <c r="I106" s="151">
        <v>33530</v>
      </c>
      <c r="J106" s="151">
        <v>19560</v>
      </c>
    </row>
    <row r="107" spans="1:10" x14ac:dyDescent="0.3">
      <c r="A107" s="147">
        <v>103</v>
      </c>
      <c r="B107" s="147">
        <v>314</v>
      </c>
      <c r="C107" s="148">
        <v>46137</v>
      </c>
      <c r="D107" s="149" t="s">
        <v>416</v>
      </c>
      <c r="E107" s="148">
        <v>46137</v>
      </c>
      <c r="F107" s="149" t="s">
        <v>417</v>
      </c>
      <c r="G107" s="150" t="s">
        <v>336</v>
      </c>
      <c r="H107" s="151">
        <v>13880</v>
      </c>
      <c r="I107" s="151">
        <v>32720</v>
      </c>
      <c r="J107" s="151">
        <v>18840</v>
      </c>
    </row>
    <row r="108" spans="1:10" x14ac:dyDescent="0.3">
      <c r="A108" s="147">
        <v>104</v>
      </c>
      <c r="B108" s="147">
        <v>317</v>
      </c>
      <c r="C108" s="148">
        <v>46137</v>
      </c>
      <c r="D108" s="149" t="s">
        <v>418</v>
      </c>
      <c r="E108" s="148">
        <v>46137</v>
      </c>
      <c r="F108" s="149" t="s">
        <v>419</v>
      </c>
      <c r="G108" s="150" t="s">
        <v>337</v>
      </c>
      <c r="H108" s="151">
        <v>13850</v>
      </c>
      <c r="I108" s="151">
        <v>33720</v>
      </c>
      <c r="J108" s="151">
        <v>19870</v>
      </c>
    </row>
    <row r="109" spans="1:10" x14ac:dyDescent="0.3">
      <c r="A109" s="147">
        <v>105</v>
      </c>
      <c r="B109" s="147">
        <v>321</v>
      </c>
      <c r="C109" s="148">
        <v>46137</v>
      </c>
      <c r="D109" s="149" t="s">
        <v>420</v>
      </c>
      <c r="E109" s="148">
        <v>46137</v>
      </c>
      <c r="F109" s="149" t="s">
        <v>421</v>
      </c>
      <c r="G109" s="150" t="s">
        <v>335</v>
      </c>
      <c r="H109" s="151">
        <v>13950</v>
      </c>
      <c r="I109" s="151">
        <v>32850</v>
      </c>
      <c r="J109" s="151">
        <v>18900</v>
      </c>
    </row>
    <row r="110" spans="1:10" x14ac:dyDescent="0.3">
      <c r="A110" s="147">
        <v>106</v>
      </c>
      <c r="B110" s="147">
        <v>323</v>
      </c>
      <c r="C110" s="148">
        <v>46137</v>
      </c>
      <c r="D110" s="149" t="s">
        <v>422</v>
      </c>
      <c r="E110" s="148">
        <v>46137</v>
      </c>
      <c r="F110" s="149" t="s">
        <v>423</v>
      </c>
      <c r="G110" s="150" t="s">
        <v>43</v>
      </c>
      <c r="H110" s="151">
        <v>13910</v>
      </c>
      <c r="I110" s="151">
        <v>33200</v>
      </c>
      <c r="J110" s="151">
        <v>19290</v>
      </c>
    </row>
    <row r="111" spans="1:10" x14ac:dyDescent="0.3">
      <c r="A111" s="147">
        <v>107</v>
      </c>
      <c r="B111" s="147">
        <v>324</v>
      </c>
      <c r="C111" s="148">
        <v>46137</v>
      </c>
      <c r="D111" s="149" t="s">
        <v>424</v>
      </c>
      <c r="E111" s="148">
        <v>46137</v>
      </c>
      <c r="F111" s="149" t="s">
        <v>425</v>
      </c>
      <c r="G111" s="150" t="s">
        <v>336</v>
      </c>
      <c r="H111" s="151">
        <v>13850</v>
      </c>
      <c r="I111" s="151">
        <v>33490</v>
      </c>
      <c r="J111" s="151">
        <v>19640</v>
      </c>
    </row>
    <row r="112" spans="1:10" x14ac:dyDescent="0.3">
      <c r="A112" s="147">
        <v>108</v>
      </c>
      <c r="B112" s="147">
        <v>327</v>
      </c>
      <c r="C112" s="148">
        <v>46137</v>
      </c>
      <c r="D112" s="149" t="s">
        <v>426</v>
      </c>
      <c r="E112" s="148">
        <v>46137</v>
      </c>
      <c r="F112" s="149" t="s">
        <v>427</v>
      </c>
      <c r="G112" s="150" t="s">
        <v>337</v>
      </c>
      <c r="H112" s="151">
        <v>13890</v>
      </c>
      <c r="I112" s="151">
        <v>34030</v>
      </c>
      <c r="J112" s="151">
        <v>20140</v>
      </c>
    </row>
    <row r="113" spans="1:10" x14ac:dyDescent="0.3">
      <c r="A113" s="147">
        <v>109</v>
      </c>
      <c r="B113" s="147">
        <v>330</v>
      </c>
      <c r="C113" s="148">
        <v>46137</v>
      </c>
      <c r="D113" s="149" t="s">
        <v>428</v>
      </c>
      <c r="E113" s="148">
        <v>46137</v>
      </c>
      <c r="F113" s="149" t="s">
        <v>429</v>
      </c>
      <c r="G113" s="150" t="s">
        <v>335</v>
      </c>
      <c r="H113" s="151">
        <v>13920</v>
      </c>
      <c r="I113" s="151">
        <v>33310</v>
      </c>
      <c r="J113" s="151">
        <v>19390</v>
      </c>
    </row>
    <row r="114" spans="1:10" x14ac:dyDescent="0.3">
      <c r="A114" s="147">
        <v>110</v>
      </c>
      <c r="B114" s="147">
        <v>332</v>
      </c>
      <c r="C114" s="148">
        <v>46137</v>
      </c>
      <c r="D114" s="149" t="s">
        <v>430</v>
      </c>
      <c r="E114" s="148">
        <v>46137</v>
      </c>
      <c r="F114" s="149" t="s">
        <v>431</v>
      </c>
      <c r="G114" s="150" t="s">
        <v>43</v>
      </c>
      <c r="H114" s="151">
        <v>14090</v>
      </c>
      <c r="I114" s="151">
        <v>33180</v>
      </c>
      <c r="J114" s="151">
        <v>19090</v>
      </c>
    </row>
    <row r="115" spans="1:10" x14ac:dyDescent="0.3">
      <c r="A115" s="147">
        <v>111</v>
      </c>
      <c r="B115" s="147">
        <v>333</v>
      </c>
      <c r="C115" s="148">
        <v>46137</v>
      </c>
      <c r="D115" s="149" t="s">
        <v>432</v>
      </c>
      <c r="E115" s="148">
        <v>46137</v>
      </c>
      <c r="F115" s="149" t="s">
        <v>433</v>
      </c>
      <c r="G115" s="150" t="s">
        <v>336</v>
      </c>
      <c r="H115" s="151">
        <v>13820</v>
      </c>
      <c r="I115" s="151">
        <v>35300</v>
      </c>
      <c r="J115" s="151">
        <v>21480</v>
      </c>
    </row>
    <row r="116" spans="1:10" x14ac:dyDescent="0.3">
      <c r="A116" s="147">
        <v>112</v>
      </c>
      <c r="B116" s="147">
        <v>338</v>
      </c>
      <c r="C116" s="148">
        <v>46137</v>
      </c>
      <c r="D116" s="149" t="s">
        <v>434</v>
      </c>
      <c r="E116" s="148">
        <v>46137</v>
      </c>
      <c r="F116" s="149" t="s">
        <v>435</v>
      </c>
      <c r="G116" s="150" t="s">
        <v>337</v>
      </c>
      <c r="H116" s="151">
        <v>14060</v>
      </c>
      <c r="I116" s="151">
        <v>33620</v>
      </c>
      <c r="J116" s="151">
        <v>19560</v>
      </c>
    </row>
    <row r="117" spans="1:10" x14ac:dyDescent="0.3">
      <c r="A117" s="147">
        <v>113</v>
      </c>
      <c r="B117" s="147">
        <v>341</v>
      </c>
      <c r="C117" s="148">
        <v>46137</v>
      </c>
      <c r="D117" s="149" t="s">
        <v>436</v>
      </c>
      <c r="E117" s="148">
        <v>46137</v>
      </c>
      <c r="F117" s="149" t="s">
        <v>437</v>
      </c>
      <c r="G117" s="150" t="s">
        <v>335</v>
      </c>
      <c r="H117" s="151">
        <v>13890</v>
      </c>
      <c r="I117" s="151">
        <v>33190</v>
      </c>
      <c r="J117" s="151">
        <v>19300</v>
      </c>
    </row>
    <row r="118" spans="1:10" x14ac:dyDescent="0.3">
      <c r="A118" s="147">
        <v>114</v>
      </c>
      <c r="B118" s="147">
        <v>343</v>
      </c>
      <c r="C118" s="148">
        <v>46137</v>
      </c>
      <c r="D118" s="149" t="s">
        <v>438</v>
      </c>
      <c r="E118" s="148">
        <v>46137</v>
      </c>
      <c r="F118" s="149" t="s">
        <v>439</v>
      </c>
      <c r="G118" s="150" t="s">
        <v>43</v>
      </c>
      <c r="H118" s="151">
        <v>14060</v>
      </c>
      <c r="I118" s="151">
        <v>32640</v>
      </c>
      <c r="J118" s="151">
        <v>18580</v>
      </c>
    </row>
    <row r="119" spans="1:10" x14ac:dyDescent="0.3">
      <c r="A119" s="147">
        <v>115</v>
      </c>
      <c r="B119" s="147">
        <v>344</v>
      </c>
      <c r="C119" s="148">
        <v>46137</v>
      </c>
      <c r="D119" s="149" t="s">
        <v>440</v>
      </c>
      <c r="E119" s="148">
        <v>46137</v>
      </c>
      <c r="F119" s="149" t="s">
        <v>441</v>
      </c>
      <c r="G119" s="150" t="s">
        <v>336</v>
      </c>
      <c r="H119" s="151">
        <v>13790</v>
      </c>
      <c r="I119" s="151">
        <v>32150</v>
      </c>
      <c r="J119" s="151">
        <v>18360</v>
      </c>
    </row>
    <row r="120" spans="1:10" x14ac:dyDescent="0.3">
      <c r="A120" s="147">
        <v>116</v>
      </c>
      <c r="B120" s="147">
        <v>346</v>
      </c>
      <c r="C120" s="148">
        <v>46139</v>
      </c>
      <c r="D120" s="149" t="s">
        <v>442</v>
      </c>
      <c r="E120" s="148">
        <v>46139</v>
      </c>
      <c r="F120" s="149" t="s">
        <v>443</v>
      </c>
      <c r="G120" s="150" t="s">
        <v>335</v>
      </c>
      <c r="H120" s="151">
        <v>13890</v>
      </c>
      <c r="I120" s="151">
        <v>33310</v>
      </c>
      <c r="J120" s="151">
        <v>19420</v>
      </c>
    </row>
    <row r="121" spans="1:10" x14ac:dyDescent="0.3">
      <c r="A121" s="147">
        <v>117</v>
      </c>
      <c r="B121" s="147">
        <v>347</v>
      </c>
      <c r="C121" s="148">
        <v>46139</v>
      </c>
      <c r="D121" s="149" t="s">
        <v>444</v>
      </c>
      <c r="E121" s="148">
        <v>46139</v>
      </c>
      <c r="F121" s="149" t="s">
        <v>445</v>
      </c>
      <c r="G121" s="150" t="s">
        <v>43</v>
      </c>
      <c r="H121" s="151">
        <v>14050</v>
      </c>
      <c r="I121" s="151">
        <v>32860</v>
      </c>
      <c r="J121" s="151">
        <v>18810</v>
      </c>
    </row>
    <row r="122" spans="1:10" x14ac:dyDescent="0.3">
      <c r="A122" s="147">
        <v>118</v>
      </c>
      <c r="B122" s="147">
        <v>350</v>
      </c>
      <c r="C122" s="148">
        <v>46139</v>
      </c>
      <c r="D122" s="149" t="s">
        <v>446</v>
      </c>
      <c r="E122" s="148">
        <v>46139</v>
      </c>
      <c r="F122" s="149" t="s">
        <v>447</v>
      </c>
      <c r="G122" s="150" t="s">
        <v>336</v>
      </c>
      <c r="H122" s="151">
        <v>13700</v>
      </c>
      <c r="I122" s="151">
        <v>34100</v>
      </c>
      <c r="J122" s="151">
        <v>20400</v>
      </c>
    </row>
    <row r="123" spans="1:10" x14ac:dyDescent="0.3">
      <c r="A123" s="147">
        <v>119</v>
      </c>
      <c r="B123" s="147">
        <v>352</v>
      </c>
      <c r="C123" s="148">
        <v>46139</v>
      </c>
      <c r="D123" s="149" t="s">
        <v>448</v>
      </c>
      <c r="E123" s="148">
        <v>46139</v>
      </c>
      <c r="F123" s="149" t="s">
        <v>449</v>
      </c>
      <c r="G123" s="150" t="s">
        <v>337</v>
      </c>
      <c r="H123" s="151">
        <v>13980</v>
      </c>
      <c r="I123" s="151">
        <v>34450</v>
      </c>
      <c r="J123" s="151">
        <v>20470</v>
      </c>
    </row>
    <row r="124" spans="1:10" x14ac:dyDescent="0.3">
      <c r="A124" s="147">
        <v>120</v>
      </c>
      <c r="B124" s="147">
        <v>355</v>
      </c>
      <c r="C124" s="148">
        <v>46139</v>
      </c>
      <c r="D124" s="149" t="s">
        <v>450</v>
      </c>
      <c r="E124" s="148">
        <v>46139</v>
      </c>
      <c r="F124" s="149" t="s">
        <v>451</v>
      </c>
      <c r="G124" s="150" t="s">
        <v>43</v>
      </c>
      <c r="H124" s="151">
        <v>14010</v>
      </c>
      <c r="I124" s="151">
        <v>33260</v>
      </c>
      <c r="J124" s="151">
        <v>19250</v>
      </c>
    </row>
    <row r="125" spans="1:10" x14ac:dyDescent="0.3">
      <c r="A125" s="147">
        <v>121</v>
      </c>
      <c r="B125" s="147">
        <v>356</v>
      </c>
      <c r="C125" s="148">
        <v>46139</v>
      </c>
      <c r="D125" s="149" t="s">
        <v>452</v>
      </c>
      <c r="E125" s="148">
        <v>46139</v>
      </c>
      <c r="F125" s="149" t="s">
        <v>453</v>
      </c>
      <c r="G125" s="150" t="s">
        <v>335</v>
      </c>
      <c r="H125" s="151">
        <v>14100</v>
      </c>
      <c r="I125" s="151">
        <v>34150</v>
      </c>
      <c r="J125" s="151">
        <v>20050</v>
      </c>
    </row>
    <row r="126" spans="1:10" x14ac:dyDescent="0.3">
      <c r="A126" s="147">
        <v>122</v>
      </c>
      <c r="B126" s="147">
        <v>361</v>
      </c>
      <c r="C126" s="148">
        <v>46139</v>
      </c>
      <c r="D126" s="149" t="s">
        <v>454</v>
      </c>
      <c r="E126" s="148">
        <v>46139</v>
      </c>
      <c r="F126" s="149" t="s">
        <v>455</v>
      </c>
      <c r="G126" s="150" t="s">
        <v>337</v>
      </c>
      <c r="H126" s="151">
        <v>13740</v>
      </c>
      <c r="I126" s="151">
        <v>35480</v>
      </c>
      <c r="J126" s="151">
        <v>21740</v>
      </c>
    </row>
    <row r="127" spans="1:10" x14ac:dyDescent="0.3">
      <c r="A127" s="147">
        <v>123</v>
      </c>
      <c r="B127" s="147">
        <v>363</v>
      </c>
      <c r="C127" s="148">
        <v>46139</v>
      </c>
      <c r="D127" s="149" t="s">
        <v>456</v>
      </c>
      <c r="E127" s="148">
        <v>46139</v>
      </c>
      <c r="F127" s="149" t="s">
        <v>457</v>
      </c>
      <c r="G127" s="150" t="s">
        <v>336</v>
      </c>
      <c r="H127" s="151">
        <v>14120</v>
      </c>
      <c r="I127" s="151">
        <v>34100</v>
      </c>
      <c r="J127" s="151">
        <v>19980</v>
      </c>
    </row>
    <row r="128" spans="1:10" x14ac:dyDescent="0.3">
      <c r="A128" s="147">
        <v>124</v>
      </c>
      <c r="B128" s="147">
        <v>366</v>
      </c>
      <c r="C128" s="148">
        <v>46139</v>
      </c>
      <c r="D128" s="149" t="s">
        <v>458</v>
      </c>
      <c r="E128" s="148">
        <v>46139</v>
      </c>
      <c r="F128" s="149" t="s">
        <v>459</v>
      </c>
      <c r="G128" s="150" t="s">
        <v>43</v>
      </c>
      <c r="H128" s="151">
        <v>13970</v>
      </c>
      <c r="I128" s="151">
        <v>34620</v>
      </c>
      <c r="J128" s="151">
        <v>20650</v>
      </c>
    </row>
    <row r="129" spans="1:10" x14ac:dyDescent="0.3">
      <c r="A129" s="147">
        <v>125</v>
      </c>
      <c r="B129" s="147">
        <v>368</v>
      </c>
      <c r="C129" s="148">
        <v>46139</v>
      </c>
      <c r="D129" s="149" t="s">
        <v>460</v>
      </c>
      <c r="E129" s="148">
        <v>46139</v>
      </c>
      <c r="F129" s="149" t="s">
        <v>461</v>
      </c>
      <c r="G129" s="150" t="s">
        <v>335</v>
      </c>
      <c r="H129" s="151">
        <v>14020</v>
      </c>
      <c r="I129" s="151">
        <v>34450</v>
      </c>
      <c r="J129" s="151">
        <v>20430</v>
      </c>
    </row>
    <row r="130" spans="1:10" x14ac:dyDescent="0.3">
      <c r="A130" s="147">
        <v>126</v>
      </c>
      <c r="B130" s="147">
        <v>369</v>
      </c>
      <c r="C130" s="148">
        <v>46139</v>
      </c>
      <c r="D130" s="149" t="s">
        <v>462</v>
      </c>
      <c r="E130" s="148">
        <v>46139</v>
      </c>
      <c r="F130" s="149" t="s">
        <v>463</v>
      </c>
      <c r="G130" s="150" t="s">
        <v>337</v>
      </c>
      <c r="H130" s="151">
        <v>14000</v>
      </c>
      <c r="I130" s="151">
        <v>34000</v>
      </c>
      <c r="J130" s="151">
        <v>20000</v>
      </c>
    </row>
    <row r="131" spans="1:10" x14ac:dyDescent="0.3">
      <c r="A131" s="147">
        <v>127</v>
      </c>
      <c r="B131" s="147">
        <v>373</v>
      </c>
      <c r="C131" s="148">
        <v>46139</v>
      </c>
      <c r="D131" s="149" t="s">
        <v>464</v>
      </c>
      <c r="E131" s="148">
        <v>46139</v>
      </c>
      <c r="F131" s="149" t="s">
        <v>465</v>
      </c>
      <c r="G131" s="150" t="s">
        <v>336</v>
      </c>
      <c r="H131" s="151">
        <v>13980</v>
      </c>
      <c r="I131" s="151">
        <v>34670</v>
      </c>
      <c r="J131" s="151">
        <v>20690</v>
      </c>
    </row>
    <row r="132" spans="1:10" x14ac:dyDescent="0.3">
      <c r="A132" s="147">
        <v>128</v>
      </c>
      <c r="B132" s="147">
        <v>376</v>
      </c>
      <c r="C132" s="148">
        <v>46139</v>
      </c>
      <c r="D132" s="149" t="s">
        <v>466</v>
      </c>
      <c r="E132" s="148">
        <v>46139</v>
      </c>
      <c r="F132" s="149" t="s">
        <v>467</v>
      </c>
      <c r="G132" s="150" t="s">
        <v>43</v>
      </c>
      <c r="H132" s="151">
        <v>14050</v>
      </c>
      <c r="I132" s="151">
        <v>34410</v>
      </c>
      <c r="J132" s="151">
        <v>20360</v>
      </c>
    </row>
    <row r="133" spans="1:10" x14ac:dyDescent="0.3">
      <c r="A133" s="147">
        <v>129</v>
      </c>
      <c r="B133" s="147">
        <v>377</v>
      </c>
      <c r="C133" s="148">
        <v>46139</v>
      </c>
      <c r="D133" s="149" t="s">
        <v>468</v>
      </c>
      <c r="E133" s="148">
        <v>46139</v>
      </c>
      <c r="F133" s="149" t="s">
        <v>469</v>
      </c>
      <c r="G133" s="150" t="s">
        <v>335</v>
      </c>
      <c r="H133" s="151">
        <v>14010</v>
      </c>
      <c r="I133" s="151">
        <v>34470</v>
      </c>
      <c r="J133" s="151">
        <v>20460</v>
      </c>
    </row>
    <row r="134" spans="1:10" x14ac:dyDescent="0.3">
      <c r="A134" s="147">
        <v>130</v>
      </c>
      <c r="B134" s="147">
        <v>378</v>
      </c>
      <c r="C134" s="148">
        <v>46139</v>
      </c>
      <c r="D134" s="149" t="s">
        <v>470</v>
      </c>
      <c r="E134" s="148">
        <v>46139</v>
      </c>
      <c r="F134" s="149" t="s">
        <v>471</v>
      </c>
      <c r="G134" s="150" t="s">
        <v>337</v>
      </c>
      <c r="H134" s="151">
        <v>13910</v>
      </c>
      <c r="I134" s="151">
        <v>34650</v>
      </c>
      <c r="J134" s="151">
        <v>20740</v>
      </c>
    </row>
    <row r="135" spans="1:10" x14ac:dyDescent="0.3">
      <c r="A135" s="147">
        <v>131</v>
      </c>
      <c r="B135" s="147">
        <v>384</v>
      </c>
      <c r="C135" s="148">
        <v>46139</v>
      </c>
      <c r="D135" s="149" t="s">
        <v>472</v>
      </c>
      <c r="E135" s="148">
        <v>46139</v>
      </c>
      <c r="F135" s="149" t="s">
        <v>473</v>
      </c>
      <c r="G135" s="150" t="s">
        <v>336</v>
      </c>
      <c r="H135" s="151">
        <v>14020</v>
      </c>
      <c r="I135" s="151">
        <v>33900</v>
      </c>
      <c r="J135" s="151">
        <v>19880</v>
      </c>
    </row>
    <row r="136" spans="1:10" x14ac:dyDescent="0.3">
      <c r="A136" s="147">
        <v>132</v>
      </c>
      <c r="B136" s="147">
        <v>386</v>
      </c>
      <c r="C136" s="148">
        <v>46140</v>
      </c>
      <c r="D136" s="149" t="s">
        <v>474</v>
      </c>
      <c r="E136" s="148">
        <v>46140</v>
      </c>
      <c r="F136" s="149" t="s">
        <v>475</v>
      </c>
      <c r="G136" s="150" t="s">
        <v>335</v>
      </c>
      <c r="H136" s="151">
        <v>13970</v>
      </c>
      <c r="I136" s="151">
        <v>33950</v>
      </c>
      <c r="J136" s="151">
        <v>19980</v>
      </c>
    </row>
    <row r="137" spans="1:10" x14ac:dyDescent="0.3">
      <c r="A137" s="147">
        <v>133</v>
      </c>
      <c r="B137" s="147">
        <v>387</v>
      </c>
      <c r="C137" s="148">
        <v>46140</v>
      </c>
      <c r="D137" s="149" t="s">
        <v>476</v>
      </c>
      <c r="E137" s="148">
        <v>46140</v>
      </c>
      <c r="F137" s="149" t="s">
        <v>477</v>
      </c>
      <c r="G137" s="150" t="s">
        <v>337</v>
      </c>
      <c r="H137" s="151">
        <v>13940</v>
      </c>
      <c r="I137" s="151">
        <v>33660</v>
      </c>
      <c r="J137" s="151">
        <v>19720</v>
      </c>
    </row>
    <row r="138" spans="1:10" x14ac:dyDescent="0.3">
      <c r="A138" s="147">
        <v>134</v>
      </c>
      <c r="B138" s="147">
        <v>390</v>
      </c>
      <c r="C138" s="148">
        <v>46140</v>
      </c>
      <c r="D138" s="149" t="s">
        <v>478</v>
      </c>
      <c r="E138" s="148">
        <v>46140</v>
      </c>
      <c r="F138" s="149" t="s">
        <v>479</v>
      </c>
      <c r="G138" s="150" t="s">
        <v>336</v>
      </c>
      <c r="H138" s="151">
        <v>13910</v>
      </c>
      <c r="I138" s="151">
        <v>34130</v>
      </c>
      <c r="J138" s="151">
        <v>20220</v>
      </c>
    </row>
    <row r="139" spans="1:10" x14ac:dyDescent="0.3">
      <c r="A139" s="147">
        <v>135</v>
      </c>
      <c r="B139" s="147">
        <v>395</v>
      </c>
      <c r="C139" s="148">
        <v>46140</v>
      </c>
      <c r="D139" s="149" t="s">
        <v>480</v>
      </c>
      <c r="E139" s="148">
        <v>46140</v>
      </c>
      <c r="F139" s="149" t="s">
        <v>481</v>
      </c>
      <c r="G139" s="150" t="s">
        <v>43</v>
      </c>
      <c r="H139" s="151">
        <v>13910</v>
      </c>
      <c r="I139" s="151">
        <v>34700</v>
      </c>
      <c r="J139" s="151">
        <v>20790</v>
      </c>
    </row>
    <row r="140" spans="1:10" x14ac:dyDescent="0.3">
      <c r="A140" s="147">
        <v>136</v>
      </c>
      <c r="B140" s="147">
        <v>398</v>
      </c>
      <c r="C140" s="148">
        <v>46140</v>
      </c>
      <c r="D140" s="149" t="s">
        <v>482</v>
      </c>
      <c r="E140" s="148">
        <v>46140</v>
      </c>
      <c r="F140" s="149" t="s">
        <v>483</v>
      </c>
      <c r="G140" s="150" t="s">
        <v>335</v>
      </c>
      <c r="H140" s="151">
        <v>13950</v>
      </c>
      <c r="I140" s="151">
        <v>34840</v>
      </c>
      <c r="J140" s="151">
        <v>20890</v>
      </c>
    </row>
    <row r="141" spans="1:10" x14ac:dyDescent="0.3">
      <c r="A141" s="147">
        <v>137</v>
      </c>
      <c r="B141" s="147">
        <v>399</v>
      </c>
      <c r="C141" s="148">
        <v>46140</v>
      </c>
      <c r="D141" s="149" t="s">
        <v>484</v>
      </c>
      <c r="E141" s="148">
        <v>46140</v>
      </c>
      <c r="F141" s="149" t="s">
        <v>485</v>
      </c>
      <c r="G141" s="150" t="s">
        <v>337</v>
      </c>
      <c r="H141" s="151">
        <v>13860</v>
      </c>
      <c r="I141" s="151">
        <v>33340</v>
      </c>
      <c r="J141" s="151">
        <v>19480</v>
      </c>
    </row>
    <row r="142" spans="1:10" x14ac:dyDescent="0.3">
      <c r="A142" s="147">
        <v>138</v>
      </c>
      <c r="B142" s="147">
        <v>406</v>
      </c>
      <c r="C142" s="148">
        <v>46140</v>
      </c>
      <c r="D142" s="149" t="s">
        <v>486</v>
      </c>
      <c r="E142" s="148">
        <v>46140</v>
      </c>
      <c r="F142" s="149" t="s">
        <v>487</v>
      </c>
      <c r="G142" s="150" t="s">
        <v>43</v>
      </c>
      <c r="H142" s="151">
        <v>13900</v>
      </c>
      <c r="I142" s="151">
        <v>34150</v>
      </c>
      <c r="J142" s="151">
        <v>20250</v>
      </c>
    </row>
    <row r="143" spans="1:10" x14ac:dyDescent="0.3">
      <c r="A143" s="147">
        <v>139</v>
      </c>
      <c r="B143" s="147">
        <v>407</v>
      </c>
      <c r="C143" s="148">
        <v>46140</v>
      </c>
      <c r="D143" s="149" t="s">
        <v>488</v>
      </c>
      <c r="E143" s="148">
        <v>46140</v>
      </c>
      <c r="F143" s="149" t="s">
        <v>489</v>
      </c>
      <c r="G143" s="150" t="s">
        <v>336</v>
      </c>
      <c r="H143" s="151">
        <v>13880</v>
      </c>
      <c r="I143" s="151">
        <v>32610</v>
      </c>
      <c r="J143" s="151">
        <v>18730</v>
      </c>
    </row>
    <row r="144" spans="1:10" x14ac:dyDescent="0.3">
      <c r="A144" s="147">
        <v>140</v>
      </c>
      <c r="B144" s="147">
        <v>410</v>
      </c>
      <c r="C144" s="148">
        <v>46140</v>
      </c>
      <c r="D144" s="149" t="s">
        <v>490</v>
      </c>
      <c r="E144" s="148">
        <v>46140</v>
      </c>
      <c r="F144" s="149" t="s">
        <v>491</v>
      </c>
      <c r="G144" s="150" t="s">
        <v>335</v>
      </c>
      <c r="H144" s="151">
        <v>13920</v>
      </c>
      <c r="I144" s="151">
        <v>31960</v>
      </c>
      <c r="J144" s="151">
        <v>18040</v>
      </c>
    </row>
    <row r="145" spans="1:10" x14ac:dyDescent="0.3">
      <c r="A145" s="147">
        <v>141</v>
      </c>
      <c r="B145" s="147">
        <v>411</v>
      </c>
      <c r="C145" s="148">
        <v>46140</v>
      </c>
      <c r="D145" s="149" t="s">
        <v>492</v>
      </c>
      <c r="E145" s="148">
        <v>46140</v>
      </c>
      <c r="F145" s="149" t="s">
        <v>493</v>
      </c>
      <c r="G145" s="150" t="s">
        <v>337</v>
      </c>
      <c r="H145" s="151">
        <v>13860</v>
      </c>
      <c r="I145" s="151">
        <v>32790</v>
      </c>
      <c r="J145" s="151">
        <v>18930</v>
      </c>
    </row>
    <row r="146" spans="1:10" x14ac:dyDescent="0.3">
      <c r="A146" s="147">
        <v>142</v>
      </c>
      <c r="B146" s="147">
        <v>418</v>
      </c>
      <c r="C146" s="148">
        <v>46140</v>
      </c>
      <c r="D146" s="149" t="s">
        <v>494</v>
      </c>
      <c r="E146" s="148">
        <v>46140</v>
      </c>
      <c r="F146" s="149" t="s">
        <v>495</v>
      </c>
      <c r="G146" s="150" t="s">
        <v>43</v>
      </c>
      <c r="H146" s="151">
        <v>13840</v>
      </c>
      <c r="I146" s="151">
        <v>32040</v>
      </c>
      <c r="J146" s="151">
        <v>18200</v>
      </c>
    </row>
    <row r="147" spans="1:10" x14ac:dyDescent="0.3">
      <c r="A147" s="147">
        <v>143</v>
      </c>
      <c r="B147" s="147">
        <v>420</v>
      </c>
      <c r="C147" s="148">
        <v>46140</v>
      </c>
      <c r="D147" s="149" t="s">
        <v>496</v>
      </c>
      <c r="E147" s="148">
        <v>46140</v>
      </c>
      <c r="F147" s="149" t="s">
        <v>497</v>
      </c>
      <c r="G147" s="150" t="s">
        <v>336</v>
      </c>
      <c r="H147" s="151">
        <v>13910</v>
      </c>
      <c r="I147" s="151">
        <v>32820</v>
      </c>
      <c r="J147" s="151">
        <v>18910</v>
      </c>
    </row>
    <row r="148" spans="1:10" x14ac:dyDescent="0.3">
      <c r="A148" s="147">
        <v>144</v>
      </c>
      <c r="B148" s="147">
        <v>422</v>
      </c>
      <c r="C148" s="148">
        <v>46140</v>
      </c>
      <c r="D148" s="149" t="s">
        <v>498</v>
      </c>
      <c r="E148" s="148">
        <v>46140</v>
      </c>
      <c r="F148" s="149" t="s">
        <v>499</v>
      </c>
      <c r="G148" s="150" t="s">
        <v>335</v>
      </c>
      <c r="H148" s="151">
        <v>13880</v>
      </c>
      <c r="I148" s="151">
        <v>32730</v>
      </c>
      <c r="J148" s="151">
        <v>18850</v>
      </c>
    </row>
    <row r="149" spans="1:10" x14ac:dyDescent="0.3">
      <c r="A149" s="147">
        <v>145</v>
      </c>
      <c r="B149" s="147">
        <v>423</v>
      </c>
      <c r="C149" s="148">
        <v>46140</v>
      </c>
      <c r="D149" s="149" t="s">
        <v>500</v>
      </c>
      <c r="E149" s="148">
        <v>46140</v>
      </c>
      <c r="F149" s="149" t="s">
        <v>501</v>
      </c>
      <c r="G149" s="150" t="s">
        <v>337</v>
      </c>
      <c r="H149" s="151">
        <v>13790</v>
      </c>
      <c r="I149" s="151">
        <v>32400</v>
      </c>
      <c r="J149" s="151">
        <v>18610</v>
      </c>
    </row>
    <row r="150" spans="1:10" x14ac:dyDescent="0.3">
      <c r="A150" s="147">
        <v>146</v>
      </c>
      <c r="B150" s="147">
        <v>431</v>
      </c>
      <c r="C150" s="148">
        <v>46140</v>
      </c>
      <c r="D150" s="149" t="s">
        <v>502</v>
      </c>
      <c r="E150" s="148">
        <v>46140</v>
      </c>
      <c r="F150" s="149" t="s">
        <v>503</v>
      </c>
      <c r="G150" s="150" t="s">
        <v>336</v>
      </c>
      <c r="H150" s="151">
        <v>13890</v>
      </c>
      <c r="I150" s="151">
        <v>33770</v>
      </c>
      <c r="J150" s="151">
        <v>19880</v>
      </c>
    </row>
    <row r="151" spans="1:10" x14ac:dyDescent="0.3">
      <c r="A151" s="147">
        <v>147</v>
      </c>
      <c r="B151" s="147">
        <v>433</v>
      </c>
      <c r="C151" s="148">
        <v>46140</v>
      </c>
      <c r="D151" s="149" t="s">
        <v>504</v>
      </c>
      <c r="E151" s="148">
        <v>46140</v>
      </c>
      <c r="F151" s="149" t="s">
        <v>505</v>
      </c>
      <c r="G151" s="150" t="s">
        <v>337</v>
      </c>
      <c r="H151" s="151">
        <v>14030</v>
      </c>
      <c r="I151" s="151">
        <v>33720</v>
      </c>
      <c r="J151" s="151">
        <v>19690</v>
      </c>
    </row>
    <row r="152" spans="1:10" x14ac:dyDescent="0.3">
      <c r="A152" s="147">
        <v>148</v>
      </c>
      <c r="B152" s="147">
        <v>435</v>
      </c>
      <c r="C152" s="148">
        <v>46140</v>
      </c>
      <c r="D152" s="149" t="s">
        <v>506</v>
      </c>
      <c r="E152" s="148">
        <v>46140</v>
      </c>
      <c r="F152" s="149" t="s">
        <v>507</v>
      </c>
      <c r="G152" s="150" t="s">
        <v>335</v>
      </c>
      <c r="H152" s="151">
        <v>13870</v>
      </c>
      <c r="I152" s="151">
        <v>32610</v>
      </c>
      <c r="J152" s="151">
        <v>18740</v>
      </c>
    </row>
    <row r="153" spans="1:10" x14ac:dyDescent="0.3">
      <c r="A153" s="147">
        <v>149</v>
      </c>
      <c r="B153" s="147">
        <v>440</v>
      </c>
      <c r="C153" s="148">
        <v>46140</v>
      </c>
      <c r="D153" s="149" t="s">
        <v>508</v>
      </c>
      <c r="E153" s="148">
        <v>46140</v>
      </c>
      <c r="F153" s="149" t="s">
        <v>509</v>
      </c>
      <c r="G153" s="150" t="s">
        <v>43</v>
      </c>
      <c r="H153" s="151">
        <v>14030</v>
      </c>
      <c r="I153" s="151">
        <v>32790</v>
      </c>
      <c r="J153" s="151">
        <v>18760</v>
      </c>
    </row>
    <row r="154" spans="1:10" x14ac:dyDescent="0.3">
      <c r="A154" s="147">
        <v>150</v>
      </c>
      <c r="B154" s="147">
        <v>441</v>
      </c>
      <c r="C154" s="148">
        <v>46140</v>
      </c>
      <c r="D154" s="149" t="s">
        <v>510</v>
      </c>
      <c r="E154" s="148">
        <v>46140</v>
      </c>
      <c r="F154" s="149" t="s">
        <v>511</v>
      </c>
      <c r="G154" s="150" t="s">
        <v>43</v>
      </c>
      <c r="H154" s="151">
        <v>14030</v>
      </c>
      <c r="I154" s="151">
        <v>33070</v>
      </c>
      <c r="J154" s="151">
        <v>19040</v>
      </c>
    </row>
    <row r="155" spans="1:10" x14ac:dyDescent="0.3">
      <c r="A155" s="147">
        <v>151</v>
      </c>
      <c r="B155" s="147">
        <v>443</v>
      </c>
      <c r="C155" s="148">
        <v>46140</v>
      </c>
      <c r="D155" s="149" t="s">
        <v>512</v>
      </c>
      <c r="E155" s="148">
        <v>46140</v>
      </c>
      <c r="F155" s="149" t="s">
        <v>513</v>
      </c>
      <c r="G155" s="150" t="s">
        <v>336</v>
      </c>
      <c r="H155" s="151">
        <v>13800</v>
      </c>
      <c r="I155" s="151">
        <v>34590</v>
      </c>
      <c r="J155" s="151">
        <v>20790</v>
      </c>
    </row>
    <row r="156" spans="1:10" x14ac:dyDescent="0.3">
      <c r="A156" s="147">
        <v>152</v>
      </c>
      <c r="B156" s="147">
        <v>446</v>
      </c>
      <c r="C156" s="148">
        <v>46140</v>
      </c>
      <c r="D156" s="149" t="s">
        <v>514</v>
      </c>
      <c r="E156" s="148">
        <v>46140</v>
      </c>
      <c r="F156" s="149" t="s">
        <v>515</v>
      </c>
      <c r="G156" s="150" t="s">
        <v>337</v>
      </c>
      <c r="H156" s="151">
        <v>14010</v>
      </c>
      <c r="I156" s="151">
        <v>34580</v>
      </c>
      <c r="J156" s="151">
        <v>20570</v>
      </c>
    </row>
    <row r="157" spans="1:10" x14ac:dyDescent="0.3">
      <c r="A157" s="147">
        <v>153</v>
      </c>
      <c r="B157" s="147">
        <v>447</v>
      </c>
      <c r="C157" s="148">
        <v>46140</v>
      </c>
      <c r="D157" s="149" t="s">
        <v>516</v>
      </c>
      <c r="E157" s="148">
        <v>46140</v>
      </c>
      <c r="F157" s="149" t="s">
        <v>517</v>
      </c>
      <c r="G157" s="150" t="s">
        <v>335</v>
      </c>
      <c r="H157" s="151">
        <v>13900</v>
      </c>
      <c r="I157" s="151">
        <v>34180</v>
      </c>
      <c r="J157" s="151">
        <v>20280</v>
      </c>
    </row>
    <row r="158" spans="1:10" x14ac:dyDescent="0.3">
      <c r="A158" s="147">
        <v>154</v>
      </c>
      <c r="B158" s="147">
        <v>452</v>
      </c>
      <c r="C158" s="148">
        <v>46140</v>
      </c>
      <c r="D158" s="149" t="s">
        <v>518</v>
      </c>
      <c r="E158" s="148">
        <v>46140</v>
      </c>
      <c r="F158" s="149" t="s">
        <v>519</v>
      </c>
      <c r="G158" s="150" t="s">
        <v>43</v>
      </c>
      <c r="H158" s="151">
        <v>13990</v>
      </c>
      <c r="I158" s="151">
        <v>34130</v>
      </c>
      <c r="J158" s="151">
        <v>20140</v>
      </c>
    </row>
    <row r="159" spans="1:10" x14ac:dyDescent="0.3">
      <c r="A159" s="147">
        <v>155</v>
      </c>
      <c r="B159" s="147">
        <v>454</v>
      </c>
      <c r="C159" s="148">
        <v>46140</v>
      </c>
      <c r="D159" s="152" t="s">
        <v>521</v>
      </c>
      <c r="E159" s="148">
        <v>46140</v>
      </c>
      <c r="F159" s="152" t="s">
        <v>522</v>
      </c>
      <c r="G159" s="150" t="s">
        <v>336</v>
      </c>
      <c r="H159" s="151">
        <v>13760</v>
      </c>
      <c r="I159" s="151">
        <v>32480</v>
      </c>
      <c r="J159" s="151">
        <v>18720</v>
      </c>
    </row>
    <row r="160" spans="1:10" x14ac:dyDescent="0.3">
      <c r="A160" s="147">
        <v>156</v>
      </c>
      <c r="B160" s="153" t="s">
        <v>528</v>
      </c>
      <c r="C160" s="154">
        <v>46132</v>
      </c>
      <c r="D160" s="155" t="s">
        <v>529</v>
      </c>
      <c r="E160" s="154">
        <v>46132</v>
      </c>
      <c r="F160" s="155" t="s">
        <v>530</v>
      </c>
      <c r="G160" s="155" t="s">
        <v>143</v>
      </c>
      <c r="H160" s="156">
        <v>14030</v>
      </c>
      <c r="I160" s="156">
        <v>30380</v>
      </c>
      <c r="J160" s="156">
        <v>16350</v>
      </c>
    </row>
    <row r="161" spans="1:10" x14ac:dyDescent="0.3">
      <c r="A161" s="147">
        <v>157</v>
      </c>
      <c r="B161" s="153">
        <v>449</v>
      </c>
      <c r="C161" s="154">
        <v>46140</v>
      </c>
      <c r="D161" s="155" t="s">
        <v>531</v>
      </c>
      <c r="E161" s="154">
        <v>46140</v>
      </c>
      <c r="F161" s="155" t="s">
        <v>532</v>
      </c>
      <c r="G161" s="155" t="s">
        <v>143</v>
      </c>
      <c r="H161" s="156">
        <v>13780</v>
      </c>
      <c r="I161" s="156">
        <v>33750</v>
      </c>
      <c r="J161" s="156">
        <v>19970</v>
      </c>
    </row>
    <row r="162" spans="1:10" x14ac:dyDescent="0.3">
      <c r="A162" s="147">
        <v>158</v>
      </c>
      <c r="B162" s="153">
        <v>448</v>
      </c>
      <c r="C162" s="154">
        <v>46140</v>
      </c>
      <c r="D162" s="155" t="s">
        <v>533</v>
      </c>
      <c r="E162" s="154">
        <v>46140</v>
      </c>
      <c r="F162" s="155" t="s">
        <v>534</v>
      </c>
      <c r="G162" s="155" t="s">
        <v>71</v>
      </c>
      <c r="H162" s="156">
        <v>13990</v>
      </c>
      <c r="I162" s="156">
        <v>34110</v>
      </c>
      <c r="J162" s="156">
        <v>20120</v>
      </c>
    </row>
    <row r="163" spans="1:10" x14ac:dyDescent="0.3">
      <c r="A163" s="147">
        <v>159</v>
      </c>
      <c r="B163" s="153">
        <v>445</v>
      </c>
      <c r="C163" s="154">
        <v>46140</v>
      </c>
      <c r="D163" s="155" t="s">
        <v>535</v>
      </c>
      <c r="E163" s="154">
        <v>46140</v>
      </c>
      <c r="F163" s="155" t="s">
        <v>536</v>
      </c>
      <c r="G163" s="155" t="s">
        <v>537</v>
      </c>
      <c r="H163" s="156">
        <v>13820</v>
      </c>
      <c r="I163" s="156">
        <v>33290</v>
      </c>
      <c r="J163" s="156">
        <v>19470</v>
      </c>
    </row>
    <row r="164" spans="1:10" x14ac:dyDescent="0.3">
      <c r="A164" s="147">
        <v>160</v>
      </c>
      <c r="B164" s="153">
        <v>444</v>
      </c>
      <c r="C164" s="154">
        <v>46140</v>
      </c>
      <c r="D164" s="155" t="s">
        <v>538</v>
      </c>
      <c r="E164" s="154">
        <v>46140</v>
      </c>
      <c r="F164" s="155" t="s">
        <v>539</v>
      </c>
      <c r="G164" s="155" t="s">
        <v>540</v>
      </c>
      <c r="H164" s="156">
        <v>13750</v>
      </c>
      <c r="I164" s="156">
        <v>34620</v>
      </c>
      <c r="J164" s="156">
        <v>20870</v>
      </c>
    </row>
    <row r="165" spans="1:10" x14ac:dyDescent="0.3">
      <c r="A165" s="147">
        <v>161</v>
      </c>
      <c r="B165" s="153">
        <v>437</v>
      </c>
      <c r="C165" s="154">
        <v>46140</v>
      </c>
      <c r="D165" s="155" t="s">
        <v>541</v>
      </c>
      <c r="E165" s="154">
        <v>46140</v>
      </c>
      <c r="F165" s="155" t="s">
        <v>542</v>
      </c>
      <c r="G165" s="155" t="s">
        <v>143</v>
      </c>
      <c r="H165" s="156">
        <v>13880</v>
      </c>
      <c r="I165" s="156">
        <v>33430</v>
      </c>
      <c r="J165" s="156">
        <v>19550</v>
      </c>
    </row>
    <row r="166" spans="1:10" x14ac:dyDescent="0.3">
      <c r="A166" s="147">
        <v>162</v>
      </c>
      <c r="B166" s="153">
        <v>7</v>
      </c>
      <c r="C166" s="154">
        <v>46133</v>
      </c>
      <c r="D166" s="155">
        <v>4.4166666666666667E-2</v>
      </c>
      <c r="E166" s="154">
        <v>46133</v>
      </c>
      <c r="F166" s="155">
        <v>7.3611111111111113E-2</v>
      </c>
      <c r="G166" s="155" t="s">
        <v>71</v>
      </c>
      <c r="H166" s="156">
        <v>14020</v>
      </c>
      <c r="I166" s="156">
        <v>31820</v>
      </c>
      <c r="J166" s="156">
        <v>17800</v>
      </c>
    </row>
    <row r="167" spans="1:10" x14ac:dyDescent="0.3">
      <c r="A167" s="147">
        <v>163</v>
      </c>
      <c r="B167" s="153">
        <v>436</v>
      </c>
      <c r="C167" s="154">
        <v>46140</v>
      </c>
      <c r="D167" s="155" t="s">
        <v>543</v>
      </c>
      <c r="E167" s="154">
        <v>46140</v>
      </c>
      <c r="F167" s="155" t="s">
        <v>544</v>
      </c>
      <c r="G167" s="155" t="s">
        <v>55</v>
      </c>
      <c r="H167" s="156">
        <v>13880</v>
      </c>
      <c r="I167" s="156">
        <v>32920</v>
      </c>
      <c r="J167" s="156">
        <v>19040</v>
      </c>
    </row>
    <row r="168" spans="1:10" x14ac:dyDescent="0.3">
      <c r="A168" s="147">
        <v>164</v>
      </c>
      <c r="B168" s="153">
        <v>434</v>
      </c>
      <c r="C168" s="154">
        <v>46140</v>
      </c>
      <c r="D168" s="155" t="s">
        <v>545</v>
      </c>
      <c r="E168" s="154">
        <v>46140</v>
      </c>
      <c r="F168" s="155" t="s">
        <v>546</v>
      </c>
      <c r="G168" s="155" t="s">
        <v>71</v>
      </c>
      <c r="H168" s="156">
        <v>13970</v>
      </c>
      <c r="I168" s="156">
        <v>33300</v>
      </c>
      <c r="J168" s="156">
        <v>19330</v>
      </c>
    </row>
    <row r="169" spans="1:10" x14ac:dyDescent="0.3">
      <c r="A169" s="147">
        <v>165</v>
      </c>
      <c r="B169" s="153">
        <v>10</v>
      </c>
      <c r="C169" s="154">
        <v>46133</v>
      </c>
      <c r="D169" s="155">
        <v>7.9826388888888891E-2</v>
      </c>
      <c r="E169" s="154">
        <v>46133</v>
      </c>
      <c r="F169" s="155">
        <v>8.7777777777777774E-2</v>
      </c>
      <c r="G169" s="155" t="s">
        <v>537</v>
      </c>
      <c r="H169" s="156">
        <v>14050</v>
      </c>
      <c r="I169" s="156">
        <v>33170</v>
      </c>
      <c r="J169" s="156">
        <v>19120</v>
      </c>
    </row>
    <row r="170" spans="1:10" x14ac:dyDescent="0.3">
      <c r="A170" s="147">
        <v>166</v>
      </c>
      <c r="B170" s="153">
        <v>11</v>
      </c>
      <c r="C170" s="154">
        <v>46133</v>
      </c>
      <c r="D170" s="155">
        <v>0.14910879629629631</v>
      </c>
      <c r="E170" s="154">
        <v>46133</v>
      </c>
      <c r="F170" s="155">
        <v>0.15567129629629631</v>
      </c>
      <c r="G170" s="155" t="s">
        <v>143</v>
      </c>
      <c r="H170" s="156">
        <v>14070</v>
      </c>
      <c r="I170" s="156">
        <v>32120</v>
      </c>
      <c r="J170" s="156">
        <v>18050</v>
      </c>
    </row>
    <row r="171" spans="1:10" x14ac:dyDescent="0.3">
      <c r="A171" s="147">
        <v>167</v>
      </c>
      <c r="B171" s="153">
        <v>432</v>
      </c>
      <c r="C171" s="154">
        <v>46140</v>
      </c>
      <c r="D171" s="155" t="s">
        <v>547</v>
      </c>
      <c r="E171" s="154">
        <v>46140</v>
      </c>
      <c r="F171" s="155" t="s">
        <v>548</v>
      </c>
      <c r="G171" s="155" t="s">
        <v>537</v>
      </c>
      <c r="H171" s="156">
        <v>13810</v>
      </c>
      <c r="I171" s="156">
        <v>32850</v>
      </c>
      <c r="J171" s="156">
        <v>19040</v>
      </c>
    </row>
    <row r="172" spans="1:10" x14ac:dyDescent="0.3">
      <c r="A172" s="147">
        <v>168</v>
      </c>
      <c r="B172" s="153">
        <v>430</v>
      </c>
      <c r="C172" s="154">
        <v>46140</v>
      </c>
      <c r="D172" s="155" t="s">
        <v>549</v>
      </c>
      <c r="E172" s="154">
        <v>46140</v>
      </c>
      <c r="F172" s="155" t="s">
        <v>550</v>
      </c>
      <c r="G172" s="155" t="s">
        <v>540</v>
      </c>
      <c r="H172" s="156">
        <v>13790</v>
      </c>
      <c r="I172" s="156">
        <v>32620</v>
      </c>
      <c r="J172" s="156">
        <v>18830</v>
      </c>
    </row>
    <row r="173" spans="1:10" x14ac:dyDescent="0.3">
      <c r="A173" s="147">
        <v>169</v>
      </c>
      <c r="B173" s="153">
        <v>426</v>
      </c>
      <c r="C173" s="154">
        <v>46140</v>
      </c>
      <c r="D173" s="155" t="s">
        <v>551</v>
      </c>
      <c r="E173" s="154">
        <v>46140</v>
      </c>
      <c r="F173" s="155" t="s">
        <v>552</v>
      </c>
      <c r="G173" s="155" t="s">
        <v>143</v>
      </c>
      <c r="H173" s="156">
        <v>13890</v>
      </c>
      <c r="I173" s="156">
        <v>33290</v>
      </c>
      <c r="J173" s="156">
        <v>19400</v>
      </c>
    </row>
    <row r="174" spans="1:10" x14ac:dyDescent="0.3">
      <c r="A174" s="147">
        <v>170</v>
      </c>
      <c r="B174" s="153">
        <v>425</v>
      </c>
      <c r="C174" s="154">
        <v>46140</v>
      </c>
      <c r="D174" s="155" t="s">
        <v>553</v>
      </c>
      <c r="E174" s="154">
        <v>46140</v>
      </c>
      <c r="F174" s="155" t="s">
        <v>554</v>
      </c>
      <c r="G174" s="155" t="s">
        <v>71</v>
      </c>
      <c r="H174" s="156">
        <v>14000</v>
      </c>
      <c r="I174" s="156">
        <v>33880</v>
      </c>
      <c r="J174" s="156">
        <v>19880</v>
      </c>
    </row>
    <row r="175" spans="1:10" x14ac:dyDescent="0.3">
      <c r="A175" s="147">
        <v>171</v>
      </c>
      <c r="B175" s="153">
        <v>424</v>
      </c>
      <c r="C175" s="154">
        <v>46140</v>
      </c>
      <c r="D175" s="155" t="s">
        <v>555</v>
      </c>
      <c r="E175" s="154">
        <v>46140</v>
      </c>
      <c r="F175" s="155" t="s">
        <v>556</v>
      </c>
      <c r="G175" s="155" t="s">
        <v>55</v>
      </c>
      <c r="H175" s="156">
        <v>13890</v>
      </c>
      <c r="I175" s="156">
        <v>32890</v>
      </c>
      <c r="J175" s="156">
        <v>19000</v>
      </c>
    </row>
    <row r="176" spans="1:10" x14ac:dyDescent="0.3">
      <c r="A176" s="147">
        <v>172</v>
      </c>
      <c r="B176" s="153">
        <v>17</v>
      </c>
      <c r="C176" s="154">
        <v>46133</v>
      </c>
      <c r="D176" s="155">
        <v>0.19688657407407406</v>
      </c>
      <c r="E176" s="154">
        <v>46133</v>
      </c>
      <c r="F176" s="155">
        <v>0.20820601851851853</v>
      </c>
      <c r="G176" s="155" t="s">
        <v>71</v>
      </c>
      <c r="H176" s="156">
        <v>14010</v>
      </c>
      <c r="I176" s="156">
        <v>33080</v>
      </c>
      <c r="J176" s="156">
        <v>19070</v>
      </c>
    </row>
    <row r="177" spans="1:10" x14ac:dyDescent="0.3">
      <c r="A177" s="147">
        <v>173</v>
      </c>
      <c r="B177" s="153">
        <v>421</v>
      </c>
      <c r="C177" s="154">
        <v>46140</v>
      </c>
      <c r="D177" s="155" t="s">
        <v>557</v>
      </c>
      <c r="E177" s="154">
        <v>46140</v>
      </c>
      <c r="F177" s="155" t="s">
        <v>558</v>
      </c>
      <c r="G177" s="155" t="s">
        <v>537</v>
      </c>
      <c r="H177" s="156">
        <v>13850</v>
      </c>
      <c r="I177" s="156">
        <v>33730</v>
      </c>
      <c r="J177" s="156">
        <v>19880</v>
      </c>
    </row>
    <row r="178" spans="1:10" x14ac:dyDescent="0.3">
      <c r="A178" s="147">
        <v>174</v>
      </c>
      <c r="B178" s="153">
        <v>419</v>
      </c>
      <c r="C178" s="154">
        <v>46140</v>
      </c>
      <c r="D178" s="155" t="s">
        <v>559</v>
      </c>
      <c r="E178" s="154">
        <v>46140</v>
      </c>
      <c r="F178" s="155" t="s">
        <v>560</v>
      </c>
      <c r="G178" s="155" t="s">
        <v>540</v>
      </c>
      <c r="H178" s="156">
        <v>13800</v>
      </c>
      <c r="I178" s="156">
        <v>32500</v>
      </c>
      <c r="J178" s="156">
        <v>18700</v>
      </c>
    </row>
    <row r="179" spans="1:10" x14ac:dyDescent="0.3">
      <c r="A179" s="147">
        <v>175</v>
      </c>
      <c r="B179" s="153">
        <v>20</v>
      </c>
      <c r="C179" s="154">
        <v>46133</v>
      </c>
      <c r="D179" s="155">
        <v>0.22832175925925927</v>
      </c>
      <c r="E179" s="154">
        <v>46133</v>
      </c>
      <c r="F179" s="155">
        <v>0.23561342592592593</v>
      </c>
      <c r="G179" s="155" t="s">
        <v>537</v>
      </c>
      <c r="H179" s="156">
        <v>14040</v>
      </c>
      <c r="I179" s="156">
        <v>33220</v>
      </c>
      <c r="J179" s="156">
        <v>19180</v>
      </c>
    </row>
    <row r="180" spans="1:10" x14ac:dyDescent="0.3">
      <c r="A180" s="147">
        <v>176</v>
      </c>
      <c r="B180" s="153">
        <v>21</v>
      </c>
      <c r="C180" s="154">
        <v>46133</v>
      </c>
      <c r="D180" s="155">
        <v>0.26438657407407407</v>
      </c>
      <c r="E180" s="154">
        <v>46133</v>
      </c>
      <c r="F180" s="155">
        <v>0.27296296296296296</v>
      </c>
      <c r="G180" s="155" t="s">
        <v>143</v>
      </c>
      <c r="H180" s="156">
        <v>13990</v>
      </c>
      <c r="I180" s="156">
        <v>32270</v>
      </c>
      <c r="J180" s="156">
        <v>18280</v>
      </c>
    </row>
    <row r="181" spans="1:10" x14ac:dyDescent="0.3">
      <c r="A181" s="147">
        <v>177</v>
      </c>
      <c r="B181" s="153">
        <v>414</v>
      </c>
      <c r="C181" s="154">
        <v>46140</v>
      </c>
      <c r="D181" s="155" t="s">
        <v>561</v>
      </c>
      <c r="E181" s="154">
        <v>46140</v>
      </c>
      <c r="F181" s="155" t="s">
        <v>562</v>
      </c>
      <c r="G181" s="155" t="s">
        <v>143</v>
      </c>
      <c r="H181" s="156">
        <v>13920</v>
      </c>
      <c r="I181" s="156">
        <v>32200</v>
      </c>
      <c r="J181" s="156">
        <v>18280</v>
      </c>
    </row>
    <row r="182" spans="1:10" x14ac:dyDescent="0.3">
      <c r="A182" s="147">
        <v>178</v>
      </c>
      <c r="B182" s="153">
        <v>413</v>
      </c>
      <c r="C182" s="154">
        <v>46140</v>
      </c>
      <c r="D182" s="155" t="s">
        <v>563</v>
      </c>
      <c r="E182" s="154">
        <v>46140</v>
      </c>
      <c r="F182" s="155" t="s">
        <v>564</v>
      </c>
      <c r="G182" s="155" t="s">
        <v>71</v>
      </c>
      <c r="H182" s="156">
        <v>14030</v>
      </c>
      <c r="I182" s="156">
        <v>32800</v>
      </c>
      <c r="J182" s="156">
        <v>18770</v>
      </c>
    </row>
    <row r="183" spans="1:10" x14ac:dyDescent="0.3">
      <c r="A183" s="147">
        <v>179</v>
      </c>
      <c r="B183" s="153">
        <v>412</v>
      </c>
      <c r="C183" s="154">
        <v>46140</v>
      </c>
      <c r="D183" s="155" t="s">
        <v>565</v>
      </c>
      <c r="E183" s="154">
        <v>46140</v>
      </c>
      <c r="F183" s="155" t="s">
        <v>566</v>
      </c>
      <c r="G183" s="155" t="s">
        <v>55</v>
      </c>
      <c r="H183" s="156">
        <v>13950</v>
      </c>
      <c r="I183" s="156">
        <v>32160</v>
      </c>
      <c r="J183" s="156">
        <v>18210</v>
      </c>
    </row>
    <row r="184" spans="1:10" x14ac:dyDescent="0.3">
      <c r="A184" s="147">
        <v>180</v>
      </c>
      <c r="B184" s="153">
        <v>409</v>
      </c>
      <c r="C184" s="154">
        <v>46140</v>
      </c>
      <c r="D184" s="155" t="s">
        <v>567</v>
      </c>
      <c r="E184" s="154">
        <v>46140</v>
      </c>
      <c r="F184" s="155" t="s">
        <v>568</v>
      </c>
      <c r="G184" s="155" t="s">
        <v>537</v>
      </c>
      <c r="H184" s="156">
        <v>13960</v>
      </c>
      <c r="I184" s="156">
        <v>33330</v>
      </c>
      <c r="J184" s="156">
        <v>19370</v>
      </c>
    </row>
    <row r="185" spans="1:10" x14ac:dyDescent="0.3">
      <c r="A185" s="147">
        <v>181</v>
      </c>
      <c r="B185" s="153">
        <v>408</v>
      </c>
      <c r="C185" s="154">
        <v>46140</v>
      </c>
      <c r="D185" s="155" t="s">
        <v>569</v>
      </c>
      <c r="E185" s="154">
        <v>46140</v>
      </c>
      <c r="F185" s="155" t="s">
        <v>570</v>
      </c>
      <c r="G185" s="155" t="s">
        <v>540</v>
      </c>
      <c r="H185" s="156">
        <v>13830</v>
      </c>
      <c r="I185" s="156">
        <v>33920</v>
      </c>
      <c r="J185" s="156">
        <v>20090</v>
      </c>
    </row>
    <row r="186" spans="1:10" x14ac:dyDescent="0.3">
      <c r="A186" s="147">
        <v>182</v>
      </c>
      <c r="B186" s="153">
        <v>27</v>
      </c>
      <c r="C186" s="154">
        <v>46133</v>
      </c>
      <c r="D186" s="155">
        <v>0.32891203703703703</v>
      </c>
      <c r="E186" s="154">
        <v>46133</v>
      </c>
      <c r="F186" s="155">
        <v>0.33384259259259258</v>
      </c>
      <c r="G186" s="155" t="s">
        <v>71</v>
      </c>
      <c r="H186" s="156">
        <v>13970</v>
      </c>
      <c r="I186" s="156">
        <v>32680</v>
      </c>
      <c r="J186" s="156">
        <v>18710</v>
      </c>
    </row>
    <row r="187" spans="1:10" x14ac:dyDescent="0.3">
      <c r="A187" s="147">
        <v>183</v>
      </c>
      <c r="B187" s="153">
        <v>403</v>
      </c>
      <c r="C187" s="154">
        <v>46140</v>
      </c>
      <c r="D187" s="155" t="s">
        <v>571</v>
      </c>
      <c r="E187" s="154">
        <v>46140</v>
      </c>
      <c r="F187" s="155" t="s">
        <v>572</v>
      </c>
      <c r="G187" s="155" t="s">
        <v>143</v>
      </c>
      <c r="H187" s="156">
        <v>13950</v>
      </c>
      <c r="I187" s="156">
        <v>32490</v>
      </c>
      <c r="J187" s="156">
        <v>18540</v>
      </c>
    </row>
    <row r="188" spans="1:10" x14ac:dyDescent="0.3">
      <c r="A188" s="147">
        <v>184</v>
      </c>
      <c r="B188" s="153">
        <v>401</v>
      </c>
      <c r="C188" s="154">
        <v>46140</v>
      </c>
      <c r="D188" s="155" t="s">
        <v>573</v>
      </c>
      <c r="E188" s="154">
        <v>46140</v>
      </c>
      <c r="F188" s="155" t="s">
        <v>574</v>
      </c>
      <c r="G188" s="155" t="s">
        <v>71</v>
      </c>
      <c r="H188" s="156">
        <v>13800</v>
      </c>
      <c r="I188" s="156">
        <v>33110</v>
      </c>
      <c r="J188" s="156">
        <v>19310</v>
      </c>
    </row>
    <row r="189" spans="1:10" x14ac:dyDescent="0.3">
      <c r="A189" s="147">
        <v>185</v>
      </c>
      <c r="B189" s="153">
        <v>30</v>
      </c>
      <c r="C189" s="154">
        <v>46133</v>
      </c>
      <c r="D189" s="155">
        <v>0.35964120370370373</v>
      </c>
      <c r="E189" s="154">
        <v>46133</v>
      </c>
      <c r="F189" s="155">
        <v>0.36447916666666669</v>
      </c>
      <c r="G189" s="155" t="s">
        <v>537</v>
      </c>
      <c r="H189" s="156">
        <v>14000</v>
      </c>
      <c r="I189" s="156">
        <v>32800</v>
      </c>
      <c r="J189" s="156">
        <v>18800</v>
      </c>
    </row>
    <row r="190" spans="1:10" x14ac:dyDescent="0.3">
      <c r="A190" s="147">
        <v>186</v>
      </c>
      <c r="B190" s="153">
        <v>31</v>
      </c>
      <c r="C190" s="154">
        <v>46133</v>
      </c>
      <c r="D190" s="155">
        <v>0.39462962962962961</v>
      </c>
      <c r="E190" s="154">
        <v>46133</v>
      </c>
      <c r="F190" s="155">
        <v>0.39968749999999997</v>
      </c>
      <c r="G190" s="155" t="s">
        <v>143</v>
      </c>
      <c r="H190" s="156">
        <v>13940</v>
      </c>
      <c r="I190" s="156">
        <v>32630</v>
      </c>
      <c r="J190" s="156">
        <v>18690</v>
      </c>
    </row>
    <row r="191" spans="1:10" x14ac:dyDescent="0.3">
      <c r="A191" s="147">
        <v>187</v>
      </c>
      <c r="B191" s="153">
        <v>400</v>
      </c>
      <c r="C191" s="154">
        <v>46140</v>
      </c>
      <c r="D191" s="155" t="s">
        <v>575</v>
      </c>
      <c r="E191" s="154">
        <v>46140</v>
      </c>
      <c r="F191" s="155" t="s">
        <v>576</v>
      </c>
      <c r="G191" s="155" t="s">
        <v>55</v>
      </c>
      <c r="H191" s="156">
        <v>13950</v>
      </c>
      <c r="I191" s="156">
        <v>33900</v>
      </c>
      <c r="J191" s="156">
        <v>19950</v>
      </c>
    </row>
    <row r="192" spans="1:10" x14ac:dyDescent="0.3">
      <c r="A192" s="147">
        <v>188</v>
      </c>
      <c r="B192" s="153">
        <v>397</v>
      </c>
      <c r="C192" s="154">
        <v>46140</v>
      </c>
      <c r="D192" s="155" t="s">
        <v>577</v>
      </c>
      <c r="E192" s="154">
        <v>46140</v>
      </c>
      <c r="F192" s="155" t="s">
        <v>578</v>
      </c>
      <c r="G192" s="155" t="s">
        <v>537</v>
      </c>
      <c r="H192" s="156">
        <v>13930</v>
      </c>
      <c r="I192" s="156">
        <v>35000</v>
      </c>
      <c r="J192" s="156">
        <v>21070</v>
      </c>
    </row>
    <row r="193" spans="1:10" x14ac:dyDescent="0.3">
      <c r="A193" s="147">
        <v>189</v>
      </c>
      <c r="B193" s="153">
        <v>396</v>
      </c>
      <c r="C193" s="154">
        <v>46140</v>
      </c>
      <c r="D193" s="155" t="s">
        <v>579</v>
      </c>
      <c r="E193" s="154">
        <v>46140</v>
      </c>
      <c r="F193" s="155" t="s">
        <v>580</v>
      </c>
      <c r="G193" s="155" t="s">
        <v>540</v>
      </c>
      <c r="H193" s="156">
        <v>13870</v>
      </c>
      <c r="I193" s="156">
        <v>33550</v>
      </c>
      <c r="J193" s="156">
        <v>19680</v>
      </c>
    </row>
    <row r="194" spans="1:10" x14ac:dyDescent="0.3">
      <c r="A194" s="147">
        <v>190</v>
      </c>
      <c r="B194" s="153">
        <v>392</v>
      </c>
      <c r="C194" s="154">
        <v>46140</v>
      </c>
      <c r="D194" s="155" t="s">
        <v>581</v>
      </c>
      <c r="E194" s="154">
        <v>46140</v>
      </c>
      <c r="F194" s="155" t="s">
        <v>582</v>
      </c>
      <c r="G194" s="155" t="s">
        <v>143</v>
      </c>
      <c r="H194" s="156">
        <v>14030</v>
      </c>
      <c r="I194" s="156">
        <v>35270</v>
      </c>
      <c r="J194" s="156">
        <v>21240</v>
      </c>
    </row>
    <row r="195" spans="1:10" x14ac:dyDescent="0.3">
      <c r="A195" s="147">
        <v>191</v>
      </c>
      <c r="B195" s="153">
        <v>391</v>
      </c>
      <c r="C195" s="154">
        <v>46140</v>
      </c>
      <c r="D195" s="155" t="s">
        <v>583</v>
      </c>
      <c r="E195" s="154">
        <v>46140</v>
      </c>
      <c r="F195" s="155" t="s">
        <v>584</v>
      </c>
      <c r="G195" s="155" t="s">
        <v>71</v>
      </c>
      <c r="H195" s="156">
        <v>13820</v>
      </c>
      <c r="I195" s="156">
        <v>33860</v>
      </c>
      <c r="J195" s="156">
        <v>20040</v>
      </c>
    </row>
    <row r="196" spans="1:10" x14ac:dyDescent="0.3">
      <c r="A196" s="147">
        <v>192</v>
      </c>
      <c r="B196" s="153">
        <v>37</v>
      </c>
      <c r="C196" s="154">
        <v>46133</v>
      </c>
      <c r="D196" s="155">
        <v>0.47412037037037036</v>
      </c>
      <c r="E196" s="154">
        <v>46133</v>
      </c>
      <c r="F196" s="155">
        <v>0.48116898148148146</v>
      </c>
      <c r="G196" s="155" t="s">
        <v>71</v>
      </c>
      <c r="H196" s="156">
        <v>13940</v>
      </c>
      <c r="I196" s="156">
        <v>32390</v>
      </c>
      <c r="J196" s="156">
        <v>18450</v>
      </c>
    </row>
    <row r="197" spans="1:10" x14ac:dyDescent="0.3">
      <c r="A197" s="147">
        <v>193</v>
      </c>
      <c r="B197" s="153">
        <v>389</v>
      </c>
      <c r="C197" s="154">
        <v>46140</v>
      </c>
      <c r="D197" s="155" t="s">
        <v>585</v>
      </c>
      <c r="E197" s="154">
        <v>46140</v>
      </c>
      <c r="F197" s="155" t="s">
        <v>586</v>
      </c>
      <c r="G197" s="155" t="s">
        <v>55</v>
      </c>
      <c r="H197" s="156">
        <v>13970</v>
      </c>
      <c r="I197" s="156">
        <v>33960</v>
      </c>
      <c r="J197" s="156">
        <v>19990</v>
      </c>
    </row>
    <row r="198" spans="1:10" x14ac:dyDescent="0.3">
      <c r="A198" s="147">
        <v>194</v>
      </c>
      <c r="B198" s="153">
        <v>385</v>
      </c>
      <c r="C198" s="154">
        <v>46140</v>
      </c>
      <c r="D198" s="155" t="s">
        <v>587</v>
      </c>
      <c r="E198" s="154">
        <v>46140</v>
      </c>
      <c r="F198" s="155" t="s">
        <v>588</v>
      </c>
      <c r="G198" s="155" t="s">
        <v>537</v>
      </c>
      <c r="H198" s="156">
        <v>13950</v>
      </c>
      <c r="I198" s="156">
        <v>33710</v>
      </c>
      <c r="J198" s="156">
        <v>19760</v>
      </c>
    </row>
    <row r="199" spans="1:10" x14ac:dyDescent="0.3">
      <c r="A199" s="147">
        <v>195</v>
      </c>
      <c r="B199" s="153">
        <v>40</v>
      </c>
      <c r="C199" s="154">
        <v>46133</v>
      </c>
      <c r="D199" s="155">
        <v>0.49546296296296294</v>
      </c>
      <c r="E199" s="154">
        <v>46133</v>
      </c>
      <c r="F199" s="155">
        <v>0.49988425925925928</v>
      </c>
      <c r="G199" s="155" t="s">
        <v>537</v>
      </c>
      <c r="H199" s="156">
        <v>13960</v>
      </c>
      <c r="I199" s="156">
        <v>31240</v>
      </c>
      <c r="J199" s="156">
        <v>17280</v>
      </c>
    </row>
    <row r="200" spans="1:10" x14ac:dyDescent="0.3">
      <c r="A200" s="147">
        <v>196</v>
      </c>
      <c r="B200" s="153">
        <v>41</v>
      </c>
      <c r="C200" s="154">
        <v>46133</v>
      </c>
      <c r="D200" s="155">
        <v>0.51983796296296292</v>
      </c>
      <c r="E200" s="154">
        <v>46133</v>
      </c>
      <c r="F200" s="155">
        <v>0.5245023148148148</v>
      </c>
      <c r="G200" s="155" t="s">
        <v>143</v>
      </c>
      <c r="H200" s="156">
        <v>13910</v>
      </c>
      <c r="I200" s="156">
        <v>31460</v>
      </c>
      <c r="J200" s="156">
        <v>17550</v>
      </c>
    </row>
    <row r="201" spans="1:10" x14ac:dyDescent="0.3">
      <c r="A201" s="147">
        <v>197</v>
      </c>
      <c r="B201" s="153">
        <v>383</v>
      </c>
      <c r="C201" s="154">
        <v>46139</v>
      </c>
      <c r="D201" s="155" t="s">
        <v>589</v>
      </c>
      <c r="E201" s="154">
        <v>46139</v>
      </c>
      <c r="F201" s="155" t="s">
        <v>590</v>
      </c>
      <c r="G201" s="155" t="s">
        <v>143</v>
      </c>
      <c r="H201" s="156">
        <v>14030</v>
      </c>
      <c r="I201" s="156">
        <v>34440</v>
      </c>
      <c r="J201" s="156">
        <v>20410</v>
      </c>
    </row>
    <row r="202" spans="1:10" x14ac:dyDescent="0.3">
      <c r="A202" s="147">
        <v>198</v>
      </c>
      <c r="B202" s="153">
        <v>381</v>
      </c>
      <c r="C202" s="154">
        <v>46139</v>
      </c>
      <c r="D202" s="155" t="s">
        <v>591</v>
      </c>
      <c r="E202" s="154">
        <v>46139</v>
      </c>
      <c r="F202" s="155" t="s">
        <v>592</v>
      </c>
      <c r="G202" s="155" t="s">
        <v>71</v>
      </c>
      <c r="H202" s="156">
        <v>13860</v>
      </c>
      <c r="I202" s="156">
        <v>35320</v>
      </c>
      <c r="J202" s="156">
        <v>21460</v>
      </c>
    </row>
    <row r="203" spans="1:10" x14ac:dyDescent="0.3">
      <c r="A203" s="147">
        <v>199</v>
      </c>
      <c r="B203" s="153">
        <v>375</v>
      </c>
      <c r="C203" s="154">
        <v>46139</v>
      </c>
      <c r="D203" s="155" t="s">
        <v>593</v>
      </c>
      <c r="E203" s="154">
        <v>46139</v>
      </c>
      <c r="F203" s="155" t="s">
        <v>594</v>
      </c>
      <c r="G203" s="155" t="s">
        <v>540</v>
      </c>
      <c r="H203" s="156">
        <v>13890</v>
      </c>
      <c r="I203" s="156">
        <v>34420</v>
      </c>
      <c r="J203" s="156">
        <v>20530</v>
      </c>
    </row>
    <row r="204" spans="1:10" x14ac:dyDescent="0.3">
      <c r="A204" s="147">
        <v>200</v>
      </c>
      <c r="B204" s="153">
        <v>374</v>
      </c>
      <c r="C204" s="154">
        <v>46139</v>
      </c>
      <c r="D204" s="155" t="s">
        <v>595</v>
      </c>
      <c r="E204" s="154">
        <v>46139</v>
      </c>
      <c r="F204" s="155" t="s">
        <v>596</v>
      </c>
      <c r="G204" s="155" t="s">
        <v>537</v>
      </c>
      <c r="H204" s="156">
        <v>14020</v>
      </c>
      <c r="I204" s="156">
        <v>34710</v>
      </c>
      <c r="J204" s="156">
        <v>20690</v>
      </c>
    </row>
    <row r="205" spans="1:10" x14ac:dyDescent="0.3">
      <c r="A205" s="147">
        <v>201</v>
      </c>
      <c r="B205" s="153">
        <v>372</v>
      </c>
      <c r="C205" s="154">
        <v>46139</v>
      </c>
      <c r="D205" s="155" t="s">
        <v>597</v>
      </c>
      <c r="E205" s="154">
        <v>46139</v>
      </c>
      <c r="F205" s="155" t="s">
        <v>598</v>
      </c>
      <c r="G205" s="155" t="s">
        <v>143</v>
      </c>
      <c r="H205" s="156">
        <v>14040</v>
      </c>
      <c r="I205" s="156">
        <v>34080</v>
      </c>
      <c r="J205" s="156">
        <v>20040</v>
      </c>
    </row>
    <row r="206" spans="1:10" x14ac:dyDescent="0.3">
      <c r="A206" s="147">
        <v>202</v>
      </c>
      <c r="B206" s="153">
        <v>47</v>
      </c>
      <c r="C206" s="154">
        <v>46133</v>
      </c>
      <c r="D206" s="155">
        <v>0.58680555555555558</v>
      </c>
      <c r="E206" s="154">
        <v>46133</v>
      </c>
      <c r="F206" s="155">
        <v>0.59188657407407408</v>
      </c>
      <c r="G206" s="155" t="s">
        <v>71</v>
      </c>
      <c r="H206" s="156">
        <v>13910</v>
      </c>
      <c r="I206" s="156">
        <v>31400</v>
      </c>
      <c r="J206" s="156">
        <v>17490</v>
      </c>
    </row>
    <row r="207" spans="1:10" x14ac:dyDescent="0.3">
      <c r="A207" s="147">
        <v>203</v>
      </c>
      <c r="B207" s="153">
        <v>365</v>
      </c>
      <c r="C207" s="154">
        <v>46139</v>
      </c>
      <c r="D207" s="155" t="s">
        <v>599</v>
      </c>
      <c r="E207" s="154">
        <v>46139</v>
      </c>
      <c r="F207" s="155" t="s">
        <v>600</v>
      </c>
      <c r="G207" s="155" t="s">
        <v>537</v>
      </c>
      <c r="H207" s="156">
        <v>14020</v>
      </c>
      <c r="I207" s="156">
        <v>35340</v>
      </c>
      <c r="J207" s="156">
        <v>21320</v>
      </c>
    </row>
    <row r="208" spans="1:10" x14ac:dyDescent="0.3">
      <c r="A208" s="147">
        <v>204</v>
      </c>
      <c r="B208" s="153">
        <v>364</v>
      </c>
      <c r="C208" s="154">
        <v>46139</v>
      </c>
      <c r="D208" s="155" t="s">
        <v>601</v>
      </c>
      <c r="E208" s="154">
        <v>46139</v>
      </c>
      <c r="F208" s="155" t="s">
        <v>602</v>
      </c>
      <c r="G208" s="155" t="s">
        <v>71</v>
      </c>
      <c r="H208" s="156">
        <v>13860</v>
      </c>
      <c r="I208" s="156">
        <v>34430</v>
      </c>
      <c r="J208" s="156">
        <v>20570</v>
      </c>
    </row>
    <row r="209" spans="1:10" x14ac:dyDescent="0.3">
      <c r="A209" s="147">
        <v>205</v>
      </c>
      <c r="B209" s="153">
        <v>50</v>
      </c>
      <c r="C209" s="154">
        <v>46133</v>
      </c>
      <c r="D209" s="155">
        <v>0.62293981481481486</v>
      </c>
      <c r="E209" s="154">
        <v>46133</v>
      </c>
      <c r="F209" s="155">
        <v>0.62716435185185182</v>
      </c>
      <c r="G209" s="155" t="s">
        <v>537</v>
      </c>
      <c r="H209" s="156">
        <v>13960</v>
      </c>
      <c r="I209" s="156">
        <v>31500</v>
      </c>
      <c r="J209" s="156">
        <v>17540</v>
      </c>
    </row>
    <row r="210" spans="1:10" x14ac:dyDescent="0.3">
      <c r="A210" s="147">
        <v>206</v>
      </c>
      <c r="B210" s="153">
        <v>51</v>
      </c>
      <c r="C210" s="154">
        <v>46133</v>
      </c>
      <c r="D210" s="155">
        <v>0.6447222222222222</v>
      </c>
      <c r="E210" s="154">
        <v>46133</v>
      </c>
      <c r="F210" s="155">
        <v>0.64957175925925925</v>
      </c>
      <c r="G210" s="155" t="s">
        <v>143</v>
      </c>
      <c r="H210" s="156">
        <v>13890</v>
      </c>
      <c r="I210" s="156">
        <v>33040</v>
      </c>
      <c r="J210" s="156">
        <v>19150</v>
      </c>
    </row>
    <row r="211" spans="1:10" x14ac:dyDescent="0.3">
      <c r="A211" s="147">
        <v>207</v>
      </c>
      <c r="B211" s="153">
        <v>362</v>
      </c>
      <c r="C211" s="154">
        <v>46139</v>
      </c>
      <c r="D211" s="155" t="s">
        <v>603</v>
      </c>
      <c r="E211" s="154">
        <v>46139</v>
      </c>
      <c r="F211" s="155" t="s">
        <v>604</v>
      </c>
      <c r="G211" s="155" t="s">
        <v>143</v>
      </c>
      <c r="H211" s="156">
        <v>13810</v>
      </c>
      <c r="I211" s="156">
        <v>34450</v>
      </c>
      <c r="J211" s="156">
        <v>20640</v>
      </c>
    </row>
    <row r="212" spans="1:10" x14ac:dyDescent="0.3">
      <c r="A212" s="147">
        <v>208</v>
      </c>
      <c r="B212" s="153">
        <v>354</v>
      </c>
      <c r="C212" s="154">
        <v>46139</v>
      </c>
      <c r="D212" s="155" t="s">
        <v>605</v>
      </c>
      <c r="E212" s="154">
        <v>46139</v>
      </c>
      <c r="F212" s="155" t="s">
        <v>606</v>
      </c>
      <c r="G212" s="155" t="s">
        <v>537</v>
      </c>
      <c r="H212" s="156">
        <v>14050</v>
      </c>
      <c r="I212" s="156">
        <v>34590</v>
      </c>
      <c r="J212" s="156">
        <v>20540</v>
      </c>
    </row>
    <row r="213" spans="1:10" x14ac:dyDescent="0.3">
      <c r="A213" s="147">
        <v>209</v>
      </c>
      <c r="B213" s="153">
        <v>54</v>
      </c>
      <c r="C213" s="154">
        <v>46133</v>
      </c>
      <c r="D213" s="155">
        <v>0.70542824074074073</v>
      </c>
      <c r="E213" s="154">
        <v>46133</v>
      </c>
      <c r="F213" s="155">
        <v>0.71065972222222218</v>
      </c>
      <c r="G213" s="155" t="s">
        <v>71</v>
      </c>
      <c r="H213" s="156">
        <v>13880</v>
      </c>
      <c r="I213" s="156">
        <v>33770</v>
      </c>
      <c r="J213" s="156">
        <v>19890</v>
      </c>
    </row>
    <row r="214" spans="1:10" x14ac:dyDescent="0.3">
      <c r="A214" s="147">
        <v>210</v>
      </c>
      <c r="B214" s="153">
        <v>353</v>
      </c>
      <c r="C214" s="154">
        <v>46139</v>
      </c>
      <c r="D214" s="155" t="s">
        <v>607</v>
      </c>
      <c r="E214" s="154">
        <v>46139</v>
      </c>
      <c r="F214" s="155" t="s">
        <v>608</v>
      </c>
      <c r="G214" s="155" t="s">
        <v>71</v>
      </c>
      <c r="H214" s="156">
        <v>13910</v>
      </c>
      <c r="I214" s="156">
        <v>33900</v>
      </c>
      <c r="J214" s="156">
        <v>19990</v>
      </c>
    </row>
    <row r="215" spans="1:10" x14ac:dyDescent="0.3">
      <c r="A215" s="147">
        <v>211</v>
      </c>
      <c r="B215" s="153">
        <v>351</v>
      </c>
      <c r="C215" s="154">
        <v>46139</v>
      </c>
      <c r="D215" s="155" t="s">
        <v>609</v>
      </c>
      <c r="E215" s="154">
        <v>46139</v>
      </c>
      <c r="F215" s="155" t="s">
        <v>610</v>
      </c>
      <c r="G215" s="155" t="s">
        <v>143</v>
      </c>
      <c r="H215" s="156">
        <v>13820</v>
      </c>
      <c r="I215" s="156">
        <v>33820</v>
      </c>
      <c r="J215" s="156">
        <v>20000</v>
      </c>
    </row>
    <row r="216" spans="1:10" x14ac:dyDescent="0.3">
      <c r="A216" s="147">
        <v>212</v>
      </c>
      <c r="B216" s="153">
        <v>345</v>
      </c>
      <c r="C216" s="154">
        <v>46139</v>
      </c>
      <c r="D216" s="155" t="s">
        <v>611</v>
      </c>
      <c r="E216" s="154">
        <v>46139</v>
      </c>
      <c r="F216" s="155" t="s">
        <v>612</v>
      </c>
      <c r="G216" s="155" t="s">
        <v>537</v>
      </c>
      <c r="H216" s="156">
        <v>13870</v>
      </c>
      <c r="I216" s="156">
        <v>33210</v>
      </c>
      <c r="J216" s="156">
        <v>19340</v>
      </c>
    </row>
    <row r="217" spans="1:10" x14ac:dyDescent="0.3">
      <c r="A217" s="147">
        <v>213</v>
      </c>
      <c r="B217" s="153">
        <v>58</v>
      </c>
      <c r="C217" s="154">
        <v>46133</v>
      </c>
      <c r="D217" s="155">
        <v>0.76298611111111114</v>
      </c>
      <c r="E217" s="154">
        <v>46133</v>
      </c>
      <c r="F217" s="155">
        <v>0.76993055555555556</v>
      </c>
      <c r="G217" s="155" t="s">
        <v>537</v>
      </c>
      <c r="H217" s="156">
        <v>13970</v>
      </c>
      <c r="I217" s="156">
        <v>32750</v>
      </c>
      <c r="J217" s="156">
        <v>18780</v>
      </c>
    </row>
    <row r="218" spans="1:10" x14ac:dyDescent="0.3">
      <c r="A218" s="147">
        <v>214</v>
      </c>
      <c r="B218" s="153">
        <v>339</v>
      </c>
      <c r="C218" s="154">
        <v>46137</v>
      </c>
      <c r="D218" s="155" t="s">
        <v>613</v>
      </c>
      <c r="E218" s="154">
        <v>46137</v>
      </c>
      <c r="F218" s="155" t="s">
        <v>614</v>
      </c>
      <c r="G218" s="155" t="s">
        <v>143</v>
      </c>
      <c r="H218" s="156">
        <v>13870</v>
      </c>
      <c r="I218" s="156">
        <v>33870</v>
      </c>
      <c r="J218" s="156">
        <v>20000</v>
      </c>
    </row>
    <row r="219" spans="1:10" x14ac:dyDescent="0.3">
      <c r="A219" s="147">
        <v>215</v>
      </c>
      <c r="B219" s="153">
        <v>337</v>
      </c>
      <c r="C219" s="154">
        <v>46137</v>
      </c>
      <c r="D219" s="155" t="s">
        <v>615</v>
      </c>
      <c r="E219" s="154">
        <v>46137</v>
      </c>
      <c r="F219" s="155" t="s">
        <v>616</v>
      </c>
      <c r="G219" s="155" t="s">
        <v>71</v>
      </c>
      <c r="H219" s="156">
        <v>13920</v>
      </c>
      <c r="I219" s="156">
        <v>33210</v>
      </c>
      <c r="J219" s="156">
        <v>19290</v>
      </c>
    </row>
    <row r="220" spans="1:10" x14ac:dyDescent="0.3">
      <c r="A220" s="147">
        <v>216</v>
      </c>
      <c r="B220" s="153">
        <v>336</v>
      </c>
      <c r="C220" s="154">
        <v>46137</v>
      </c>
      <c r="D220" s="155" t="s">
        <v>617</v>
      </c>
      <c r="E220" s="154">
        <v>46137</v>
      </c>
      <c r="F220" s="155" t="s">
        <v>618</v>
      </c>
      <c r="G220" s="155" t="s">
        <v>71</v>
      </c>
      <c r="H220" s="156">
        <v>13950</v>
      </c>
      <c r="I220" s="156">
        <v>33380</v>
      </c>
      <c r="J220" s="156">
        <v>19430</v>
      </c>
    </row>
    <row r="221" spans="1:10" x14ac:dyDescent="0.3">
      <c r="A221" s="147">
        <v>217</v>
      </c>
      <c r="B221" s="153">
        <v>62</v>
      </c>
      <c r="C221" s="154">
        <v>46134</v>
      </c>
      <c r="D221" s="155">
        <v>4.234953703703704E-2</v>
      </c>
      <c r="E221" s="154">
        <v>46134</v>
      </c>
      <c r="F221" s="155">
        <v>5.9479166666666666E-2</v>
      </c>
      <c r="G221" s="155" t="s">
        <v>537</v>
      </c>
      <c r="H221" s="156">
        <v>13870</v>
      </c>
      <c r="I221" s="156">
        <v>33320</v>
      </c>
      <c r="J221" s="156">
        <v>19450</v>
      </c>
    </row>
    <row r="222" spans="1:10" x14ac:dyDescent="0.3">
      <c r="A222" s="147">
        <v>218</v>
      </c>
      <c r="B222" s="153">
        <v>335</v>
      </c>
      <c r="C222" s="154">
        <v>46137</v>
      </c>
      <c r="D222" s="155" t="s">
        <v>619</v>
      </c>
      <c r="E222" s="154">
        <v>46137</v>
      </c>
      <c r="F222" s="155" t="s">
        <v>620</v>
      </c>
      <c r="G222" s="155" t="s">
        <v>537</v>
      </c>
      <c r="H222" s="156">
        <v>13950</v>
      </c>
      <c r="I222" s="156">
        <v>32600</v>
      </c>
      <c r="J222" s="156">
        <v>18650</v>
      </c>
    </row>
    <row r="223" spans="1:10" x14ac:dyDescent="0.3">
      <c r="A223" s="147">
        <v>219</v>
      </c>
      <c r="B223" s="153">
        <v>328</v>
      </c>
      <c r="C223" s="154">
        <v>46137</v>
      </c>
      <c r="D223" s="155" t="s">
        <v>621</v>
      </c>
      <c r="E223" s="154">
        <v>46137</v>
      </c>
      <c r="F223" s="155" t="s">
        <v>622</v>
      </c>
      <c r="G223" s="155" t="s">
        <v>143</v>
      </c>
      <c r="H223" s="156">
        <v>13860</v>
      </c>
      <c r="I223" s="156">
        <v>33940</v>
      </c>
      <c r="J223" s="156">
        <v>20080</v>
      </c>
    </row>
    <row r="224" spans="1:10" x14ac:dyDescent="0.3">
      <c r="A224" s="147">
        <v>220</v>
      </c>
      <c r="B224" s="153">
        <v>326</v>
      </c>
      <c r="C224" s="154">
        <v>46137</v>
      </c>
      <c r="D224" s="155" t="s">
        <v>623</v>
      </c>
      <c r="E224" s="154">
        <v>46137</v>
      </c>
      <c r="F224" s="155" t="s">
        <v>624</v>
      </c>
      <c r="G224" s="155" t="s">
        <v>537</v>
      </c>
      <c r="H224" s="156">
        <v>13940</v>
      </c>
      <c r="I224" s="156">
        <v>33670</v>
      </c>
      <c r="J224" s="156">
        <v>19730</v>
      </c>
    </row>
    <row r="225" spans="1:10" x14ac:dyDescent="0.3">
      <c r="A225" s="147">
        <v>221</v>
      </c>
      <c r="B225" s="153">
        <v>66</v>
      </c>
      <c r="C225" s="154">
        <v>46134</v>
      </c>
      <c r="D225" s="155">
        <v>4.3842592592592593E-2</v>
      </c>
      <c r="E225" s="154">
        <v>46134</v>
      </c>
      <c r="F225" s="155">
        <v>8.3587962962962961E-2</v>
      </c>
      <c r="G225" s="155" t="s">
        <v>143</v>
      </c>
      <c r="H225" s="156">
        <v>13870</v>
      </c>
      <c r="I225" s="156">
        <v>33040</v>
      </c>
      <c r="J225" s="156">
        <v>19170</v>
      </c>
    </row>
    <row r="226" spans="1:10" x14ac:dyDescent="0.3">
      <c r="A226" s="147">
        <v>222</v>
      </c>
      <c r="B226" s="153">
        <v>319</v>
      </c>
      <c r="C226" s="154">
        <v>46137</v>
      </c>
      <c r="D226" s="155" t="s">
        <v>625</v>
      </c>
      <c r="E226" s="154">
        <v>46137</v>
      </c>
      <c r="F226" s="155" t="s">
        <v>626</v>
      </c>
      <c r="G226" s="155" t="s">
        <v>143</v>
      </c>
      <c r="H226" s="156">
        <v>13960</v>
      </c>
      <c r="I226" s="156">
        <v>34350</v>
      </c>
      <c r="J226" s="156">
        <v>20390</v>
      </c>
    </row>
    <row r="227" spans="1:10" x14ac:dyDescent="0.3">
      <c r="A227" s="147">
        <v>223</v>
      </c>
      <c r="B227" s="153">
        <v>318</v>
      </c>
      <c r="C227" s="154">
        <v>46137</v>
      </c>
      <c r="D227" s="155" t="s">
        <v>627</v>
      </c>
      <c r="E227" s="154">
        <v>46137</v>
      </c>
      <c r="F227" s="155" t="s">
        <v>628</v>
      </c>
      <c r="G227" s="155" t="s">
        <v>71</v>
      </c>
      <c r="H227" s="156">
        <v>13970</v>
      </c>
      <c r="I227" s="156">
        <v>32440</v>
      </c>
      <c r="J227" s="156">
        <v>18470</v>
      </c>
    </row>
    <row r="228" spans="1:10" x14ac:dyDescent="0.3">
      <c r="A228" s="147">
        <v>224</v>
      </c>
      <c r="B228" s="153">
        <v>316</v>
      </c>
      <c r="C228" s="154">
        <v>46137</v>
      </c>
      <c r="D228" s="155" t="s">
        <v>629</v>
      </c>
      <c r="E228" s="154">
        <v>46137</v>
      </c>
      <c r="F228" s="155" t="s">
        <v>630</v>
      </c>
      <c r="G228" s="155" t="s">
        <v>537</v>
      </c>
      <c r="H228" s="156">
        <v>13990</v>
      </c>
      <c r="I228" s="156">
        <v>34160</v>
      </c>
      <c r="J228" s="156">
        <v>20170</v>
      </c>
    </row>
    <row r="229" spans="1:10" x14ac:dyDescent="0.3">
      <c r="A229" s="147">
        <v>225</v>
      </c>
      <c r="B229" s="153">
        <v>70</v>
      </c>
      <c r="C229" s="154">
        <v>46134</v>
      </c>
      <c r="D229" s="155">
        <v>7.6446759259259256E-2</v>
      </c>
      <c r="E229" s="154">
        <v>46134</v>
      </c>
      <c r="F229" s="155">
        <v>0.10552083333333333</v>
      </c>
      <c r="G229" s="155" t="s">
        <v>71</v>
      </c>
      <c r="H229" s="156">
        <v>13860</v>
      </c>
      <c r="I229" s="156">
        <v>33480</v>
      </c>
      <c r="J229" s="156">
        <v>19620</v>
      </c>
    </row>
    <row r="230" spans="1:10" x14ac:dyDescent="0.3">
      <c r="A230" s="147">
        <v>226</v>
      </c>
      <c r="B230" s="153">
        <v>310</v>
      </c>
      <c r="C230" s="154">
        <v>46137</v>
      </c>
      <c r="D230" s="155" t="s">
        <v>631</v>
      </c>
      <c r="E230" s="154">
        <v>46137</v>
      </c>
      <c r="F230" s="155" t="s">
        <v>632</v>
      </c>
      <c r="G230" s="155" t="s">
        <v>143</v>
      </c>
      <c r="H230" s="156">
        <v>13950</v>
      </c>
      <c r="I230" s="156">
        <v>33640</v>
      </c>
      <c r="J230" s="156">
        <v>19690</v>
      </c>
    </row>
    <row r="231" spans="1:10" x14ac:dyDescent="0.3">
      <c r="A231" s="147">
        <v>227</v>
      </c>
      <c r="B231" s="153">
        <v>72</v>
      </c>
      <c r="C231" s="154">
        <v>46134</v>
      </c>
      <c r="D231" s="155">
        <v>0.16798611111111111</v>
      </c>
      <c r="E231" s="154">
        <v>46134</v>
      </c>
      <c r="F231" s="155">
        <v>0.17516203703703703</v>
      </c>
      <c r="G231" s="155" t="s">
        <v>537</v>
      </c>
      <c r="H231" s="156">
        <v>13940</v>
      </c>
      <c r="I231" s="156">
        <v>31900</v>
      </c>
      <c r="J231" s="156">
        <v>17960</v>
      </c>
    </row>
    <row r="232" spans="1:10" x14ac:dyDescent="0.3">
      <c r="A232" s="147">
        <v>228</v>
      </c>
      <c r="B232" s="153">
        <v>308</v>
      </c>
      <c r="C232" s="154">
        <v>46137</v>
      </c>
      <c r="D232" s="155" t="s">
        <v>633</v>
      </c>
      <c r="E232" s="154">
        <v>46137</v>
      </c>
      <c r="F232" s="155" t="s">
        <v>634</v>
      </c>
      <c r="G232" s="155" t="s">
        <v>71</v>
      </c>
      <c r="H232" s="156">
        <v>14030</v>
      </c>
      <c r="I232" s="156">
        <v>32730</v>
      </c>
      <c r="J232" s="156">
        <v>18700</v>
      </c>
    </row>
    <row r="233" spans="1:10" x14ac:dyDescent="0.3">
      <c r="A233" s="147">
        <v>229</v>
      </c>
      <c r="B233" s="153">
        <v>306</v>
      </c>
      <c r="C233" s="154">
        <v>46137</v>
      </c>
      <c r="D233" s="155" t="s">
        <v>635</v>
      </c>
      <c r="E233" s="154">
        <v>46137</v>
      </c>
      <c r="F233" s="155" t="s">
        <v>636</v>
      </c>
      <c r="G233" s="155" t="s">
        <v>537</v>
      </c>
      <c r="H233" s="156">
        <v>14000</v>
      </c>
      <c r="I233" s="156">
        <v>33210</v>
      </c>
      <c r="J233" s="156">
        <v>19210</v>
      </c>
    </row>
    <row r="234" spans="1:10" x14ac:dyDescent="0.3">
      <c r="A234" s="147">
        <v>230</v>
      </c>
      <c r="B234" s="153">
        <v>75</v>
      </c>
      <c r="C234" s="154">
        <v>46134</v>
      </c>
      <c r="D234" s="155">
        <v>0.20386574074074074</v>
      </c>
      <c r="E234" s="154">
        <v>46134</v>
      </c>
      <c r="F234" s="155">
        <v>0.21486111111111111</v>
      </c>
      <c r="G234" s="155" t="s">
        <v>143</v>
      </c>
      <c r="H234" s="156">
        <v>13860</v>
      </c>
      <c r="I234" s="156">
        <v>31620</v>
      </c>
      <c r="J234" s="156">
        <v>17760</v>
      </c>
    </row>
    <row r="235" spans="1:10" x14ac:dyDescent="0.3">
      <c r="A235" s="147">
        <v>231</v>
      </c>
      <c r="B235" s="153">
        <v>300</v>
      </c>
      <c r="C235" s="154">
        <v>46137</v>
      </c>
      <c r="D235" s="155" t="s">
        <v>637</v>
      </c>
      <c r="E235" s="154">
        <v>46137</v>
      </c>
      <c r="F235" s="155" t="s">
        <v>638</v>
      </c>
      <c r="G235" s="155" t="s">
        <v>143</v>
      </c>
      <c r="H235" s="156">
        <v>13990</v>
      </c>
      <c r="I235" s="156">
        <v>33270</v>
      </c>
      <c r="J235" s="156">
        <v>19280</v>
      </c>
    </row>
    <row r="236" spans="1:10" x14ac:dyDescent="0.3">
      <c r="A236" s="147">
        <v>232</v>
      </c>
      <c r="B236" s="153">
        <v>299</v>
      </c>
      <c r="C236" s="154">
        <v>46137</v>
      </c>
      <c r="D236" s="155" t="s">
        <v>639</v>
      </c>
      <c r="E236" s="154">
        <v>46137</v>
      </c>
      <c r="F236" s="155" t="s">
        <v>640</v>
      </c>
      <c r="G236" s="155" t="s">
        <v>71</v>
      </c>
      <c r="H236" s="156">
        <v>13830</v>
      </c>
      <c r="I236" s="156">
        <v>32280</v>
      </c>
      <c r="J236" s="156">
        <v>18450</v>
      </c>
    </row>
    <row r="237" spans="1:10" x14ac:dyDescent="0.3">
      <c r="A237" s="147">
        <v>233</v>
      </c>
      <c r="B237" s="153">
        <v>296</v>
      </c>
      <c r="C237" s="154">
        <v>46137</v>
      </c>
      <c r="D237" s="155" t="s">
        <v>641</v>
      </c>
      <c r="E237" s="154">
        <v>46137</v>
      </c>
      <c r="F237" s="155" t="s">
        <v>642</v>
      </c>
      <c r="G237" s="155" t="s">
        <v>537</v>
      </c>
      <c r="H237" s="156">
        <v>14010</v>
      </c>
      <c r="I237" s="156">
        <v>33020</v>
      </c>
      <c r="J237" s="156">
        <v>19010</v>
      </c>
    </row>
    <row r="238" spans="1:10" x14ac:dyDescent="0.3">
      <c r="A238" s="147">
        <v>234</v>
      </c>
      <c r="B238" s="153">
        <v>290</v>
      </c>
      <c r="C238" s="154">
        <v>46137</v>
      </c>
      <c r="D238" s="155" t="s">
        <v>643</v>
      </c>
      <c r="E238" s="154">
        <v>46137</v>
      </c>
      <c r="F238" s="155" t="s">
        <v>644</v>
      </c>
      <c r="G238" s="155" t="s">
        <v>143</v>
      </c>
      <c r="H238" s="156">
        <v>14170</v>
      </c>
      <c r="I238" s="156">
        <v>33290</v>
      </c>
      <c r="J238" s="156">
        <v>19120</v>
      </c>
    </row>
    <row r="239" spans="1:10" x14ac:dyDescent="0.3">
      <c r="A239" s="147">
        <v>235</v>
      </c>
      <c r="B239" s="153">
        <v>80</v>
      </c>
      <c r="C239" s="154">
        <v>46134</v>
      </c>
      <c r="D239" s="155">
        <v>0.23895833333333333</v>
      </c>
      <c r="E239" s="154">
        <v>46134</v>
      </c>
      <c r="F239" s="155">
        <v>0.24737268518518518</v>
      </c>
      <c r="G239" s="155" t="s">
        <v>71</v>
      </c>
      <c r="H239" s="156">
        <v>13930</v>
      </c>
      <c r="I239" s="156">
        <v>34020</v>
      </c>
      <c r="J239" s="156">
        <v>20090</v>
      </c>
    </row>
    <row r="240" spans="1:10" x14ac:dyDescent="0.3">
      <c r="A240" s="147">
        <v>236</v>
      </c>
      <c r="B240" s="153">
        <v>289</v>
      </c>
      <c r="C240" s="154">
        <v>46137</v>
      </c>
      <c r="D240" s="155" t="s">
        <v>645</v>
      </c>
      <c r="E240" s="154">
        <v>46137</v>
      </c>
      <c r="F240" s="155" t="s">
        <v>646</v>
      </c>
      <c r="G240" s="155" t="s">
        <v>71</v>
      </c>
      <c r="H240" s="156">
        <v>13860</v>
      </c>
      <c r="I240" s="156">
        <v>33100</v>
      </c>
      <c r="J240" s="156">
        <v>19240</v>
      </c>
    </row>
    <row r="241" spans="1:10" x14ac:dyDescent="0.3">
      <c r="A241" s="147">
        <v>237</v>
      </c>
      <c r="B241" s="153">
        <v>286</v>
      </c>
      <c r="C241" s="154">
        <v>46137</v>
      </c>
      <c r="D241" s="155" t="s">
        <v>647</v>
      </c>
      <c r="E241" s="154">
        <v>46137</v>
      </c>
      <c r="F241" s="155" t="s">
        <v>648</v>
      </c>
      <c r="G241" s="155" t="s">
        <v>537</v>
      </c>
      <c r="H241" s="156">
        <v>14060</v>
      </c>
      <c r="I241" s="156">
        <v>32730</v>
      </c>
      <c r="J241" s="156">
        <v>18670</v>
      </c>
    </row>
    <row r="242" spans="1:10" x14ac:dyDescent="0.3">
      <c r="A242" s="147">
        <v>238</v>
      </c>
      <c r="B242" s="153">
        <v>83</v>
      </c>
      <c r="C242" s="154">
        <v>46134</v>
      </c>
      <c r="D242" s="155">
        <v>0.30693287037037037</v>
      </c>
      <c r="E242" s="154">
        <v>46134</v>
      </c>
      <c r="F242" s="155">
        <v>0.31739583333333332</v>
      </c>
      <c r="G242" s="155" t="s">
        <v>537</v>
      </c>
      <c r="H242" s="156">
        <v>14040</v>
      </c>
      <c r="I242" s="156">
        <v>31200</v>
      </c>
      <c r="J242" s="156">
        <v>17160</v>
      </c>
    </row>
    <row r="243" spans="1:10" x14ac:dyDescent="0.3">
      <c r="A243" s="147">
        <v>239</v>
      </c>
      <c r="B243" s="153">
        <v>282</v>
      </c>
      <c r="C243" s="154">
        <v>46136</v>
      </c>
      <c r="D243" s="155" t="s">
        <v>649</v>
      </c>
      <c r="E243" s="154">
        <v>46136</v>
      </c>
      <c r="F243" s="155" t="s">
        <v>650</v>
      </c>
      <c r="G243" s="155" t="s">
        <v>71</v>
      </c>
      <c r="H243" s="156">
        <v>13920</v>
      </c>
      <c r="I243" s="156">
        <v>34080</v>
      </c>
      <c r="J243" s="156">
        <v>20160</v>
      </c>
    </row>
    <row r="244" spans="1:10" x14ac:dyDescent="0.3">
      <c r="A244" s="147">
        <v>240</v>
      </c>
      <c r="B244" s="153">
        <v>85</v>
      </c>
      <c r="C244" s="154">
        <v>46134</v>
      </c>
      <c r="D244" s="155">
        <v>0.34749999999999998</v>
      </c>
      <c r="E244" s="154">
        <v>46134</v>
      </c>
      <c r="F244" s="155">
        <v>0.35357638888888887</v>
      </c>
      <c r="G244" s="155" t="s">
        <v>143</v>
      </c>
      <c r="H244" s="156">
        <v>13870</v>
      </c>
      <c r="I244" s="156">
        <v>31890</v>
      </c>
      <c r="J244" s="156">
        <v>18020</v>
      </c>
    </row>
    <row r="245" spans="1:10" x14ac:dyDescent="0.3">
      <c r="A245" s="147">
        <v>241</v>
      </c>
      <c r="B245" s="153">
        <v>281</v>
      </c>
      <c r="C245" s="154">
        <v>46136</v>
      </c>
      <c r="D245" s="155" t="s">
        <v>651</v>
      </c>
      <c r="E245" s="154">
        <v>46136</v>
      </c>
      <c r="F245" s="155" t="s">
        <v>652</v>
      </c>
      <c r="G245" s="155" t="s">
        <v>143</v>
      </c>
      <c r="H245" s="156">
        <v>14050</v>
      </c>
      <c r="I245" s="156">
        <v>34370</v>
      </c>
      <c r="J245" s="156">
        <v>20320</v>
      </c>
    </row>
    <row r="246" spans="1:10" x14ac:dyDescent="0.3">
      <c r="A246" s="147">
        <v>242</v>
      </c>
      <c r="B246" s="153">
        <v>274</v>
      </c>
      <c r="C246" s="154">
        <v>46136</v>
      </c>
      <c r="D246" s="155" t="s">
        <v>653</v>
      </c>
      <c r="E246" s="154">
        <v>46136</v>
      </c>
      <c r="F246" s="155" t="s">
        <v>654</v>
      </c>
      <c r="G246" s="155" t="s">
        <v>537</v>
      </c>
      <c r="H246" s="156">
        <v>13950</v>
      </c>
      <c r="I246" s="156">
        <v>34030</v>
      </c>
      <c r="J246" s="156">
        <v>20080</v>
      </c>
    </row>
    <row r="247" spans="1:10" x14ac:dyDescent="0.3">
      <c r="A247" s="147">
        <v>243</v>
      </c>
      <c r="B247" s="153">
        <v>88</v>
      </c>
      <c r="C247" s="154">
        <v>46134</v>
      </c>
      <c r="D247" s="155">
        <v>0.38559027777777777</v>
      </c>
      <c r="E247" s="154">
        <v>46134</v>
      </c>
      <c r="F247" s="155">
        <v>0.39061342592592591</v>
      </c>
      <c r="G247" s="155" t="s">
        <v>71</v>
      </c>
      <c r="H247" s="156">
        <v>13860</v>
      </c>
      <c r="I247" s="156">
        <v>34040</v>
      </c>
      <c r="J247" s="156">
        <v>20180</v>
      </c>
    </row>
    <row r="248" spans="1:10" x14ac:dyDescent="0.3">
      <c r="A248" s="147">
        <v>244</v>
      </c>
      <c r="B248" s="153">
        <v>272</v>
      </c>
      <c r="C248" s="154">
        <v>46136</v>
      </c>
      <c r="D248" s="155" t="s">
        <v>655</v>
      </c>
      <c r="E248" s="154">
        <v>46136</v>
      </c>
      <c r="F248" s="155" t="s">
        <v>656</v>
      </c>
      <c r="G248" s="155" t="s">
        <v>71</v>
      </c>
      <c r="H248" s="156">
        <v>13920</v>
      </c>
      <c r="I248" s="156">
        <v>34710</v>
      </c>
      <c r="J248" s="156">
        <v>20790</v>
      </c>
    </row>
    <row r="249" spans="1:10" x14ac:dyDescent="0.3">
      <c r="A249" s="147">
        <v>245</v>
      </c>
      <c r="B249" s="153">
        <v>271</v>
      </c>
      <c r="C249" s="154">
        <v>46136</v>
      </c>
      <c r="D249" s="155" t="s">
        <v>657</v>
      </c>
      <c r="E249" s="154">
        <v>46136</v>
      </c>
      <c r="F249" s="155" t="s">
        <v>658</v>
      </c>
      <c r="G249" s="155" t="s">
        <v>143</v>
      </c>
      <c r="H249" s="156">
        <v>13750</v>
      </c>
      <c r="I249" s="156">
        <v>34810</v>
      </c>
      <c r="J249" s="156">
        <v>21060</v>
      </c>
    </row>
    <row r="250" spans="1:10" x14ac:dyDescent="0.3">
      <c r="A250" s="147">
        <v>246</v>
      </c>
      <c r="B250" s="153">
        <v>264</v>
      </c>
      <c r="C250" s="154">
        <v>46136</v>
      </c>
      <c r="D250" s="155" t="s">
        <v>659</v>
      </c>
      <c r="E250" s="154">
        <v>46136</v>
      </c>
      <c r="F250" s="155" t="s">
        <v>660</v>
      </c>
      <c r="G250" s="155" t="s">
        <v>537</v>
      </c>
      <c r="H250" s="156">
        <v>13960</v>
      </c>
      <c r="I250" s="156">
        <v>35310</v>
      </c>
      <c r="J250" s="156">
        <v>21350</v>
      </c>
    </row>
    <row r="251" spans="1:10" x14ac:dyDescent="0.3">
      <c r="A251" s="147">
        <v>247</v>
      </c>
      <c r="B251" s="153">
        <v>262</v>
      </c>
      <c r="C251" s="154">
        <v>46136</v>
      </c>
      <c r="D251" s="155" t="s">
        <v>661</v>
      </c>
      <c r="E251" s="154">
        <v>46136</v>
      </c>
      <c r="F251" s="155" t="s">
        <v>662</v>
      </c>
      <c r="G251" s="155" t="s">
        <v>71</v>
      </c>
      <c r="H251" s="156">
        <v>13960</v>
      </c>
      <c r="I251" s="156">
        <v>34050</v>
      </c>
      <c r="J251" s="156">
        <v>20090</v>
      </c>
    </row>
    <row r="252" spans="1:10" x14ac:dyDescent="0.3">
      <c r="A252" s="147">
        <v>248</v>
      </c>
      <c r="B252" s="153">
        <v>261</v>
      </c>
      <c r="C252" s="154">
        <v>46136</v>
      </c>
      <c r="D252" s="155" t="s">
        <v>663</v>
      </c>
      <c r="E252" s="154">
        <v>46136</v>
      </c>
      <c r="F252" s="155" t="s">
        <v>664</v>
      </c>
      <c r="G252" s="155" t="s">
        <v>143</v>
      </c>
      <c r="H252" s="156">
        <v>13780</v>
      </c>
      <c r="I252" s="156">
        <v>34820</v>
      </c>
      <c r="J252" s="156">
        <v>21040</v>
      </c>
    </row>
    <row r="253" spans="1:10" x14ac:dyDescent="0.3">
      <c r="A253" s="147">
        <v>249</v>
      </c>
      <c r="B253" s="153">
        <v>94</v>
      </c>
      <c r="C253" s="154">
        <v>46134</v>
      </c>
      <c r="D253" s="155">
        <v>0.45258101851851851</v>
      </c>
      <c r="E253" s="154">
        <v>46134</v>
      </c>
      <c r="F253" s="155">
        <v>0.46841435185185187</v>
      </c>
      <c r="G253" s="155" t="s">
        <v>537</v>
      </c>
      <c r="H253" s="156">
        <v>14030</v>
      </c>
      <c r="I253" s="156">
        <v>33190</v>
      </c>
      <c r="J253" s="156">
        <v>19160</v>
      </c>
    </row>
    <row r="254" spans="1:10" x14ac:dyDescent="0.3">
      <c r="A254" s="147">
        <v>250</v>
      </c>
      <c r="B254" s="153">
        <v>95</v>
      </c>
      <c r="C254" s="154">
        <v>46134</v>
      </c>
      <c r="D254" s="155">
        <v>0.47321759259259261</v>
      </c>
      <c r="E254" s="154">
        <v>46134</v>
      </c>
      <c r="F254" s="155">
        <v>0.47711805555555553</v>
      </c>
      <c r="G254" s="155" t="s">
        <v>143</v>
      </c>
      <c r="H254" s="156">
        <v>13800</v>
      </c>
      <c r="I254" s="156">
        <v>32420</v>
      </c>
      <c r="J254" s="156">
        <v>18620</v>
      </c>
    </row>
    <row r="255" spans="1:10" x14ac:dyDescent="0.3">
      <c r="A255" s="147">
        <v>251</v>
      </c>
      <c r="B255" s="153">
        <v>255</v>
      </c>
      <c r="C255" s="154">
        <v>46136</v>
      </c>
      <c r="D255" s="155" t="s">
        <v>665</v>
      </c>
      <c r="E255" s="154">
        <v>46136</v>
      </c>
      <c r="F255" s="155" t="s">
        <v>666</v>
      </c>
      <c r="G255" s="155" t="s">
        <v>537</v>
      </c>
      <c r="H255" s="156">
        <v>13960</v>
      </c>
      <c r="I255" s="156">
        <v>33660</v>
      </c>
      <c r="J255" s="156">
        <v>19700</v>
      </c>
    </row>
    <row r="256" spans="1:10" x14ac:dyDescent="0.3">
      <c r="A256" s="147">
        <v>252</v>
      </c>
      <c r="B256" s="153">
        <v>253</v>
      </c>
      <c r="C256" s="154">
        <v>46136</v>
      </c>
      <c r="D256" s="155" t="s">
        <v>667</v>
      </c>
      <c r="E256" s="154">
        <v>46136</v>
      </c>
      <c r="F256" s="155" t="s">
        <v>668</v>
      </c>
      <c r="G256" s="155" t="s">
        <v>71</v>
      </c>
      <c r="H256" s="156">
        <v>14000</v>
      </c>
      <c r="I256" s="156">
        <v>33680</v>
      </c>
      <c r="J256" s="156">
        <v>19680</v>
      </c>
    </row>
    <row r="257" spans="1:10" x14ac:dyDescent="0.3">
      <c r="A257" s="147">
        <v>253</v>
      </c>
      <c r="B257" s="153">
        <v>251</v>
      </c>
      <c r="C257" s="154">
        <v>46136</v>
      </c>
      <c r="D257" s="155" t="s">
        <v>669</v>
      </c>
      <c r="E257" s="154">
        <v>46136</v>
      </c>
      <c r="F257" s="155" t="s">
        <v>670</v>
      </c>
      <c r="G257" s="155" t="s">
        <v>143</v>
      </c>
      <c r="H257" s="156">
        <v>13860</v>
      </c>
      <c r="I257" s="156">
        <v>33030</v>
      </c>
      <c r="J257" s="156">
        <v>19170</v>
      </c>
    </row>
    <row r="258" spans="1:10" x14ac:dyDescent="0.3">
      <c r="A258" s="147">
        <v>254</v>
      </c>
      <c r="B258" s="153">
        <v>245</v>
      </c>
      <c r="C258" s="154">
        <v>46136</v>
      </c>
      <c r="D258" s="155" t="s">
        <v>578</v>
      </c>
      <c r="E258" s="154">
        <v>46136</v>
      </c>
      <c r="F258" s="155" t="s">
        <v>671</v>
      </c>
      <c r="G258" s="155" t="s">
        <v>537</v>
      </c>
      <c r="H258" s="156">
        <v>14040</v>
      </c>
      <c r="I258" s="156">
        <v>33520</v>
      </c>
      <c r="J258" s="156">
        <v>19480</v>
      </c>
    </row>
    <row r="259" spans="1:10" x14ac:dyDescent="0.3">
      <c r="A259" s="147">
        <v>255</v>
      </c>
      <c r="B259" s="153">
        <v>100</v>
      </c>
      <c r="C259" s="154">
        <v>46134</v>
      </c>
      <c r="D259" s="155">
        <v>0.56269675925925922</v>
      </c>
      <c r="E259" s="154">
        <v>46134</v>
      </c>
      <c r="F259" s="155">
        <v>0.56656249999999997</v>
      </c>
      <c r="G259" s="155" t="s">
        <v>71</v>
      </c>
      <c r="H259" s="156">
        <v>14040</v>
      </c>
      <c r="I259" s="156">
        <v>33540</v>
      </c>
      <c r="J259" s="156">
        <v>19500</v>
      </c>
    </row>
    <row r="260" spans="1:10" x14ac:dyDescent="0.3">
      <c r="A260" s="147">
        <v>256</v>
      </c>
      <c r="B260" s="153">
        <v>243</v>
      </c>
      <c r="C260" s="154">
        <v>46136</v>
      </c>
      <c r="D260" s="155" t="s">
        <v>672</v>
      </c>
      <c r="E260" s="154">
        <v>46136</v>
      </c>
      <c r="F260" s="155" t="s">
        <v>673</v>
      </c>
      <c r="G260" s="155" t="s">
        <v>71</v>
      </c>
      <c r="H260" s="156">
        <v>14010</v>
      </c>
      <c r="I260" s="156">
        <v>34680</v>
      </c>
      <c r="J260" s="156">
        <v>20670</v>
      </c>
    </row>
    <row r="261" spans="1:10" x14ac:dyDescent="0.3">
      <c r="A261" s="147">
        <v>257</v>
      </c>
      <c r="B261" s="153">
        <v>240</v>
      </c>
      <c r="C261" s="154">
        <v>46136</v>
      </c>
      <c r="D261" s="155" t="s">
        <v>674</v>
      </c>
      <c r="E261" s="154">
        <v>46136</v>
      </c>
      <c r="F261" s="155" t="s">
        <v>675</v>
      </c>
      <c r="G261" s="155" t="s">
        <v>143</v>
      </c>
      <c r="H261" s="156">
        <v>13870</v>
      </c>
      <c r="I261" s="156">
        <v>34400</v>
      </c>
      <c r="J261" s="156">
        <v>20530</v>
      </c>
    </row>
    <row r="262" spans="1:10" x14ac:dyDescent="0.3">
      <c r="A262" s="147">
        <v>258</v>
      </c>
      <c r="B262" s="153">
        <v>103</v>
      </c>
      <c r="C262" s="154">
        <v>46134</v>
      </c>
      <c r="D262" s="155">
        <v>0.59090277777777778</v>
      </c>
      <c r="E262" s="154">
        <v>46134</v>
      </c>
      <c r="F262" s="155">
        <v>0.59506944444444443</v>
      </c>
      <c r="G262" s="155" t="s">
        <v>537</v>
      </c>
      <c r="H262" s="156">
        <v>14040</v>
      </c>
      <c r="I262" s="156">
        <v>33350</v>
      </c>
      <c r="J262" s="156">
        <v>19310</v>
      </c>
    </row>
    <row r="263" spans="1:10" x14ac:dyDescent="0.3">
      <c r="A263" s="147">
        <v>259</v>
      </c>
      <c r="B263" s="153">
        <v>236</v>
      </c>
      <c r="C263" s="154">
        <v>46136</v>
      </c>
      <c r="D263" s="155" t="s">
        <v>676</v>
      </c>
      <c r="E263" s="154">
        <v>46136</v>
      </c>
      <c r="F263" s="155" t="s">
        <v>677</v>
      </c>
      <c r="G263" s="155" t="s">
        <v>537</v>
      </c>
      <c r="H263" s="156">
        <v>14020</v>
      </c>
      <c r="I263" s="156">
        <v>33380</v>
      </c>
      <c r="J263" s="156">
        <v>19360</v>
      </c>
    </row>
    <row r="264" spans="1:10" x14ac:dyDescent="0.3">
      <c r="A264" s="147">
        <v>260</v>
      </c>
      <c r="B264" s="153">
        <v>105</v>
      </c>
      <c r="C264" s="154">
        <v>46134</v>
      </c>
      <c r="D264" s="155">
        <v>0.61412037037037037</v>
      </c>
      <c r="E264" s="154">
        <v>46134</v>
      </c>
      <c r="F264" s="155">
        <v>0.61818287037037034</v>
      </c>
      <c r="G264" s="155" t="s">
        <v>143</v>
      </c>
      <c r="H264" s="156">
        <v>14090</v>
      </c>
      <c r="I264" s="156">
        <v>32890</v>
      </c>
      <c r="J264" s="156">
        <v>18800</v>
      </c>
    </row>
    <row r="265" spans="1:10" x14ac:dyDescent="0.3">
      <c r="A265" s="147">
        <v>261</v>
      </c>
      <c r="B265" s="153">
        <v>231</v>
      </c>
      <c r="C265" s="154">
        <v>46135</v>
      </c>
      <c r="D265" s="155" t="s">
        <v>678</v>
      </c>
      <c r="E265" s="154">
        <v>46135</v>
      </c>
      <c r="F265" s="155" t="s">
        <v>679</v>
      </c>
      <c r="G265" s="155" t="s">
        <v>143</v>
      </c>
      <c r="H265" s="156">
        <v>13840</v>
      </c>
      <c r="I265" s="156">
        <v>33310</v>
      </c>
      <c r="J265" s="156">
        <v>19470</v>
      </c>
    </row>
    <row r="266" spans="1:10" x14ac:dyDescent="0.3">
      <c r="A266" s="147">
        <v>262</v>
      </c>
      <c r="B266" s="153">
        <v>228</v>
      </c>
      <c r="C266" s="154">
        <v>46135</v>
      </c>
      <c r="D266" s="155">
        <v>0.67268518518518516</v>
      </c>
      <c r="E266" s="154">
        <v>46135</v>
      </c>
      <c r="F266" s="155">
        <v>0.68101851851851847</v>
      </c>
      <c r="G266" s="155" t="s">
        <v>71</v>
      </c>
      <c r="H266" s="156">
        <v>14020</v>
      </c>
      <c r="I266" s="156">
        <v>35160</v>
      </c>
      <c r="J266" s="156">
        <v>21140</v>
      </c>
    </row>
    <row r="267" spans="1:10" x14ac:dyDescent="0.3">
      <c r="A267" s="147">
        <v>263</v>
      </c>
      <c r="B267" s="153">
        <v>226</v>
      </c>
      <c r="C267" s="154">
        <v>46135</v>
      </c>
      <c r="D267" s="155">
        <v>0.66699074074074072</v>
      </c>
      <c r="E267" s="154">
        <v>46135</v>
      </c>
      <c r="F267" s="155">
        <v>0.67164351851851856</v>
      </c>
      <c r="G267" s="155" t="s">
        <v>537</v>
      </c>
      <c r="H267" s="156">
        <v>14040</v>
      </c>
      <c r="I267" s="156">
        <v>33480</v>
      </c>
      <c r="J267" s="156">
        <v>19440</v>
      </c>
    </row>
    <row r="268" spans="1:10" x14ac:dyDescent="0.3">
      <c r="A268" s="147">
        <v>264</v>
      </c>
      <c r="B268" s="153">
        <v>222</v>
      </c>
      <c r="C268" s="154">
        <v>46135</v>
      </c>
      <c r="D268" s="155">
        <v>0.58750000000000002</v>
      </c>
      <c r="E268" s="154">
        <v>46135</v>
      </c>
      <c r="F268" s="155">
        <v>0.59267361111111116</v>
      </c>
      <c r="G268" s="155" t="s">
        <v>143</v>
      </c>
      <c r="H268" s="156">
        <v>13870</v>
      </c>
      <c r="I268" s="156">
        <v>33730</v>
      </c>
      <c r="J268" s="156">
        <v>19860</v>
      </c>
    </row>
    <row r="269" spans="1:10" x14ac:dyDescent="0.3">
      <c r="A269" s="147">
        <v>265</v>
      </c>
      <c r="B269" s="153">
        <v>110</v>
      </c>
      <c r="C269" s="154">
        <v>46134</v>
      </c>
      <c r="D269" s="155" t="s">
        <v>680</v>
      </c>
      <c r="E269" s="154">
        <v>46134</v>
      </c>
      <c r="F269" s="155" t="s">
        <v>681</v>
      </c>
      <c r="G269" s="155" t="s">
        <v>71</v>
      </c>
      <c r="H269" s="156">
        <v>14020</v>
      </c>
      <c r="I269" s="156">
        <v>33870</v>
      </c>
      <c r="J269" s="156">
        <v>19850</v>
      </c>
    </row>
    <row r="270" spans="1:10" x14ac:dyDescent="0.3">
      <c r="A270" s="147">
        <v>266</v>
      </c>
      <c r="B270" s="153">
        <v>218</v>
      </c>
      <c r="C270" s="154">
        <v>46135</v>
      </c>
      <c r="D270" s="155">
        <v>0.54618055555555556</v>
      </c>
      <c r="E270" s="154">
        <v>46135</v>
      </c>
      <c r="F270" s="155">
        <v>0.55068287037037034</v>
      </c>
      <c r="G270" s="155" t="s">
        <v>71</v>
      </c>
      <c r="H270" s="156">
        <v>13690</v>
      </c>
      <c r="I270" s="156">
        <v>33660</v>
      </c>
      <c r="J270" s="156">
        <v>19970</v>
      </c>
    </row>
    <row r="271" spans="1:10" x14ac:dyDescent="0.3">
      <c r="A271" s="147">
        <v>267</v>
      </c>
      <c r="B271" s="153">
        <v>216</v>
      </c>
      <c r="C271" s="154">
        <v>46135</v>
      </c>
      <c r="D271" s="155">
        <v>0.53899305555555554</v>
      </c>
      <c r="E271" s="154">
        <v>46135</v>
      </c>
      <c r="F271" s="155">
        <v>0.54358796296296297</v>
      </c>
      <c r="G271" s="155" t="s">
        <v>537</v>
      </c>
      <c r="H271" s="156">
        <v>13760</v>
      </c>
      <c r="I271" s="156">
        <v>33090</v>
      </c>
      <c r="J271" s="156">
        <v>19330</v>
      </c>
    </row>
    <row r="272" spans="1:10" x14ac:dyDescent="0.3">
      <c r="A272" s="147">
        <v>268</v>
      </c>
      <c r="B272" s="153">
        <v>113</v>
      </c>
      <c r="C272" s="154">
        <v>46134</v>
      </c>
      <c r="D272" s="155" t="s">
        <v>682</v>
      </c>
      <c r="E272" s="154">
        <v>46134</v>
      </c>
      <c r="F272" s="155" t="s">
        <v>683</v>
      </c>
      <c r="G272" s="155" t="s">
        <v>537</v>
      </c>
      <c r="H272" s="156">
        <v>13980</v>
      </c>
      <c r="I272" s="156">
        <v>33260</v>
      </c>
      <c r="J272" s="156">
        <v>19280</v>
      </c>
    </row>
    <row r="273" spans="1:10" x14ac:dyDescent="0.3">
      <c r="A273" s="147">
        <v>269</v>
      </c>
      <c r="B273" s="153">
        <v>212</v>
      </c>
      <c r="C273" s="154">
        <v>46135</v>
      </c>
      <c r="D273" s="155">
        <v>0.45541666666666669</v>
      </c>
      <c r="E273" s="154">
        <v>46135</v>
      </c>
      <c r="F273" s="155">
        <v>0.46913194444444445</v>
      </c>
      <c r="G273" s="155" t="s">
        <v>143</v>
      </c>
      <c r="H273" s="156">
        <v>13860</v>
      </c>
      <c r="I273" s="156">
        <v>32750</v>
      </c>
      <c r="J273" s="156">
        <v>18890</v>
      </c>
    </row>
    <row r="274" spans="1:10" x14ac:dyDescent="0.3">
      <c r="A274" s="147">
        <v>270</v>
      </c>
      <c r="B274" s="153">
        <v>115</v>
      </c>
      <c r="C274" s="154">
        <v>46134</v>
      </c>
      <c r="D274" s="155" t="s">
        <v>684</v>
      </c>
      <c r="E274" s="154">
        <v>46134</v>
      </c>
      <c r="F274" s="155" t="s">
        <v>685</v>
      </c>
      <c r="G274" s="155" t="s">
        <v>143</v>
      </c>
      <c r="H274" s="156">
        <v>13990</v>
      </c>
      <c r="I274" s="156">
        <v>33430</v>
      </c>
      <c r="J274" s="156">
        <v>19440</v>
      </c>
    </row>
    <row r="275" spans="1:10" x14ac:dyDescent="0.3">
      <c r="A275" s="147">
        <v>271</v>
      </c>
      <c r="B275" s="153">
        <v>208</v>
      </c>
      <c r="C275" s="154">
        <v>46135</v>
      </c>
      <c r="D275" s="155">
        <v>0.42778935185185185</v>
      </c>
      <c r="E275" s="154">
        <v>46135</v>
      </c>
      <c r="F275" s="155">
        <v>0.43239583333333331</v>
      </c>
      <c r="G275" s="155" t="s">
        <v>71</v>
      </c>
      <c r="H275" s="156">
        <v>13850</v>
      </c>
      <c r="I275" s="156">
        <v>33160</v>
      </c>
      <c r="J275" s="156">
        <v>19310</v>
      </c>
    </row>
    <row r="276" spans="1:10" x14ac:dyDescent="0.3">
      <c r="A276" s="147">
        <v>272</v>
      </c>
      <c r="B276" s="153">
        <v>206</v>
      </c>
      <c r="C276" s="154">
        <v>46135</v>
      </c>
      <c r="D276" s="155">
        <v>0.41168981481481481</v>
      </c>
      <c r="E276" s="154">
        <v>46135</v>
      </c>
      <c r="F276" s="155">
        <v>0.41643518518518519</v>
      </c>
      <c r="G276" s="155" t="s">
        <v>537</v>
      </c>
      <c r="H276" s="156">
        <v>13820</v>
      </c>
      <c r="I276" s="156">
        <v>32560</v>
      </c>
      <c r="J276" s="156">
        <v>18740</v>
      </c>
    </row>
    <row r="277" spans="1:10" x14ac:dyDescent="0.3">
      <c r="A277" s="147">
        <v>273</v>
      </c>
      <c r="B277" s="153">
        <v>118</v>
      </c>
      <c r="C277" s="154">
        <v>46134</v>
      </c>
      <c r="D277" s="155" t="s">
        <v>686</v>
      </c>
      <c r="E277" s="154">
        <v>46134</v>
      </c>
      <c r="F277" s="155" t="s">
        <v>687</v>
      </c>
      <c r="G277" s="155" t="s">
        <v>71</v>
      </c>
      <c r="H277" s="156">
        <v>14010</v>
      </c>
      <c r="I277" s="156">
        <v>33490</v>
      </c>
      <c r="J277" s="156">
        <v>19480</v>
      </c>
    </row>
    <row r="278" spans="1:10" x14ac:dyDescent="0.3">
      <c r="A278" s="147">
        <v>274</v>
      </c>
      <c r="B278" s="153">
        <v>202</v>
      </c>
      <c r="C278" s="154">
        <v>46135</v>
      </c>
      <c r="D278" s="155">
        <v>0.32881944444444444</v>
      </c>
      <c r="E278" s="154">
        <v>46135</v>
      </c>
      <c r="F278" s="155">
        <v>0.33437499999999998</v>
      </c>
      <c r="G278" s="155" t="s">
        <v>143</v>
      </c>
      <c r="H278" s="156">
        <v>13950</v>
      </c>
      <c r="I278" s="156">
        <v>33100</v>
      </c>
      <c r="J278" s="156">
        <v>19150</v>
      </c>
    </row>
    <row r="279" spans="1:10" x14ac:dyDescent="0.3">
      <c r="A279" s="147">
        <v>275</v>
      </c>
      <c r="B279" s="153">
        <v>198</v>
      </c>
      <c r="C279" s="154">
        <v>46135</v>
      </c>
      <c r="D279" s="155">
        <v>0.29996527777777776</v>
      </c>
      <c r="E279" s="154">
        <v>46135</v>
      </c>
      <c r="F279" s="155">
        <v>0.30563657407407407</v>
      </c>
      <c r="G279" s="155" t="s">
        <v>71</v>
      </c>
      <c r="H279" s="156">
        <v>13910</v>
      </c>
      <c r="I279" s="156">
        <v>31820</v>
      </c>
      <c r="J279" s="156">
        <v>17910</v>
      </c>
    </row>
    <row r="280" spans="1:10" x14ac:dyDescent="0.3">
      <c r="A280" s="147">
        <v>276</v>
      </c>
      <c r="B280" s="153">
        <v>196</v>
      </c>
      <c r="C280" s="154">
        <v>46135</v>
      </c>
      <c r="D280" s="155">
        <v>0.2759375</v>
      </c>
      <c r="E280" s="154">
        <v>46135</v>
      </c>
      <c r="F280" s="155">
        <v>0.28747685185185184</v>
      </c>
      <c r="G280" s="155" t="s">
        <v>537</v>
      </c>
      <c r="H280" s="156">
        <v>13880</v>
      </c>
      <c r="I280" s="156">
        <v>31870</v>
      </c>
      <c r="J280" s="156">
        <v>17990</v>
      </c>
    </row>
    <row r="281" spans="1:10" x14ac:dyDescent="0.3">
      <c r="A281" s="147">
        <v>277</v>
      </c>
      <c r="B281" s="153">
        <v>176</v>
      </c>
      <c r="C281" s="154">
        <v>46135</v>
      </c>
      <c r="D281" s="155">
        <v>4.2465277777777775E-2</v>
      </c>
      <c r="E281" s="154">
        <v>46135</v>
      </c>
      <c r="F281" s="155">
        <v>5.2835648148148145E-2</v>
      </c>
      <c r="G281" s="155" t="s">
        <v>537</v>
      </c>
      <c r="H281" s="156">
        <v>13970</v>
      </c>
      <c r="I281" s="156">
        <v>33170</v>
      </c>
      <c r="J281" s="156">
        <v>19200</v>
      </c>
    </row>
    <row r="282" spans="1:10" x14ac:dyDescent="0.3">
      <c r="A282" s="147">
        <v>278</v>
      </c>
      <c r="B282" s="153">
        <v>192</v>
      </c>
      <c r="C282" s="154">
        <v>46135</v>
      </c>
      <c r="D282" s="155">
        <v>0.20369212962962963</v>
      </c>
      <c r="E282" s="154">
        <v>46135</v>
      </c>
      <c r="F282" s="155">
        <v>0.21042824074074074</v>
      </c>
      <c r="G282" s="155" t="s">
        <v>143</v>
      </c>
      <c r="H282" s="156">
        <v>13970</v>
      </c>
      <c r="I282" s="156">
        <v>32080</v>
      </c>
      <c r="J282" s="156">
        <v>18110</v>
      </c>
    </row>
    <row r="283" spans="1:10" x14ac:dyDescent="0.3">
      <c r="A283" s="147">
        <v>279</v>
      </c>
      <c r="B283" s="153">
        <v>189</v>
      </c>
      <c r="C283" s="154">
        <v>46135</v>
      </c>
      <c r="D283" s="155">
        <v>0.17791666666666667</v>
      </c>
      <c r="E283" s="154">
        <v>46135</v>
      </c>
      <c r="F283" s="155">
        <v>0.18391203703703704</v>
      </c>
      <c r="G283" s="155" t="s">
        <v>71</v>
      </c>
      <c r="H283" s="156">
        <v>13930</v>
      </c>
      <c r="I283" s="156">
        <v>33870</v>
      </c>
      <c r="J283" s="156">
        <v>19940</v>
      </c>
    </row>
    <row r="284" spans="1:10" x14ac:dyDescent="0.3">
      <c r="A284" s="147">
        <v>280</v>
      </c>
      <c r="B284" s="153">
        <v>186</v>
      </c>
      <c r="C284" s="154">
        <v>46135</v>
      </c>
      <c r="D284" s="155">
        <v>0.15680555555555556</v>
      </c>
      <c r="E284" s="154">
        <v>46135</v>
      </c>
      <c r="F284" s="155">
        <v>0.16361111111111112</v>
      </c>
      <c r="G284" s="155" t="s">
        <v>537</v>
      </c>
      <c r="H284" s="156">
        <v>13900</v>
      </c>
      <c r="I284" s="156">
        <v>33840</v>
      </c>
      <c r="J284" s="156">
        <v>19940</v>
      </c>
    </row>
    <row r="285" spans="1:10" x14ac:dyDescent="0.3">
      <c r="A285" s="147">
        <v>281</v>
      </c>
      <c r="B285" s="153">
        <v>180</v>
      </c>
      <c r="C285" s="154">
        <v>46135</v>
      </c>
      <c r="D285" s="155">
        <v>4.4363425925925924E-2</v>
      </c>
      <c r="E285" s="154">
        <v>46135</v>
      </c>
      <c r="F285" s="155">
        <v>7.0046296296296301E-2</v>
      </c>
      <c r="G285" s="155" t="s">
        <v>71</v>
      </c>
      <c r="H285" s="156">
        <v>13960</v>
      </c>
      <c r="I285" s="156">
        <v>33490</v>
      </c>
      <c r="J285" s="156">
        <v>19530</v>
      </c>
    </row>
    <row r="286" spans="1:10" x14ac:dyDescent="0.3">
      <c r="A286" s="147">
        <v>282</v>
      </c>
      <c r="B286" s="153">
        <v>182</v>
      </c>
      <c r="C286" s="154">
        <v>46135</v>
      </c>
      <c r="D286" s="155">
        <v>4.7708333333333332E-2</v>
      </c>
      <c r="E286" s="154">
        <v>46135</v>
      </c>
      <c r="F286" s="155">
        <v>7.8935185185185192E-2</v>
      </c>
      <c r="G286" s="155" t="s">
        <v>143</v>
      </c>
      <c r="H286" s="156">
        <v>13990</v>
      </c>
      <c r="I286" s="156">
        <v>33330</v>
      </c>
      <c r="J286" s="156">
        <v>19340</v>
      </c>
    </row>
    <row r="287" spans="1:10" x14ac:dyDescent="0.3">
      <c r="A287" s="147">
        <v>283</v>
      </c>
      <c r="B287" s="153">
        <v>2</v>
      </c>
      <c r="C287" s="157">
        <v>46132</v>
      </c>
      <c r="D287" s="153" t="s">
        <v>688</v>
      </c>
      <c r="E287" s="157">
        <v>46132</v>
      </c>
      <c r="F287" s="153" t="s">
        <v>689</v>
      </c>
      <c r="G287" s="153" t="s">
        <v>85</v>
      </c>
      <c r="H287" s="158">
        <v>14020</v>
      </c>
      <c r="I287" s="158">
        <v>30870</v>
      </c>
      <c r="J287" s="158">
        <v>16850</v>
      </c>
    </row>
    <row r="288" spans="1:10" x14ac:dyDescent="0.3">
      <c r="A288" s="147">
        <v>284</v>
      </c>
      <c r="B288" s="153">
        <v>4</v>
      </c>
      <c r="C288" s="157">
        <v>46133</v>
      </c>
      <c r="D288" s="153">
        <v>4.2650462962962966E-2</v>
      </c>
      <c r="E288" s="157">
        <v>46133</v>
      </c>
      <c r="F288" s="153">
        <v>5.8159722222222224E-2</v>
      </c>
      <c r="G288" s="153" t="s">
        <v>80</v>
      </c>
      <c r="H288" s="158">
        <v>14180</v>
      </c>
      <c r="I288" s="158">
        <v>31990</v>
      </c>
      <c r="J288" s="158">
        <v>17810</v>
      </c>
    </row>
    <row r="289" spans="1:10" x14ac:dyDescent="0.3">
      <c r="A289" s="147">
        <v>285</v>
      </c>
      <c r="B289" s="153">
        <v>8</v>
      </c>
      <c r="C289" s="157">
        <v>46133</v>
      </c>
      <c r="D289" s="153">
        <v>6.0937499999999999E-2</v>
      </c>
      <c r="E289" s="157">
        <v>46133</v>
      </c>
      <c r="F289" s="153">
        <v>7.8483796296296301E-2</v>
      </c>
      <c r="G289" s="153" t="s">
        <v>64</v>
      </c>
      <c r="H289" s="158">
        <v>14070</v>
      </c>
      <c r="I289" s="158">
        <v>32310</v>
      </c>
      <c r="J289" s="158">
        <v>18240</v>
      </c>
    </row>
    <row r="290" spans="1:10" x14ac:dyDescent="0.3">
      <c r="A290" s="147">
        <v>286</v>
      </c>
      <c r="B290" s="153">
        <v>13</v>
      </c>
      <c r="C290" s="157">
        <v>46133</v>
      </c>
      <c r="D290" s="153">
        <v>0.16473379629629631</v>
      </c>
      <c r="E290" s="157">
        <v>46133</v>
      </c>
      <c r="F290" s="153">
        <v>0.17472222222222222</v>
      </c>
      <c r="G290" s="153" t="s">
        <v>80</v>
      </c>
      <c r="H290" s="158">
        <v>14150</v>
      </c>
      <c r="I290" s="158">
        <v>33090</v>
      </c>
      <c r="J290" s="158">
        <v>18940</v>
      </c>
    </row>
    <row r="291" spans="1:10" x14ac:dyDescent="0.3">
      <c r="A291" s="147">
        <v>287</v>
      </c>
      <c r="B291" s="153">
        <v>14</v>
      </c>
      <c r="C291" s="157">
        <v>46133</v>
      </c>
      <c r="D291" s="153">
        <v>0.17590277777777777</v>
      </c>
      <c r="E291" s="157">
        <v>46133</v>
      </c>
      <c r="F291" s="153">
        <v>0.18155092592592592</v>
      </c>
      <c r="G291" s="153" t="s">
        <v>85</v>
      </c>
      <c r="H291" s="158">
        <v>14010</v>
      </c>
      <c r="I291" s="158">
        <v>32070</v>
      </c>
      <c r="J291" s="158">
        <v>18060</v>
      </c>
    </row>
    <row r="292" spans="1:10" x14ac:dyDescent="0.3">
      <c r="A292" s="147">
        <v>288</v>
      </c>
      <c r="B292" s="153">
        <v>18</v>
      </c>
      <c r="C292" s="157">
        <v>46133</v>
      </c>
      <c r="D292" s="153">
        <v>0.20590277777777777</v>
      </c>
      <c r="E292" s="157">
        <v>46133</v>
      </c>
      <c r="F292" s="153">
        <v>0.21444444444444444</v>
      </c>
      <c r="G292" s="153" t="s">
        <v>64</v>
      </c>
      <c r="H292" s="158">
        <v>14080</v>
      </c>
      <c r="I292" s="158">
        <v>33300</v>
      </c>
      <c r="J292" s="158">
        <v>19220</v>
      </c>
    </row>
    <row r="293" spans="1:10" x14ac:dyDescent="0.3">
      <c r="A293" s="147">
        <v>289</v>
      </c>
      <c r="B293" s="153">
        <v>23</v>
      </c>
      <c r="C293" s="157">
        <v>46133</v>
      </c>
      <c r="D293" s="153">
        <v>0.29151620370370368</v>
      </c>
      <c r="E293" s="157">
        <v>46133</v>
      </c>
      <c r="F293" s="153">
        <v>0.2983912037037037</v>
      </c>
      <c r="G293" s="153" t="s">
        <v>80</v>
      </c>
      <c r="H293" s="158">
        <v>14120</v>
      </c>
      <c r="I293" s="158">
        <v>31400</v>
      </c>
      <c r="J293" s="158">
        <v>17280</v>
      </c>
    </row>
    <row r="294" spans="1:10" x14ac:dyDescent="0.3">
      <c r="A294" s="147">
        <v>290</v>
      </c>
      <c r="B294" s="153">
        <v>25</v>
      </c>
      <c r="C294" s="157">
        <v>46133</v>
      </c>
      <c r="D294" s="153">
        <v>0.31344907407407407</v>
      </c>
      <c r="E294" s="157">
        <v>46133</v>
      </c>
      <c r="F294" s="153">
        <v>0.32167824074074075</v>
      </c>
      <c r="G294" s="153" t="s">
        <v>85</v>
      </c>
      <c r="H294" s="158">
        <v>14030</v>
      </c>
      <c r="I294" s="158">
        <v>32030</v>
      </c>
      <c r="J294" s="158">
        <v>18000</v>
      </c>
    </row>
    <row r="295" spans="1:10" x14ac:dyDescent="0.3">
      <c r="A295" s="147">
        <v>291</v>
      </c>
      <c r="B295" s="153">
        <v>28</v>
      </c>
      <c r="C295" s="157">
        <v>46133</v>
      </c>
      <c r="D295" s="153">
        <v>0.34006944444444442</v>
      </c>
      <c r="E295" s="157">
        <v>46133</v>
      </c>
      <c r="F295" s="153">
        <v>0.34562500000000002</v>
      </c>
      <c r="G295" s="153" t="s">
        <v>64</v>
      </c>
      <c r="H295" s="158">
        <v>14020</v>
      </c>
      <c r="I295" s="158">
        <v>32950</v>
      </c>
      <c r="J295" s="158">
        <v>18930</v>
      </c>
    </row>
    <row r="296" spans="1:10" x14ac:dyDescent="0.3">
      <c r="A296" s="147">
        <v>292</v>
      </c>
      <c r="B296" s="153">
        <v>33</v>
      </c>
      <c r="C296" s="157">
        <v>46133</v>
      </c>
      <c r="D296" s="153">
        <v>0.41540509259259262</v>
      </c>
      <c r="E296" s="157">
        <v>46133</v>
      </c>
      <c r="F296" s="153">
        <v>0.42023148148148148</v>
      </c>
      <c r="G296" s="153" t="s">
        <v>80</v>
      </c>
      <c r="H296" s="158">
        <v>14100</v>
      </c>
      <c r="I296" s="158">
        <v>32690</v>
      </c>
      <c r="J296" s="158">
        <v>18590</v>
      </c>
    </row>
    <row r="297" spans="1:10" x14ac:dyDescent="0.3">
      <c r="A297" s="147">
        <v>293</v>
      </c>
      <c r="B297" s="153">
        <v>35</v>
      </c>
      <c r="C297" s="157">
        <v>46133</v>
      </c>
      <c r="D297" s="153">
        <v>0.4458449074074074</v>
      </c>
      <c r="E297" s="157">
        <v>46133</v>
      </c>
      <c r="F297" s="153">
        <v>0.45635416666666667</v>
      </c>
      <c r="G297" s="153" t="s">
        <v>85</v>
      </c>
      <c r="H297" s="158">
        <v>13960</v>
      </c>
      <c r="I297" s="158">
        <v>32370</v>
      </c>
      <c r="J297" s="158">
        <v>18410</v>
      </c>
    </row>
    <row r="298" spans="1:10" x14ac:dyDescent="0.3">
      <c r="A298" s="147">
        <v>294</v>
      </c>
      <c r="B298" s="153">
        <v>38</v>
      </c>
      <c r="C298" s="157">
        <v>46133</v>
      </c>
      <c r="D298" s="153">
        <v>0.46763888888888888</v>
      </c>
      <c r="E298" s="157">
        <v>46133</v>
      </c>
      <c r="F298" s="153">
        <v>0.48174768518518518</v>
      </c>
      <c r="G298" s="153" t="s">
        <v>64</v>
      </c>
      <c r="H298" s="158">
        <v>13970</v>
      </c>
      <c r="I298" s="158">
        <v>32720</v>
      </c>
      <c r="J298" s="158">
        <v>18750</v>
      </c>
    </row>
    <row r="299" spans="1:10" x14ac:dyDescent="0.3">
      <c r="A299" s="147">
        <v>295</v>
      </c>
      <c r="B299" s="153">
        <v>43</v>
      </c>
      <c r="C299" s="157">
        <v>46133</v>
      </c>
      <c r="D299" s="153">
        <v>0.55170138888888887</v>
      </c>
      <c r="E299" s="157">
        <v>46133</v>
      </c>
      <c r="F299" s="153">
        <v>0.55630787037037033</v>
      </c>
      <c r="G299" s="153" t="s">
        <v>80</v>
      </c>
      <c r="H299" s="158">
        <v>14070</v>
      </c>
      <c r="I299" s="158">
        <v>31540</v>
      </c>
      <c r="J299" s="158">
        <v>17470</v>
      </c>
    </row>
    <row r="300" spans="1:10" x14ac:dyDescent="0.3">
      <c r="A300" s="147">
        <v>296</v>
      </c>
      <c r="B300" s="153">
        <v>46</v>
      </c>
      <c r="C300" s="157">
        <v>46133</v>
      </c>
      <c r="D300" s="153">
        <v>0.58217592592592593</v>
      </c>
      <c r="E300" s="157">
        <v>46133</v>
      </c>
      <c r="F300" s="153">
        <v>0.58765046296296297</v>
      </c>
      <c r="G300" s="153" t="s">
        <v>85</v>
      </c>
      <c r="H300" s="158">
        <v>13930</v>
      </c>
      <c r="I300" s="158">
        <v>30990</v>
      </c>
      <c r="J300" s="158">
        <v>17060</v>
      </c>
    </row>
    <row r="301" spans="1:10" x14ac:dyDescent="0.3">
      <c r="A301" s="147">
        <v>297</v>
      </c>
      <c r="B301" s="153">
        <v>48</v>
      </c>
      <c r="C301" s="157">
        <v>46133</v>
      </c>
      <c r="D301" s="153">
        <v>0.59766203703703702</v>
      </c>
      <c r="E301" s="157">
        <v>46133</v>
      </c>
      <c r="F301" s="153">
        <v>0.60222222222222221</v>
      </c>
      <c r="G301" s="153" t="s">
        <v>64</v>
      </c>
      <c r="H301" s="158">
        <v>13950</v>
      </c>
      <c r="I301" s="158">
        <v>32160</v>
      </c>
      <c r="J301" s="158">
        <v>18210</v>
      </c>
    </row>
    <row r="302" spans="1:10" x14ac:dyDescent="0.3">
      <c r="A302" s="147">
        <v>298</v>
      </c>
      <c r="B302" s="153">
        <v>56</v>
      </c>
      <c r="C302" s="157">
        <v>46133</v>
      </c>
      <c r="D302" s="153">
        <v>0.73146990740740736</v>
      </c>
      <c r="E302" s="157">
        <v>46133</v>
      </c>
      <c r="F302" s="153">
        <v>0.7369444444444444</v>
      </c>
      <c r="G302" s="153" t="s">
        <v>64</v>
      </c>
      <c r="H302" s="158">
        <v>13920</v>
      </c>
      <c r="I302" s="158">
        <v>32330</v>
      </c>
      <c r="J302" s="158">
        <v>18410</v>
      </c>
    </row>
    <row r="303" spans="1:10" x14ac:dyDescent="0.3">
      <c r="A303" s="147">
        <v>299</v>
      </c>
      <c r="B303" s="153">
        <v>59</v>
      </c>
      <c r="C303" s="157">
        <v>46133</v>
      </c>
      <c r="D303" s="153">
        <v>0.76579861111111114</v>
      </c>
      <c r="E303" s="157">
        <v>46133</v>
      </c>
      <c r="F303" s="153">
        <v>0.77532407407407411</v>
      </c>
      <c r="G303" s="153" t="s">
        <v>85</v>
      </c>
      <c r="H303" s="158">
        <v>13870</v>
      </c>
      <c r="I303" s="158">
        <v>31500</v>
      </c>
      <c r="J303" s="158">
        <v>17630</v>
      </c>
    </row>
    <row r="304" spans="1:10" x14ac:dyDescent="0.3">
      <c r="A304" s="147">
        <v>300</v>
      </c>
      <c r="B304" s="153">
        <v>60</v>
      </c>
      <c r="C304" s="157">
        <v>46133</v>
      </c>
      <c r="D304" s="153">
        <v>0.78726851851851853</v>
      </c>
      <c r="E304" s="157">
        <v>46133</v>
      </c>
      <c r="F304" s="153">
        <v>0.794525462962963</v>
      </c>
      <c r="G304" s="153" t="s">
        <v>80</v>
      </c>
      <c r="H304" s="158">
        <v>14040</v>
      </c>
      <c r="I304" s="158">
        <v>31650</v>
      </c>
      <c r="J304" s="158">
        <v>17610</v>
      </c>
    </row>
    <row r="305" spans="1:10" x14ac:dyDescent="0.3">
      <c r="A305" s="147">
        <v>301</v>
      </c>
      <c r="B305" s="153">
        <v>61</v>
      </c>
      <c r="C305" s="157">
        <v>46134</v>
      </c>
      <c r="D305" s="153">
        <v>4.1782407407407407E-2</v>
      </c>
      <c r="E305" s="157">
        <v>46134</v>
      </c>
      <c r="F305" s="153">
        <v>5.2743055555555557E-2</v>
      </c>
      <c r="G305" s="153" t="s">
        <v>80</v>
      </c>
      <c r="H305" s="158">
        <v>14000</v>
      </c>
      <c r="I305" s="158">
        <v>33020</v>
      </c>
      <c r="J305" s="158">
        <v>19020</v>
      </c>
    </row>
    <row r="306" spans="1:10" x14ac:dyDescent="0.3">
      <c r="A306" s="147">
        <v>302</v>
      </c>
      <c r="B306" s="153">
        <v>63</v>
      </c>
      <c r="C306" s="157">
        <v>46134</v>
      </c>
      <c r="D306" s="153">
        <v>4.2673611111111114E-2</v>
      </c>
      <c r="E306" s="157">
        <v>46134</v>
      </c>
      <c r="F306" s="153">
        <v>6.5868055555555555E-2</v>
      </c>
      <c r="G306" s="153" t="s">
        <v>64</v>
      </c>
      <c r="H306" s="158">
        <v>13890</v>
      </c>
      <c r="I306" s="158">
        <v>33660</v>
      </c>
      <c r="J306" s="158">
        <v>19770</v>
      </c>
    </row>
    <row r="307" spans="1:10" x14ac:dyDescent="0.3">
      <c r="A307" s="147">
        <v>303</v>
      </c>
      <c r="B307" s="153">
        <v>64</v>
      </c>
      <c r="C307" s="157">
        <v>46134</v>
      </c>
      <c r="D307" s="153">
        <v>4.3078703703703702E-2</v>
      </c>
      <c r="E307" s="157">
        <v>46134</v>
      </c>
      <c r="F307" s="153">
        <v>7.1701388888888884E-2</v>
      </c>
      <c r="G307" s="153" t="s">
        <v>85</v>
      </c>
      <c r="H307" s="158">
        <v>13860</v>
      </c>
      <c r="I307" s="158">
        <v>33400</v>
      </c>
      <c r="J307" s="158">
        <v>19540</v>
      </c>
    </row>
    <row r="308" spans="1:10" x14ac:dyDescent="0.3">
      <c r="A308" s="147">
        <v>304</v>
      </c>
      <c r="B308" s="153">
        <v>71</v>
      </c>
      <c r="C308" s="157">
        <v>46134</v>
      </c>
      <c r="D308" s="153">
        <v>0.15087962962962964</v>
      </c>
      <c r="E308" s="157">
        <v>46134</v>
      </c>
      <c r="F308" s="153">
        <v>0.15799768518518517</v>
      </c>
      <c r="G308" s="153" t="s">
        <v>80</v>
      </c>
      <c r="H308" s="158">
        <v>13980</v>
      </c>
      <c r="I308" s="158">
        <v>32000</v>
      </c>
      <c r="J308" s="158">
        <v>18020</v>
      </c>
    </row>
    <row r="309" spans="1:10" x14ac:dyDescent="0.3">
      <c r="A309" s="147">
        <v>305</v>
      </c>
      <c r="B309" s="153">
        <v>73</v>
      </c>
      <c r="C309" s="157">
        <v>46134</v>
      </c>
      <c r="D309" s="153">
        <v>0.17432870370370371</v>
      </c>
      <c r="E309" s="157">
        <v>46134</v>
      </c>
      <c r="F309" s="153">
        <v>0.18148148148148149</v>
      </c>
      <c r="G309" s="153" t="s">
        <v>64</v>
      </c>
      <c r="H309" s="158">
        <v>13860</v>
      </c>
      <c r="I309" s="158">
        <v>32620</v>
      </c>
      <c r="J309" s="158">
        <v>18760</v>
      </c>
    </row>
    <row r="310" spans="1:10" x14ac:dyDescent="0.3">
      <c r="A310" s="147">
        <v>306</v>
      </c>
      <c r="B310" s="153">
        <v>76</v>
      </c>
      <c r="C310" s="157">
        <v>46134</v>
      </c>
      <c r="D310" s="153">
        <v>0.20728009259259259</v>
      </c>
      <c r="E310" s="157">
        <v>46134</v>
      </c>
      <c r="F310" s="153">
        <v>0.21909722222222222</v>
      </c>
      <c r="G310" s="153" t="s">
        <v>85</v>
      </c>
      <c r="H310" s="158">
        <v>13840</v>
      </c>
      <c r="I310" s="158">
        <v>32770</v>
      </c>
      <c r="J310" s="158">
        <v>18930</v>
      </c>
    </row>
    <row r="311" spans="1:10" x14ac:dyDescent="0.3">
      <c r="A311" s="147">
        <v>307</v>
      </c>
      <c r="B311" s="153">
        <v>81</v>
      </c>
      <c r="C311" s="157">
        <v>46134</v>
      </c>
      <c r="D311" s="153">
        <v>0.27457175925925925</v>
      </c>
      <c r="E311" s="157">
        <v>46134</v>
      </c>
      <c r="F311" s="153">
        <v>0.28216435185185185</v>
      </c>
      <c r="G311" s="153" t="s">
        <v>80</v>
      </c>
      <c r="H311" s="158">
        <v>13960</v>
      </c>
      <c r="I311" s="158">
        <v>34030</v>
      </c>
      <c r="J311" s="158">
        <v>20070</v>
      </c>
    </row>
    <row r="312" spans="1:10" x14ac:dyDescent="0.3">
      <c r="A312" s="147">
        <v>308</v>
      </c>
      <c r="B312" s="153">
        <v>82</v>
      </c>
      <c r="C312" s="157">
        <v>46134</v>
      </c>
      <c r="D312" s="153">
        <v>0.30557870370370371</v>
      </c>
      <c r="E312" s="157">
        <v>46134</v>
      </c>
      <c r="F312" s="153">
        <v>0.31247685185185187</v>
      </c>
      <c r="G312" s="153" t="s">
        <v>64</v>
      </c>
      <c r="H312" s="158">
        <v>13860</v>
      </c>
      <c r="I312" s="158">
        <v>32480</v>
      </c>
      <c r="J312" s="158">
        <v>18620</v>
      </c>
    </row>
    <row r="313" spans="1:10" x14ac:dyDescent="0.3">
      <c r="A313" s="147">
        <v>309</v>
      </c>
      <c r="B313" s="153">
        <v>86</v>
      </c>
      <c r="C313" s="157">
        <v>46134</v>
      </c>
      <c r="D313" s="153">
        <v>0.35499999999999998</v>
      </c>
      <c r="E313" s="157">
        <v>46134</v>
      </c>
      <c r="F313" s="153">
        <v>0.35991898148148149</v>
      </c>
      <c r="G313" s="153" t="s">
        <v>85</v>
      </c>
      <c r="H313" s="158">
        <v>14100</v>
      </c>
      <c r="I313" s="158">
        <v>33550</v>
      </c>
      <c r="J313" s="158">
        <v>19450</v>
      </c>
    </row>
    <row r="314" spans="1:10" x14ac:dyDescent="0.3">
      <c r="A314" s="147">
        <v>310</v>
      </c>
      <c r="B314" s="153">
        <v>91</v>
      </c>
      <c r="C314" s="157">
        <v>46134</v>
      </c>
      <c r="D314" s="153">
        <v>0.41530092592592593</v>
      </c>
      <c r="E314" s="157">
        <v>46134</v>
      </c>
      <c r="F314" s="153">
        <v>0.41980324074074077</v>
      </c>
      <c r="G314" s="153" t="s">
        <v>80</v>
      </c>
      <c r="H314" s="158">
        <v>14240</v>
      </c>
      <c r="I314" s="158">
        <v>32850</v>
      </c>
      <c r="J314" s="158">
        <v>18610</v>
      </c>
    </row>
    <row r="315" spans="1:10" x14ac:dyDescent="0.3">
      <c r="A315" s="147">
        <v>311</v>
      </c>
      <c r="B315" s="153">
        <v>92</v>
      </c>
      <c r="C315" s="157">
        <v>46134</v>
      </c>
      <c r="D315" s="153">
        <v>0.44349537037037035</v>
      </c>
      <c r="E315" s="157">
        <v>46134</v>
      </c>
      <c r="F315" s="153">
        <v>0.45658564814814817</v>
      </c>
      <c r="G315" s="153" t="s">
        <v>64</v>
      </c>
      <c r="H315" s="158">
        <v>14110</v>
      </c>
      <c r="I315" s="158">
        <v>33460</v>
      </c>
      <c r="J315" s="158">
        <v>19350</v>
      </c>
    </row>
    <row r="316" spans="1:10" x14ac:dyDescent="0.3">
      <c r="A316" s="147">
        <v>312</v>
      </c>
      <c r="B316" s="153">
        <v>96</v>
      </c>
      <c r="C316" s="157">
        <v>46134</v>
      </c>
      <c r="D316" s="153">
        <v>0.49966435185185187</v>
      </c>
      <c r="E316" s="157">
        <v>46134</v>
      </c>
      <c r="F316" s="153">
        <v>0.50399305555555551</v>
      </c>
      <c r="G316" s="153" t="s">
        <v>85</v>
      </c>
      <c r="H316" s="158">
        <v>14020</v>
      </c>
      <c r="I316" s="158">
        <v>33130</v>
      </c>
      <c r="J316" s="158">
        <v>19110</v>
      </c>
    </row>
    <row r="317" spans="1:10" x14ac:dyDescent="0.3">
      <c r="A317" s="147">
        <v>313</v>
      </c>
      <c r="B317" s="153">
        <v>98</v>
      </c>
      <c r="C317" s="157">
        <v>46134</v>
      </c>
      <c r="D317" s="153">
        <v>0.54618055555555556</v>
      </c>
      <c r="E317" s="157">
        <v>46134</v>
      </c>
      <c r="F317" s="153">
        <v>0.55103009259259261</v>
      </c>
      <c r="G317" s="153" t="s">
        <v>80</v>
      </c>
      <c r="H317" s="158">
        <v>14200</v>
      </c>
      <c r="I317" s="158">
        <v>32060</v>
      </c>
      <c r="J317" s="158">
        <v>17860</v>
      </c>
    </row>
    <row r="318" spans="1:10" x14ac:dyDescent="0.3">
      <c r="A318" s="147">
        <v>314</v>
      </c>
      <c r="B318" s="153">
        <v>101</v>
      </c>
      <c r="C318" s="157">
        <v>46134</v>
      </c>
      <c r="D318" s="153">
        <v>0.57482638888888893</v>
      </c>
      <c r="E318" s="157">
        <v>46134</v>
      </c>
      <c r="F318" s="153">
        <v>0.57879629629629625</v>
      </c>
      <c r="G318" s="153" t="s">
        <v>64</v>
      </c>
      <c r="H318" s="158">
        <v>14100</v>
      </c>
      <c r="I318" s="158">
        <v>32940</v>
      </c>
      <c r="J318" s="158">
        <v>18840</v>
      </c>
    </row>
    <row r="319" spans="1:10" x14ac:dyDescent="0.3">
      <c r="A319" s="147">
        <v>315</v>
      </c>
      <c r="B319" s="153">
        <v>107</v>
      </c>
      <c r="C319" s="157">
        <v>46134</v>
      </c>
      <c r="D319" s="153">
        <v>0.64230324074074074</v>
      </c>
      <c r="E319" s="157">
        <v>46134</v>
      </c>
      <c r="F319" s="153">
        <v>0.64696759259259262</v>
      </c>
      <c r="G319" s="153" t="s">
        <v>85</v>
      </c>
      <c r="H319" s="158">
        <v>13980</v>
      </c>
      <c r="I319" s="158">
        <v>34200</v>
      </c>
      <c r="J319" s="158">
        <v>20220</v>
      </c>
    </row>
    <row r="320" spans="1:10" x14ac:dyDescent="0.3">
      <c r="A320" s="147">
        <v>316</v>
      </c>
      <c r="B320" s="153">
        <v>108</v>
      </c>
      <c r="C320" s="157">
        <v>46134</v>
      </c>
      <c r="D320" s="153">
        <v>0.66651620370370368</v>
      </c>
      <c r="E320" s="157">
        <v>46134</v>
      </c>
      <c r="F320" s="153">
        <v>0.67178240740740736</v>
      </c>
      <c r="G320" s="153" t="s">
        <v>80</v>
      </c>
      <c r="H320" s="158">
        <v>14210</v>
      </c>
      <c r="I320" s="158">
        <v>32630</v>
      </c>
      <c r="J320" s="158">
        <v>18420</v>
      </c>
    </row>
    <row r="321" spans="1:10" x14ac:dyDescent="0.3">
      <c r="A321" s="147">
        <v>317</v>
      </c>
      <c r="B321" s="153">
        <v>111</v>
      </c>
      <c r="C321" s="157">
        <v>46134</v>
      </c>
      <c r="D321" s="153" t="s">
        <v>690</v>
      </c>
      <c r="E321" s="157">
        <v>46134</v>
      </c>
      <c r="F321" s="153" t="s">
        <v>691</v>
      </c>
      <c r="G321" s="153" t="s">
        <v>64</v>
      </c>
      <c r="H321" s="158">
        <v>13990</v>
      </c>
      <c r="I321" s="158">
        <v>33140</v>
      </c>
      <c r="J321" s="158">
        <v>19150</v>
      </c>
    </row>
    <row r="322" spans="1:10" x14ac:dyDescent="0.3">
      <c r="A322" s="147">
        <v>318</v>
      </c>
      <c r="B322" s="153">
        <v>117</v>
      </c>
      <c r="C322" s="157">
        <v>46134</v>
      </c>
      <c r="D322" s="153" t="s">
        <v>692</v>
      </c>
      <c r="E322" s="157">
        <v>46134</v>
      </c>
      <c r="F322" s="153" t="s">
        <v>521</v>
      </c>
      <c r="G322" s="153" t="s">
        <v>85</v>
      </c>
      <c r="H322" s="158">
        <v>13880</v>
      </c>
      <c r="I322" s="158">
        <v>32360</v>
      </c>
      <c r="J322" s="158">
        <v>18480</v>
      </c>
    </row>
    <row r="323" spans="1:10" x14ac:dyDescent="0.3">
      <c r="A323" s="147">
        <v>319</v>
      </c>
      <c r="B323" s="153">
        <v>175</v>
      </c>
      <c r="C323" s="157">
        <v>46135</v>
      </c>
      <c r="D323" s="153">
        <v>4.1875000000000002E-2</v>
      </c>
      <c r="E323" s="157">
        <v>46135</v>
      </c>
      <c r="F323" s="153">
        <v>4.853009259259259E-2</v>
      </c>
      <c r="G323" s="153" t="s">
        <v>80</v>
      </c>
      <c r="H323" s="158">
        <v>14140</v>
      </c>
      <c r="I323" s="158">
        <v>32590</v>
      </c>
      <c r="J323" s="158">
        <v>18450</v>
      </c>
    </row>
    <row r="324" spans="1:10" x14ac:dyDescent="0.3">
      <c r="A324" s="147">
        <v>320</v>
      </c>
      <c r="B324" s="153">
        <v>177</v>
      </c>
      <c r="C324" s="157">
        <v>46135</v>
      </c>
      <c r="D324" s="153">
        <v>4.2905092592592592E-2</v>
      </c>
      <c r="E324" s="157">
        <v>46135</v>
      </c>
      <c r="F324" s="153">
        <v>5.6423611111111112E-2</v>
      </c>
      <c r="G324" s="153" t="s">
        <v>64</v>
      </c>
      <c r="H324" s="158">
        <v>14020</v>
      </c>
      <c r="I324" s="158">
        <v>32610</v>
      </c>
      <c r="J324" s="158">
        <v>18590</v>
      </c>
    </row>
    <row r="325" spans="1:10" x14ac:dyDescent="0.3">
      <c r="A325" s="147">
        <v>321</v>
      </c>
      <c r="B325" s="153">
        <v>179</v>
      </c>
      <c r="C325" s="157">
        <v>46135</v>
      </c>
      <c r="D325" s="153">
        <v>4.3761574074074071E-2</v>
      </c>
      <c r="E325" s="157">
        <v>46135</v>
      </c>
      <c r="F325" s="153">
        <v>6.5416666666666665E-2</v>
      </c>
      <c r="G325" s="153" t="s">
        <v>85</v>
      </c>
      <c r="H325" s="158">
        <v>13900</v>
      </c>
      <c r="I325" s="158">
        <v>32830</v>
      </c>
      <c r="J325" s="158">
        <v>18930</v>
      </c>
    </row>
    <row r="326" spans="1:10" x14ac:dyDescent="0.3">
      <c r="A326" s="147">
        <v>322</v>
      </c>
      <c r="B326" s="153">
        <v>184</v>
      </c>
      <c r="C326" s="157">
        <v>46135</v>
      </c>
      <c r="D326" s="153">
        <v>0.14305555555555555</v>
      </c>
      <c r="E326" s="157">
        <v>46135</v>
      </c>
      <c r="F326" s="153">
        <v>0.14844907407407407</v>
      </c>
      <c r="G326" s="153" t="s">
        <v>80</v>
      </c>
      <c r="H326" s="158">
        <v>14110</v>
      </c>
      <c r="I326" s="158">
        <v>33450</v>
      </c>
      <c r="J326" s="158">
        <v>19340</v>
      </c>
    </row>
    <row r="327" spans="1:10" x14ac:dyDescent="0.3">
      <c r="A327" s="147">
        <v>323</v>
      </c>
      <c r="B327" s="153">
        <v>187</v>
      </c>
      <c r="C327" s="157">
        <v>46135</v>
      </c>
      <c r="D327" s="153">
        <v>0.16260416666666666</v>
      </c>
      <c r="E327" s="157">
        <v>46135</v>
      </c>
      <c r="F327" s="153">
        <v>0.16840277777777779</v>
      </c>
      <c r="G327" s="153" t="s">
        <v>64</v>
      </c>
      <c r="H327" s="158">
        <v>13980</v>
      </c>
      <c r="I327" s="158">
        <v>33890</v>
      </c>
      <c r="J327" s="158">
        <v>19910</v>
      </c>
    </row>
    <row r="328" spans="1:10" x14ac:dyDescent="0.3">
      <c r="A328" s="147">
        <v>324</v>
      </c>
      <c r="B328" s="153">
        <v>190</v>
      </c>
      <c r="C328" s="157">
        <v>46135</v>
      </c>
      <c r="D328" s="153">
        <v>0.18708333333333332</v>
      </c>
      <c r="E328" s="157">
        <v>46135</v>
      </c>
      <c r="F328" s="153">
        <v>0.19218750000000001</v>
      </c>
      <c r="G328" s="153" t="s">
        <v>85</v>
      </c>
      <c r="H328" s="158">
        <v>13890</v>
      </c>
      <c r="I328" s="158">
        <v>33790</v>
      </c>
      <c r="J328" s="158">
        <v>19900</v>
      </c>
    </row>
    <row r="329" spans="1:10" x14ac:dyDescent="0.3">
      <c r="A329" s="147">
        <v>325</v>
      </c>
      <c r="B329" s="153">
        <v>194</v>
      </c>
      <c r="C329" s="157">
        <v>46135</v>
      </c>
      <c r="D329" s="153">
        <v>0.25068287037037035</v>
      </c>
      <c r="E329" s="157">
        <v>46135</v>
      </c>
      <c r="F329" s="153">
        <v>0.25644675925925925</v>
      </c>
      <c r="G329" s="153" t="s">
        <v>80</v>
      </c>
      <c r="H329" s="158">
        <v>14090</v>
      </c>
      <c r="I329" s="158">
        <v>31920</v>
      </c>
      <c r="J329" s="158">
        <v>17830</v>
      </c>
    </row>
    <row r="330" spans="1:10" x14ac:dyDescent="0.3">
      <c r="A330" s="147">
        <v>326</v>
      </c>
      <c r="B330" s="153">
        <v>197</v>
      </c>
      <c r="C330" s="157">
        <v>46135</v>
      </c>
      <c r="D330" s="153">
        <v>0.28944444444444445</v>
      </c>
      <c r="E330" s="157">
        <v>46135</v>
      </c>
      <c r="F330" s="153">
        <v>0.29603009259259261</v>
      </c>
      <c r="G330" s="153" t="s">
        <v>64</v>
      </c>
      <c r="H330" s="158">
        <v>13960</v>
      </c>
      <c r="I330" s="158">
        <v>33010</v>
      </c>
      <c r="J330" s="158">
        <v>19050</v>
      </c>
    </row>
    <row r="331" spans="1:10" x14ac:dyDescent="0.3">
      <c r="A331" s="147">
        <v>327</v>
      </c>
      <c r="B331" s="153">
        <v>201</v>
      </c>
      <c r="C331" s="157">
        <v>46135</v>
      </c>
      <c r="D331" s="153">
        <v>0.31563657407407408</v>
      </c>
      <c r="E331" s="157">
        <v>46135</v>
      </c>
      <c r="F331" s="153">
        <v>0.32983796296296297</v>
      </c>
      <c r="G331" s="153" t="s">
        <v>85</v>
      </c>
      <c r="H331" s="158">
        <v>13860</v>
      </c>
      <c r="I331" s="158">
        <v>33000</v>
      </c>
      <c r="J331" s="158">
        <v>19140</v>
      </c>
    </row>
    <row r="332" spans="1:10" x14ac:dyDescent="0.3">
      <c r="A332" s="147">
        <v>328</v>
      </c>
      <c r="B332" s="153">
        <v>204</v>
      </c>
      <c r="C332" s="157">
        <v>46135</v>
      </c>
      <c r="D332" s="153">
        <v>0.38994212962962965</v>
      </c>
      <c r="E332" s="157">
        <v>46135</v>
      </c>
      <c r="F332" s="153">
        <v>0.39483796296296297</v>
      </c>
      <c r="G332" s="153" t="s">
        <v>80</v>
      </c>
      <c r="H332" s="158">
        <v>14060</v>
      </c>
      <c r="I332" s="158">
        <v>33220</v>
      </c>
      <c r="J332" s="158">
        <v>19160</v>
      </c>
    </row>
    <row r="333" spans="1:10" x14ac:dyDescent="0.3">
      <c r="A333" s="147">
        <v>329</v>
      </c>
      <c r="B333" s="153">
        <v>207</v>
      </c>
      <c r="C333" s="157">
        <v>46135</v>
      </c>
      <c r="D333" s="153">
        <v>0.41538194444444443</v>
      </c>
      <c r="E333" s="157">
        <v>46135</v>
      </c>
      <c r="F333" s="153">
        <v>0.42015046296296299</v>
      </c>
      <c r="G333" s="153" t="s">
        <v>64</v>
      </c>
      <c r="H333" s="158">
        <v>13930</v>
      </c>
      <c r="I333" s="158">
        <v>33080</v>
      </c>
      <c r="J333" s="158">
        <v>19150</v>
      </c>
    </row>
    <row r="334" spans="1:10" x14ac:dyDescent="0.3">
      <c r="A334" s="147">
        <v>330</v>
      </c>
      <c r="B334" s="153">
        <v>210</v>
      </c>
      <c r="C334" s="157">
        <v>46135</v>
      </c>
      <c r="D334" s="153">
        <v>0.44916666666666666</v>
      </c>
      <c r="E334" s="157">
        <v>46135</v>
      </c>
      <c r="F334" s="153">
        <v>0.46141203703703704</v>
      </c>
      <c r="G334" s="153" t="s">
        <v>85</v>
      </c>
      <c r="H334" s="158">
        <v>13830</v>
      </c>
      <c r="I334" s="158">
        <v>32300</v>
      </c>
      <c r="J334" s="158">
        <v>18470</v>
      </c>
    </row>
    <row r="335" spans="1:10" x14ac:dyDescent="0.3">
      <c r="A335" s="147">
        <v>331</v>
      </c>
      <c r="B335" s="153">
        <v>214</v>
      </c>
      <c r="C335" s="157">
        <v>46135</v>
      </c>
      <c r="D335" s="153">
        <v>0.51576388888888891</v>
      </c>
      <c r="E335" s="157">
        <v>46135</v>
      </c>
      <c r="F335" s="153">
        <v>0.5209259259259259</v>
      </c>
      <c r="G335" s="153" t="s">
        <v>80</v>
      </c>
      <c r="H335" s="158">
        <v>14030</v>
      </c>
      <c r="I335" s="158">
        <v>32990</v>
      </c>
      <c r="J335" s="158">
        <v>18960</v>
      </c>
    </row>
    <row r="336" spans="1:10" x14ac:dyDescent="0.3">
      <c r="A336" s="147">
        <v>332</v>
      </c>
      <c r="B336" s="153">
        <v>217</v>
      </c>
      <c r="C336" s="157">
        <v>46135</v>
      </c>
      <c r="D336" s="153">
        <v>0.54090277777777773</v>
      </c>
      <c r="E336" s="157">
        <v>46135</v>
      </c>
      <c r="F336" s="153">
        <v>0.54682870370370373</v>
      </c>
      <c r="G336" s="153" t="s">
        <v>64</v>
      </c>
      <c r="H336" s="158">
        <v>13900</v>
      </c>
      <c r="I336" s="158">
        <v>32470</v>
      </c>
      <c r="J336" s="158">
        <v>18570</v>
      </c>
    </row>
    <row r="337" spans="1:10" x14ac:dyDescent="0.3">
      <c r="A337" s="147">
        <v>333</v>
      </c>
      <c r="B337" s="153">
        <v>220</v>
      </c>
      <c r="C337" s="157">
        <v>46135</v>
      </c>
      <c r="D337" s="153">
        <v>0.58004629629629634</v>
      </c>
      <c r="E337" s="157">
        <v>46135</v>
      </c>
      <c r="F337" s="153">
        <v>0.58511574074074069</v>
      </c>
      <c r="G337" s="153" t="s">
        <v>85</v>
      </c>
      <c r="H337" s="158">
        <v>14020</v>
      </c>
      <c r="I337" s="158">
        <v>32470</v>
      </c>
      <c r="J337" s="158">
        <v>18450</v>
      </c>
    </row>
    <row r="338" spans="1:10" x14ac:dyDescent="0.3">
      <c r="A338" s="147">
        <v>334</v>
      </c>
      <c r="B338" s="153">
        <v>224</v>
      </c>
      <c r="C338" s="157">
        <v>46135</v>
      </c>
      <c r="D338" s="153">
        <v>0.64048611111111109</v>
      </c>
      <c r="E338" s="157">
        <v>46135</v>
      </c>
      <c r="F338" s="153">
        <v>0.64645833333333336</v>
      </c>
      <c r="G338" s="153" t="s">
        <v>80</v>
      </c>
      <c r="H338" s="158">
        <v>14210</v>
      </c>
      <c r="I338" s="158">
        <v>33030</v>
      </c>
      <c r="J338" s="158">
        <v>18820</v>
      </c>
    </row>
    <row r="339" spans="1:10" x14ac:dyDescent="0.3">
      <c r="A339" s="147">
        <v>335</v>
      </c>
      <c r="B339" s="153">
        <v>227</v>
      </c>
      <c r="C339" s="157">
        <v>46135</v>
      </c>
      <c r="D339" s="153">
        <v>0.67215277777777782</v>
      </c>
      <c r="E339" s="157">
        <v>46135</v>
      </c>
      <c r="F339" s="153">
        <v>0.67692129629629627</v>
      </c>
      <c r="G339" s="153" t="s">
        <v>64</v>
      </c>
      <c r="H339" s="158">
        <v>13860</v>
      </c>
      <c r="I339" s="158">
        <v>33210</v>
      </c>
      <c r="J339" s="158">
        <v>19350</v>
      </c>
    </row>
    <row r="340" spans="1:10" x14ac:dyDescent="0.3">
      <c r="A340" s="147">
        <v>336</v>
      </c>
      <c r="B340" s="153">
        <v>230</v>
      </c>
      <c r="C340" s="157">
        <v>46135</v>
      </c>
      <c r="D340" s="153" t="s">
        <v>693</v>
      </c>
      <c r="E340" s="157">
        <v>46135</v>
      </c>
      <c r="F340" s="153" t="s">
        <v>694</v>
      </c>
      <c r="G340" s="153" t="s">
        <v>85</v>
      </c>
      <c r="H340" s="158">
        <v>14010</v>
      </c>
      <c r="I340" s="158">
        <v>34340</v>
      </c>
      <c r="J340" s="158">
        <v>20330</v>
      </c>
    </row>
    <row r="341" spans="1:10" x14ac:dyDescent="0.3">
      <c r="A341" s="147">
        <v>337</v>
      </c>
      <c r="B341" s="153">
        <v>234</v>
      </c>
      <c r="C341" s="157">
        <v>46136</v>
      </c>
      <c r="D341" s="153" t="s">
        <v>695</v>
      </c>
      <c r="E341" s="157">
        <v>46136</v>
      </c>
      <c r="F341" s="153" t="s">
        <v>696</v>
      </c>
      <c r="G341" s="153" t="s">
        <v>64</v>
      </c>
      <c r="H341" s="158">
        <v>13820</v>
      </c>
      <c r="I341" s="158">
        <v>32230</v>
      </c>
      <c r="J341" s="158">
        <v>18410</v>
      </c>
    </row>
    <row r="342" spans="1:10" x14ac:dyDescent="0.3">
      <c r="A342" s="147">
        <v>338</v>
      </c>
      <c r="B342" s="153">
        <v>235</v>
      </c>
      <c r="C342" s="157">
        <v>46136</v>
      </c>
      <c r="D342" s="153" t="s">
        <v>647</v>
      </c>
      <c r="E342" s="157">
        <v>46136</v>
      </c>
      <c r="F342" s="153" t="s">
        <v>697</v>
      </c>
      <c r="G342" s="153" t="s">
        <v>85</v>
      </c>
      <c r="H342" s="158">
        <v>13980</v>
      </c>
      <c r="I342" s="158">
        <v>32260</v>
      </c>
      <c r="J342" s="158">
        <v>18280</v>
      </c>
    </row>
    <row r="343" spans="1:10" x14ac:dyDescent="0.3">
      <c r="A343" s="147">
        <v>339</v>
      </c>
      <c r="B343" s="153">
        <v>237</v>
      </c>
      <c r="C343" s="157">
        <v>46136</v>
      </c>
      <c r="D343" s="153" t="s">
        <v>698</v>
      </c>
      <c r="E343" s="157">
        <v>46136</v>
      </c>
      <c r="F343" s="153" t="s">
        <v>699</v>
      </c>
      <c r="G343" s="153" t="s">
        <v>80</v>
      </c>
      <c r="H343" s="158">
        <v>14130</v>
      </c>
      <c r="I343" s="158">
        <v>34220</v>
      </c>
      <c r="J343" s="158">
        <v>20090</v>
      </c>
    </row>
    <row r="344" spans="1:10" x14ac:dyDescent="0.3">
      <c r="A344" s="147">
        <v>340</v>
      </c>
      <c r="B344" s="153">
        <v>238</v>
      </c>
      <c r="C344" s="157">
        <v>46136</v>
      </c>
      <c r="D344" s="153" t="s">
        <v>700</v>
      </c>
      <c r="E344" s="157">
        <v>46136</v>
      </c>
      <c r="F344" s="153" t="s">
        <v>701</v>
      </c>
      <c r="G344" s="153" t="s">
        <v>64</v>
      </c>
      <c r="H344" s="158">
        <v>13760</v>
      </c>
      <c r="I344" s="158">
        <v>32280</v>
      </c>
      <c r="J344" s="158">
        <v>18520</v>
      </c>
    </row>
    <row r="345" spans="1:10" x14ac:dyDescent="0.3">
      <c r="A345" s="147">
        <v>341</v>
      </c>
      <c r="B345" s="153">
        <v>244</v>
      </c>
      <c r="C345" s="157">
        <v>46136</v>
      </c>
      <c r="D345" s="153" t="s">
        <v>702</v>
      </c>
      <c r="E345" s="157">
        <v>46136</v>
      </c>
      <c r="F345" s="153" t="s">
        <v>703</v>
      </c>
      <c r="G345" s="153" t="s">
        <v>64</v>
      </c>
      <c r="H345" s="158">
        <v>13790</v>
      </c>
      <c r="I345" s="158">
        <v>33350</v>
      </c>
      <c r="J345" s="158">
        <v>19560</v>
      </c>
    </row>
    <row r="346" spans="1:10" x14ac:dyDescent="0.3">
      <c r="A346" s="147">
        <v>342</v>
      </c>
      <c r="B346" s="153">
        <v>246</v>
      </c>
      <c r="C346" s="157">
        <v>46136</v>
      </c>
      <c r="D346" s="153" t="s">
        <v>704</v>
      </c>
      <c r="E346" s="157">
        <v>46136</v>
      </c>
      <c r="F346" s="153" t="s">
        <v>705</v>
      </c>
      <c r="G346" s="153" t="s">
        <v>85</v>
      </c>
      <c r="H346" s="158">
        <v>13960</v>
      </c>
      <c r="I346" s="158">
        <v>33120</v>
      </c>
      <c r="J346" s="158">
        <v>19160</v>
      </c>
    </row>
    <row r="347" spans="1:10" x14ac:dyDescent="0.3">
      <c r="A347" s="147">
        <v>343</v>
      </c>
      <c r="B347" s="153">
        <v>247</v>
      </c>
      <c r="C347" s="157">
        <v>46136</v>
      </c>
      <c r="D347" s="153" t="s">
        <v>706</v>
      </c>
      <c r="E347" s="157">
        <v>46136</v>
      </c>
      <c r="F347" s="153" t="s">
        <v>707</v>
      </c>
      <c r="G347" s="153" t="s">
        <v>80</v>
      </c>
      <c r="H347" s="158">
        <v>14130</v>
      </c>
      <c r="I347" s="158">
        <v>33080</v>
      </c>
      <c r="J347" s="158">
        <v>18950</v>
      </c>
    </row>
    <row r="348" spans="1:10" x14ac:dyDescent="0.3">
      <c r="A348" s="147">
        <v>344</v>
      </c>
      <c r="B348" s="153">
        <v>254</v>
      </c>
      <c r="C348" s="157">
        <v>46136</v>
      </c>
      <c r="D348" s="153" t="s">
        <v>708</v>
      </c>
      <c r="E348" s="157">
        <v>46136</v>
      </c>
      <c r="F348" s="153" t="s">
        <v>709</v>
      </c>
      <c r="G348" s="153" t="s">
        <v>64</v>
      </c>
      <c r="H348" s="158">
        <v>13770</v>
      </c>
      <c r="I348" s="158">
        <v>33960</v>
      </c>
      <c r="J348" s="158">
        <v>20190</v>
      </c>
    </row>
    <row r="349" spans="1:10" x14ac:dyDescent="0.3">
      <c r="A349" s="147">
        <v>345</v>
      </c>
      <c r="B349" s="153">
        <v>256</v>
      </c>
      <c r="C349" s="157">
        <v>46136</v>
      </c>
      <c r="D349" s="153" t="s">
        <v>710</v>
      </c>
      <c r="E349" s="157">
        <v>46136</v>
      </c>
      <c r="F349" s="153" t="s">
        <v>711</v>
      </c>
      <c r="G349" s="153" t="s">
        <v>85</v>
      </c>
      <c r="H349" s="158">
        <v>13930</v>
      </c>
      <c r="I349" s="158">
        <v>34250</v>
      </c>
      <c r="J349" s="158">
        <v>20320</v>
      </c>
    </row>
    <row r="350" spans="1:10" x14ac:dyDescent="0.3">
      <c r="A350" s="147">
        <v>346</v>
      </c>
      <c r="B350" s="153">
        <v>257</v>
      </c>
      <c r="C350" s="157">
        <v>46136</v>
      </c>
      <c r="D350" s="153" t="s">
        <v>712</v>
      </c>
      <c r="E350" s="157">
        <v>46136</v>
      </c>
      <c r="F350" s="153" t="s">
        <v>713</v>
      </c>
      <c r="G350" s="153" t="s">
        <v>80</v>
      </c>
      <c r="H350" s="158">
        <v>14110</v>
      </c>
      <c r="I350" s="158">
        <v>33930</v>
      </c>
      <c r="J350" s="158">
        <v>19820</v>
      </c>
    </row>
    <row r="351" spans="1:10" x14ac:dyDescent="0.3">
      <c r="A351" s="147">
        <v>347</v>
      </c>
      <c r="B351" s="153">
        <v>265</v>
      </c>
      <c r="C351" s="157">
        <v>46136</v>
      </c>
      <c r="D351" s="153" t="s">
        <v>714</v>
      </c>
      <c r="E351" s="157">
        <v>46136</v>
      </c>
      <c r="F351" s="153" t="s">
        <v>715</v>
      </c>
      <c r="G351" s="153" t="s">
        <v>64</v>
      </c>
      <c r="H351" s="158">
        <v>14110</v>
      </c>
      <c r="I351" s="158">
        <v>35020</v>
      </c>
      <c r="J351" s="158">
        <v>20910</v>
      </c>
    </row>
    <row r="352" spans="1:10" x14ac:dyDescent="0.3">
      <c r="A352" s="147">
        <v>348</v>
      </c>
      <c r="B352" s="153">
        <v>266</v>
      </c>
      <c r="C352" s="157">
        <v>46136</v>
      </c>
      <c r="D352" s="153" t="s">
        <v>716</v>
      </c>
      <c r="E352" s="157">
        <v>46136</v>
      </c>
      <c r="F352" s="153" t="s">
        <v>717</v>
      </c>
      <c r="G352" s="153" t="s">
        <v>85</v>
      </c>
      <c r="H352" s="158">
        <v>13830</v>
      </c>
      <c r="I352" s="158">
        <v>34440</v>
      </c>
      <c r="J352" s="158">
        <v>20610</v>
      </c>
    </row>
    <row r="353" spans="1:10" x14ac:dyDescent="0.3">
      <c r="A353" s="147">
        <v>349</v>
      </c>
      <c r="B353" s="153">
        <v>268</v>
      </c>
      <c r="C353" s="157">
        <v>46136</v>
      </c>
      <c r="D353" s="153" t="s">
        <v>718</v>
      </c>
      <c r="E353" s="157">
        <v>46136</v>
      </c>
      <c r="F353" s="153" t="s">
        <v>719</v>
      </c>
      <c r="G353" s="153" t="s">
        <v>80</v>
      </c>
      <c r="H353" s="158">
        <v>14040</v>
      </c>
      <c r="I353" s="158">
        <v>35280</v>
      </c>
      <c r="J353" s="158">
        <v>21240</v>
      </c>
    </row>
    <row r="354" spans="1:10" x14ac:dyDescent="0.3">
      <c r="A354" s="147">
        <v>350</v>
      </c>
      <c r="B354" s="153">
        <v>275</v>
      </c>
      <c r="C354" s="157">
        <v>46136</v>
      </c>
      <c r="D354" s="153" t="s">
        <v>720</v>
      </c>
      <c r="E354" s="157">
        <v>46136</v>
      </c>
      <c r="F354" s="153" t="s">
        <v>721</v>
      </c>
      <c r="G354" s="153" t="s">
        <v>64</v>
      </c>
      <c r="H354" s="158">
        <v>14070</v>
      </c>
      <c r="I354" s="158">
        <v>33980</v>
      </c>
      <c r="J354" s="158">
        <v>19910</v>
      </c>
    </row>
    <row r="355" spans="1:10" x14ac:dyDescent="0.3">
      <c r="A355" s="147">
        <v>351</v>
      </c>
      <c r="B355" s="153">
        <v>276</v>
      </c>
      <c r="C355" s="157">
        <v>46136</v>
      </c>
      <c r="D355" s="153" t="s">
        <v>722</v>
      </c>
      <c r="E355" s="157">
        <v>46136</v>
      </c>
      <c r="F355" s="153" t="s">
        <v>723</v>
      </c>
      <c r="G355" s="153" t="s">
        <v>85</v>
      </c>
      <c r="H355" s="158">
        <v>13850</v>
      </c>
      <c r="I355" s="158">
        <v>33030</v>
      </c>
      <c r="J355" s="158">
        <v>19180</v>
      </c>
    </row>
    <row r="356" spans="1:10" x14ac:dyDescent="0.3">
      <c r="A356" s="147">
        <v>352</v>
      </c>
      <c r="B356" s="153">
        <v>278</v>
      </c>
      <c r="C356" s="157">
        <v>46136</v>
      </c>
      <c r="D356" s="153" t="s">
        <v>724</v>
      </c>
      <c r="E356" s="157">
        <v>46136</v>
      </c>
      <c r="F356" s="153" t="s">
        <v>725</v>
      </c>
      <c r="G356" s="153" t="s">
        <v>80</v>
      </c>
      <c r="H356" s="158">
        <v>14030</v>
      </c>
      <c r="I356" s="158">
        <v>34390</v>
      </c>
      <c r="J356" s="158">
        <v>20360</v>
      </c>
    </row>
    <row r="357" spans="1:10" x14ac:dyDescent="0.3">
      <c r="A357" s="147">
        <v>353</v>
      </c>
      <c r="B357" s="153">
        <v>285</v>
      </c>
      <c r="C357" s="157">
        <v>46137</v>
      </c>
      <c r="D357" s="153" t="s">
        <v>726</v>
      </c>
      <c r="E357" s="157">
        <v>46137</v>
      </c>
      <c r="F357" s="153" t="s">
        <v>727</v>
      </c>
      <c r="G357" s="153" t="s">
        <v>80</v>
      </c>
      <c r="H357" s="158">
        <v>14000</v>
      </c>
      <c r="I357" s="158">
        <v>32780</v>
      </c>
      <c r="J357" s="158">
        <v>18780</v>
      </c>
    </row>
    <row r="358" spans="1:10" x14ac:dyDescent="0.3">
      <c r="A358" s="147">
        <v>354</v>
      </c>
      <c r="B358" s="153">
        <v>288</v>
      </c>
      <c r="C358" s="157">
        <v>46137</v>
      </c>
      <c r="D358" s="153" t="s">
        <v>728</v>
      </c>
      <c r="E358" s="157">
        <v>46137</v>
      </c>
      <c r="F358" s="153" t="s">
        <v>729</v>
      </c>
      <c r="G358" s="153" t="s">
        <v>64</v>
      </c>
      <c r="H358" s="158">
        <v>14040</v>
      </c>
      <c r="I358" s="158">
        <v>33950</v>
      </c>
      <c r="J358" s="158">
        <v>19910</v>
      </c>
    </row>
    <row r="359" spans="1:10" x14ac:dyDescent="0.3">
      <c r="A359" s="147">
        <v>355</v>
      </c>
      <c r="B359" s="153">
        <v>292</v>
      </c>
      <c r="C359" s="157">
        <v>46137</v>
      </c>
      <c r="D359" s="153" t="s">
        <v>730</v>
      </c>
      <c r="E359" s="157">
        <v>46137</v>
      </c>
      <c r="F359" s="153" t="s">
        <v>731</v>
      </c>
      <c r="G359" s="153" t="s">
        <v>85</v>
      </c>
      <c r="H359" s="158">
        <v>13820</v>
      </c>
      <c r="I359" s="158">
        <v>33250</v>
      </c>
      <c r="J359" s="158">
        <v>19430</v>
      </c>
    </row>
    <row r="360" spans="1:10" x14ac:dyDescent="0.3">
      <c r="A360" s="147">
        <v>356</v>
      </c>
      <c r="B360" s="153">
        <v>295</v>
      </c>
      <c r="C360" s="157">
        <v>46137</v>
      </c>
      <c r="D360" s="153" t="s">
        <v>732</v>
      </c>
      <c r="E360" s="157">
        <v>46137</v>
      </c>
      <c r="F360" s="153" t="s">
        <v>733</v>
      </c>
      <c r="G360" s="153" t="s">
        <v>80</v>
      </c>
      <c r="H360" s="158">
        <v>13950</v>
      </c>
      <c r="I360" s="158">
        <v>32810</v>
      </c>
      <c r="J360" s="158">
        <v>18860</v>
      </c>
    </row>
    <row r="361" spans="1:10" x14ac:dyDescent="0.3">
      <c r="A361" s="147">
        <v>357</v>
      </c>
      <c r="B361" s="153">
        <v>298</v>
      </c>
      <c r="C361" s="157">
        <v>46137</v>
      </c>
      <c r="D361" s="153" t="s">
        <v>734</v>
      </c>
      <c r="E361" s="157">
        <v>46137</v>
      </c>
      <c r="F361" s="153" t="s">
        <v>735</v>
      </c>
      <c r="G361" s="153" t="s">
        <v>64</v>
      </c>
      <c r="H361" s="158">
        <v>14030</v>
      </c>
      <c r="I361" s="158">
        <v>32740</v>
      </c>
      <c r="J361" s="158">
        <v>18710</v>
      </c>
    </row>
    <row r="362" spans="1:10" x14ac:dyDescent="0.3">
      <c r="A362" s="147">
        <v>358</v>
      </c>
      <c r="B362" s="153">
        <v>302</v>
      </c>
      <c r="C362" s="157">
        <v>46137</v>
      </c>
      <c r="D362" s="153" t="s">
        <v>736</v>
      </c>
      <c r="E362" s="157">
        <v>46137</v>
      </c>
      <c r="F362" s="153" t="s">
        <v>737</v>
      </c>
      <c r="G362" s="153" t="s">
        <v>85</v>
      </c>
      <c r="H362" s="158">
        <v>13820</v>
      </c>
      <c r="I362" s="158">
        <v>33290</v>
      </c>
      <c r="J362" s="158">
        <v>19470</v>
      </c>
    </row>
    <row r="363" spans="1:10" x14ac:dyDescent="0.3">
      <c r="A363" s="147">
        <v>359</v>
      </c>
      <c r="B363" s="153">
        <v>305</v>
      </c>
      <c r="C363" s="157">
        <v>46137</v>
      </c>
      <c r="D363" s="153" t="s">
        <v>738</v>
      </c>
      <c r="E363" s="157">
        <v>46137</v>
      </c>
      <c r="F363" s="153" t="s">
        <v>739</v>
      </c>
      <c r="G363" s="153" t="s">
        <v>80</v>
      </c>
      <c r="H363" s="158">
        <v>13930</v>
      </c>
      <c r="I363" s="158">
        <v>32710</v>
      </c>
      <c r="J363" s="158">
        <v>18780</v>
      </c>
    </row>
    <row r="364" spans="1:10" x14ac:dyDescent="0.3">
      <c r="A364" s="147">
        <v>360</v>
      </c>
      <c r="B364" s="153">
        <v>309</v>
      </c>
      <c r="C364" s="157">
        <v>46137</v>
      </c>
      <c r="D364" s="153" t="s">
        <v>740</v>
      </c>
      <c r="E364" s="157">
        <v>46137</v>
      </c>
      <c r="F364" s="153" t="s">
        <v>741</v>
      </c>
      <c r="G364" s="153" t="s">
        <v>64</v>
      </c>
      <c r="H364" s="158">
        <v>13990</v>
      </c>
      <c r="I364" s="158">
        <v>33290</v>
      </c>
      <c r="J364" s="158">
        <v>19300</v>
      </c>
    </row>
    <row r="365" spans="1:10" x14ac:dyDescent="0.3">
      <c r="A365" s="147">
        <v>361</v>
      </c>
      <c r="B365" s="153">
        <v>312</v>
      </c>
      <c r="C365" s="157">
        <v>46137</v>
      </c>
      <c r="D365" s="153" t="s">
        <v>742</v>
      </c>
      <c r="E365" s="157">
        <v>46137</v>
      </c>
      <c r="F365" s="153" t="s">
        <v>743</v>
      </c>
      <c r="G365" s="153" t="s">
        <v>85</v>
      </c>
      <c r="H365" s="158">
        <v>13770</v>
      </c>
      <c r="I365" s="158">
        <v>32220</v>
      </c>
      <c r="J365" s="158">
        <v>18450</v>
      </c>
    </row>
    <row r="366" spans="1:10" x14ac:dyDescent="0.3">
      <c r="A366" s="147">
        <v>362</v>
      </c>
      <c r="B366" s="153">
        <v>315</v>
      </c>
      <c r="C366" s="157">
        <v>46137</v>
      </c>
      <c r="D366" s="153" t="s">
        <v>744</v>
      </c>
      <c r="E366" s="157">
        <v>46137</v>
      </c>
      <c r="F366" s="153" t="s">
        <v>745</v>
      </c>
      <c r="G366" s="153" t="s">
        <v>80</v>
      </c>
      <c r="H366" s="158">
        <v>14220</v>
      </c>
      <c r="I366" s="158">
        <v>32760</v>
      </c>
      <c r="J366" s="158">
        <v>18540</v>
      </c>
    </row>
    <row r="367" spans="1:10" x14ac:dyDescent="0.3">
      <c r="A367" s="147">
        <v>363</v>
      </c>
      <c r="B367" s="153">
        <v>320</v>
      </c>
      <c r="C367" s="157">
        <v>46137</v>
      </c>
      <c r="D367" s="153" t="s">
        <v>746</v>
      </c>
      <c r="E367" s="157">
        <v>46137</v>
      </c>
      <c r="F367" s="153" t="s">
        <v>747</v>
      </c>
      <c r="G367" s="153" t="s">
        <v>64</v>
      </c>
      <c r="H367" s="158">
        <v>13950</v>
      </c>
      <c r="I367" s="158">
        <v>34470</v>
      </c>
      <c r="J367" s="158">
        <v>20520</v>
      </c>
    </row>
    <row r="368" spans="1:10" x14ac:dyDescent="0.3">
      <c r="A368" s="147">
        <v>364</v>
      </c>
      <c r="B368" s="153">
        <v>322</v>
      </c>
      <c r="C368" s="157">
        <v>46137</v>
      </c>
      <c r="D368" s="153" t="s">
        <v>748</v>
      </c>
      <c r="E368" s="157">
        <v>46137</v>
      </c>
      <c r="F368" s="153" t="s">
        <v>749</v>
      </c>
      <c r="G368" s="153" t="s">
        <v>85</v>
      </c>
      <c r="H368" s="158">
        <v>13720</v>
      </c>
      <c r="I368" s="158">
        <v>33860</v>
      </c>
      <c r="J368" s="158">
        <v>20140</v>
      </c>
    </row>
    <row r="369" spans="1:10" x14ac:dyDescent="0.3">
      <c r="A369" s="147">
        <v>365</v>
      </c>
      <c r="B369" s="153">
        <v>325</v>
      </c>
      <c r="C369" s="157">
        <v>46137</v>
      </c>
      <c r="D369" s="153" t="s">
        <v>750</v>
      </c>
      <c r="E369" s="157">
        <v>46137</v>
      </c>
      <c r="F369" s="153" t="s">
        <v>751</v>
      </c>
      <c r="G369" s="153" t="s">
        <v>80</v>
      </c>
      <c r="H369" s="158">
        <v>14270</v>
      </c>
      <c r="I369" s="158">
        <v>33300</v>
      </c>
      <c r="J369" s="158">
        <v>19030</v>
      </c>
    </row>
    <row r="370" spans="1:10" x14ac:dyDescent="0.3">
      <c r="A370" s="147">
        <v>366</v>
      </c>
      <c r="B370" s="153">
        <v>329</v>
      </c>
      <c r="C370" s="157">
        <v>46137</v>
      </c>
      <c r="D370" s="153" t="s">
        <v>752</v>
      </c>
      <c r="E370" s="157">
        <v>46137</v>
      </c>
      <c r="F370" s="153" t="s">
        <v>753</v>
      </c>
      <c r="G370" s="153" t="s">
        <v>64</v>
      </c>
      <c r="H370" s="158">
        <v>13920</v>
      </c>
      <c r="I370" s="158">
        <v>33930</v>
      </c>
      <c r="J370" s="158">
        <v>20010</v>
      </c>
    </row>
    <row r="371" spans="1:10" x14ac:dyDescent="0.3">
      <c r="A371" s="147">
        <v>367</v>
      </c>
      <c r="B371" s="153">
        <v>331</v>
      </c>
      <c r="C371" s="157">
        <v>46137</v>
      </c>
      <c r="D371" s="153" t="s">
        <v>754</v>
      </c>
      <c r="E371" s="157">
        <v>46137</v>
      </c>
      <c r="F371" s="153" t="s">
        <v>755</v>
      </c>
      <c r="G371" s="153" t="s">
        <v>85</v>
      </c>
      <c r="H371" s="158">
        <v>14020</v>
      </c>
      <c r="I371" s="158">
        <v>34350</v>
      </c>
      <c r="J371" s="158">
        <v>20330</v>
      </c>
    </row>
    <row r="372" spans="1:10" x14ac:dyDescent="0.3">
      <c r="A372" s="147">
        <v>368</v>
      </c>
      <c r="B372" s="153">
        <v>334</v>
      </c>
      <c r="C372" s="157">
        <v>46137</v>
      </c>
      <c r="D372" s="153" t="s">
        <v>756</v>
      </c>
      <c r="E372" s="157">
        <v>46137</v>
      </c>
      <c r="F372" s="153" t="s">
        <v>757</v>
      </c>
      <c r="G372" s="153" t="s">
        <v>80</v>
      </c>
      <c r="H372" s="158">
        <v>14150</v>
      </c>
      <c r="I372" s="158">
        <v>33690</v>
      </c>
      <c r="J372" s="158">
        <v>19540</v>
      </c>
    </row>
    <row r="373" spans="1:10" x14ac:dyDescent="0.3">
      <c r="A373" s="147">
        <v>369</v>
      </c>
      <c r="B373" s="153">
        <v>340</v>
      </c>
      <c r="C373" s="157">
        <v>46137</v>
      </c>
      <c r="D373" s="153" t="s">
        <v>758</v>
      </c>
      <c r="E373" s="157">
        <v>46137</v>
      </c>
      <c r="F373" s="153" t="s">
        <v>759</v>
      </c>
      <c r="G373" s="153" t="s">
        <v>64</v>
      </c>
      <c r="H373" s="158">
        <v>13890</v>
      </c>
      <c r="I373" s="158">
        <v>32640</v>
      </c>
      <c r="J373" s="158">
        <v>18750</v>
      </c>
    </row>
    <row r="374" spans="1:10" x14ac:dyDescent="0.3">
      <c r="A374" s="147">
        <v>370</v>
      </c>
      <c r="B374" s="153">
        <v>342</v>
      </c>
      <c r="C374" s="157">
        <v>46137</v>
      </c>
      <c r="D374" s="153" t="s">
        <v>760</v>
      </c>
      <c r="E374" s="157">
        <v>46137</v>
      </c>
      <c r="F374" s="153" t="s">
        <v>761</v>
      </c>
      <c r="G374" s="153" t="s">
        <v>85</v>
      </c>
      <c r="H374" s="158">
        <v>13970</v>
      </c>
      <c r="I374" s="158">
        <v>33130</v>
      </c>
      <c r="J374" s="158">
        <v>19160</v>
      </c>
    </row>
    <row r="375" spans="1:10" x14ac:dyDescent="0.3">
      <c r="A375" s="147">
        <v>371</v>
      </c>
      <c r="B375" s="153">
        <v>348</v>
      </c>
      <c r="C375" s="157">
        <v>46139</v>
      </c>
      <c r="D375" s="153" t="s">
        <v>762</v>
      </c>
      <c r="E375" s="157">
        <v>46139</v>
      </c>
      <c r="F375" s="153" t="s">
        <v>763</v>
      </c>
      <c r="G375" s="153" t="s">
        <v>64</v>
      </c>
      <c r="H375" s="158">
        <v>13860</v>
      </c>
      <c r="I375" s="158">
        <v>34380</v>
      </c>
      <c r="J375" s="158">
        <v>20520</v>
      </c>
    </row>
    <row r="376" spans="1:10" x14ac:dyDescent="0.3">
      <c r="A376" s="147">
        <v>372</v>
      </c>
      <c r="B376" s="153">
        <v>349</v>
      </c>
      <c r="C376" s="157">
        <v>46139</v>
      </c>
      <c r="D376" s="153" t="s">
        <v>764</v>
      </c>
      <c r="E376" s="157">
        <v>46139</v>
      </c>
      <c r="F376" s="153" t="s">
        <v>765</v>
      </c>
      <c r="G376" s="153" t="s">
        <v>80</v>
      </c>
      <c r="H376" s="158">
        <v>14120</v>
      </c>
      <c r="I376" s="158">
        <v>34120</v>
      </c>
      <c r="J376" s="158">
        <v>20000</v>
      </c>
    </row>
    <row r="377" spans="1:10" x14ac:dyDescent="0.3">
      <c r="A377" s="147">
        <v>373</v>
      </c>
      <c r="B377" s="153">
        <v>357</v>
      </c>
      <c r="C377" s="157">
        <v>46139</v>
      </c>
      <c r="D377" s="153" t="s">
        <v>766</v>
      </c>
      <c r="E377" s="157">
        <v>46139</v>
      </c>
      <c r="F377" s="153" t="s">
        <v>767</v>
      </c>
      <c r="G377" s="153" t="s">
        <v>85</v>
      </c>
      <c r="H377" s="158">
        <v>13940</v>
      </c>
      <c r="I377" s="158">
        <v>35230</v>
      </c>
      <c r="J377" s="158">
        <v>21290</v>
      </c>
    </row>
    <row r="378" spans="1:10" x14ac:dyDescent="0.3">
      <c r="A378" s="147">
        <v>374</v>
      </c>
      <c r="B378" s="153">
        <v>358</v>
      </c>
      <c r="C378" s="157">
        <v>46139</v>
      </c>
      <c r="D378" s="153" t="s">
        <v>768</v>
      </c>
      <c r="E378" s="157">
        <v>46139</v>
      </c>
      <c r="F378" s="153" t="s">
        <v>769</v>
      </c>
      <c r="G378" s="153" t="s">
        <v>85</v>
      </c>
      <c r="H378" s="158">
        <v>13940</v>
      </c>
      <c r="I378" s="158">
        <v>35310</v>
      </c>
      <c r="J378" s="158">
        <v>21370</v>
      </c>
    </row>
    <row r="379" spans="1:10" x14ac:dyDescent="0.3">
      <c r="A379" s="147">
        <v>375</v>
      </c>
      <c r="B379" s="153">
        <v>359</v>
      </c>
      <c r="C379" s="157">
        <v>46139</v>
      </c>
      <c r="D379" s="153" t="s">
        <v>770</v>
      </c>
      <c r="E379" s="157">
        <v>46139</v>
      </c>
      <c r="F379" s="153" t="s">
        <v>771</v>
      </c>
      <c r="G379" s="153" t="s">
        <v>64</v>
      </c>
      <c r="H379" s="158">
        <v>14110</v>
      </c>
      <c r="I379" s="158">
        <v>34810</v>
      </c>
      <c r="J379" s="158">
        <v>20700</v>
      </c>
    </row>
    <row r="380" spans="1:10" x14ac:dyDescent="0.3">
      <c r="A380" s="147">
        <v>376</v>
      </c>
      <c r="B380" s="153">
        <v>360</v>
      </c>
      <c r="C380" s="157">
        <v>46139</v>
      </c>
      <c r="D380" s="153" t="s">
        <v>772</v>
      </c>
      <c r="E380" s="157">
        <v>46139</v>
      </c>
      <c r="F380" s="153" t="s">
        <v>773</v>
      </c>
      <c r="G380" s="153" t="s">
        <v>80</v>
      </c>
      <c r="H380" s="158">
        <v>14080</v>
      </c>
      <c r="I380" s="158">
        <v>35080</v>
      </c>
      <c r="J380" s="158">
        <v>21000</v>
      </c>
    </row>
    <row r="381" spans="1:10" x14ac:dyDescent="0.3">
      <c r="A381" s="147">
        <v>377</v>
      </c>
      <c r="B381" s="153">
        <v>367</v>
      </c>
      <c r="C381" s="157">
        <v>46139</v>
      </c>
      <c r="D381" s="153" t="s">
        <v>774</v>
      </c>
      <c r="E381" s="157">
        <v>46139</v>
      </c>
      <c r="F381" s="153" t="s">
        <v>775</v>
      </c>
      <c r="G381" s="153" t="s">
        <v>85</v>
      </c>
      <c r="H381" s="158">
        <v>13860</v>
      </c>
      <c r="I381" s="158">
        <v>34350</v>
      </c>
      <c r="J381" s="158">
        <v>20490</v>
      </c>
    </row>
    <row r="382" spans="1:10" x14ac:dyDescent="0.3">
      <c r="A382" s="147">
        <v>378</v>
      </c>
      <c r="B382" s="153">
        <v>370</v>
      </c>
      <c r="C382" s="157">
        <v>46139</v>
      </c>
      <c r="D382" s="153" t="s">
        <v>776</v>
      </c>
      <c r="E382" s="157">
        <v>46139</v>
      </c>
      <c r="F382" s="153" t="s">
        <v>777</v>
      </c>
      <c r="G382" s="153" t="s">
        <v>64</v>
      </c>
      <c r="H382" s="158">
        <v>14060</v>
      </c>
      <c r="I382" s="158">
        <v>34370</v>
      </c>
      <c r="J382" s="158">
        <v>20310</v>
      </c>
    </row>
    <row r="383" spans="1:10" x14ac:dyDescent="0.3">
      <c r="A383" s="147">
        <v>379</v>
      </c>
      <c r="B383" s="153">
        <v>371</v>
      </c>
      <c r="C383" s="157">
        <v>46139</v>
      </c>
      <c r="D383" s="153" t="s">
        <v>778</v>
      </c>
      <c r="E383" s="157">
        <v>46139</v>
      </c>
      <c r="F383" s="153" t="s">
        <v>779</v>
      </c>
      <c r="G383" s="153" t="s">
        <v>80</v>
      </c>
      <c r="H383" s="158">
        <v>14010</v>
      </c>
      <c r="I383" s="158">
        <v>34220</v>
      </c>
      <c r="J383" s="158">
        <v>20210</v>
      </c>
    </row>
    <row r="384" spans="1:10" x14ac:dyDescent="0.3">
      <c r="A384" s="147">
        <v>380</v>
      </c>
      <c r="B384" s="153">
        <v>379</v>
      </c>
      <c r="C384" s="157">
        <v>46139</v>
      </c>
      <c r="D384" s="153" t="s">
        <v>780</v>
      </c>
      <c r="E384" s="157">
        <v>46139</v>
      </c>
      <c r="F384" s="153" t="s">
        <v>781</v>
      </c>
      <c r="G384" s="153" t="s">
        <v>85</v>
      </c>
      <c r="H384" s="158">
        <v>13900</v>
      </c>
      <c r="I384" s="158">
        <v>34070</v>
      </c>
      <c r="J384" s="158">
        <v>20170</v>
      </c>
    </row>
    <row r="385" spans="1:10" x14ac:dyDescent="0.3">
      <c r="A385" s="147">
        <v>381</v>
      </c>
      <c r="B385" s="153">
        <v>380</v>
      </c>
      <c r="C385" s="157">
        <v>46139</v>
      </c>
      <c r="D385" s="153" t="s">
        <v>782</v>
      </c>
      <c r="E385" s="157">
        <v>46139</v>
      </c>
      <c r="F385" s="153" t="s">
        <v>783</v>
      </c>
      <c r="G385" s="153" t="s">
        <v>64</v>
      </c>
      <c r="H385" s="158">
        <v>14020</v>
      </c>
      <c r="I385" s="158">
        <v>34920</v>
      </c>
      <c r="J385" s="158">
        <v>20900</v>
      </c>
    </row>
    <row r="386" spans="1:10" x14ac:dyDescent="0.3">
      <c r="A386" s="147">
        <v>382</v>
      </c>
      <c r="B386" s="153">
        <v>382</v>
      </c>
      <c r="C386" s="157">
        <v>46139</v>
      </c>
      <c r="D386" s="153" t="s">
        <v>784</v>
      </c>
      <c r="E386" s="157">
        <v>46139</v>
      </c>
      <c r="F386" s="153" t="s">
        <v>785</v>
      </c>
      <c r="G386" s="153" t="s">
        <v>80</v>
      </c>
      <c r="H386" s="158">
        <v>13930</v>
      </c>
      <c r="I386" s="158">
        <v>35310</v>
      </c>
      <c r="J386" s="158">
        <v>21380</v>
      </c>
    </row>
    <row r="387" spans="1:10" x14ac:dyDescent="0.3">
      <c r="A387" s="147">
        <v>383</v>
      </c>
      <c r="B387" s="153">
        <v>388</v>
      </c>
      <c r="C387" s="157">
        <v>46140</v>
      </c>
      <c r="D387" s="153" t="s">
        <v>786</v>
      </c>
      <c r="E387" s="157">
        <v>46140</v>
      </c>
      <c r="F387" s="153" t="s">
        <v>787</v>
      </c>
      <c r="G387" s="153" t="s">
        <v>80</v>
      </c>
      <c r="H387" s="158">
        <v>13980</v>
      </c>
      <c r="I387" s="158">
        <v>35040</v>
      </c>
      <c r="J387" s="158">
        <v>21060</v>
      </c>
    </row>
    <row r="388" spans="1:10" x14ac:dyDescent="0.3">
      <c r="A388" s="147">
        <v>384</v>
      </c>
      <c r="B388" s="153">
        <v>393</v>
      </c>
      <c r="C388" s="157">
        <v>46140</v>
      </c>
      <c r="D388" s="153" t="s">
        <v>788</v>
      </c>
      <c r="E388" s="157">
        <v>46140</v>
      </c>
      <c r="F388" s="153" t="s">
        <v>789</v>
      </c>
      <c r="G388" s="153" t="s">
        <v>85</v>
      </c>
      <c r="H388" s="158">
        <v>14010</v>
      </c>
      <c r="I388" s="158">
        <v>33790</v>
      </c>
      <c r="J388" s="158">
        <v>19780</v>
      </c>
    </row>
    <row r="389" spans="1:10" x14ac:dyDescent="0.3">
      <c r="A389" s="147">
        <v>385</v>
      </c>
      <c r="B389" s="153">
        <v>394</v>
      </c>
      <c r="C389" s="157">
        <v>46140</v>
      </c>
      <c r="D389" s="153" t="s">
        <v>790</v>
      </c>
      <c r="E389" s="157">
        <v>46140</v>
      </c>
      <c r="F389" s="153" t="s">
        <v>791</v>
      </c>
      <c r="G389" s="153" t="s">
        <v>64</v>
      </c>
      <c r="H389" s="158">
        <v>14010</v>
      </c>
      <c r="I389" s="158">
        <v>33000</v>
      </c>
      <c r="J389" s="158">
        <v>18990</v>
      </c>
    </row>
    <row r="390" spans="1:10" x14ac:dyDescent="0.3">
      <c r="A390" s="147">
        <v>386</v>
      </c>
      <c r="B390" s="153">
        <v>402</v>
      </c>
      <c r="C390" s="157">
        <v>46140</v>
      </c>
      <c r="D390" s="153" t="s">
        <v>792</v>
      </c>
      <c r="E390" s="157">
        <v>46140</v>
      </c>
      <c r="F390" s="153" t="s">
        <v>793</v>
      </c>
      <c r="G390" s="153" t="s">
        <v>80</v>
      </c>
      <c r="H390" s="158">
        <v>13940</v>
      </c>
      <c r="I390" s="158">
        <v>31530</v>
      </c>
      <c r="J390" s="158">
        <v>17590</v>
      </c>
    </row>
    <row r="391" spans="1:10" x14ac:dyDescent="0.3">
      <c r="A391" s="147">
        <v>387</v>
      </c>
      <c r="B391" s="153">
        <v>404</v>
      </c>
      <c r="C391" s="157">
        <v>46140</v>
      </c>
      <c r="D391" s="153" t="s">
        <v>794</v>
      </c>
      <c r="E391" s="157">
        <v>46140</v>
      </c>
      <c r="F391" s="153" t="s">
        <v>795</v>
      </c>
      <c r="G391" s="153" t="s">
        <v>85</v>
      </c>
      <c r="H391" s="158">
        <v>13970</v>
      </c>
      <c r="I391" s="158">
        <v>32360</v>
      </c>
      <c r="J391" s="158">
        <v>18390</v>
      </c>
    </row>
    <row r="392" spans="1:10" x14ac:dyDescent="0.3">
      <c r="A392" s="147">
        <v>388</v>
      </c>
      <c r="B392" s="153">
        <v>405</v>
      </c>
      <c r="C392" s="157">
        <v>46140</v>
      </c>
      <c r="D392" s="153" t="s">
        <v>796</v>
      </c>
      <c r="E392" s="157">
        <v>46140</v>
      </c>
      <c r="F392" s="153" t="s">
        <v>797</v>
      </c>
      <c r="G392" s="153" t="s">
        <v>64</v>
      </c>
      <c r="H392" s="158">
        <v>13960</v>
      </c>
      <c r="I392" s="158">
        <v>33040</v>
      </c>
      <c r="J392" s="158">
        <v>19080</v>
      </c>
    </row>
    <row r="393" spans="1:10" x14ac:dyDescent="0.3">
      <c r="A393" s="147">
        <v>389</v>
      </c>
      <c r="B393" s="153">
        <v>415</v>
      </c>
      <c r="C393" s="157">
        <v>46140</v>
      </c>
      <c r="D393" s="153" t="s">
        <v>798</v>
      </c>
      <c r="E393" s="157">
        <v>46140</v>
      </c>
      <c r="F393" s="153" t="s">
        <v>799</v>
      </c>
      <c r="G393" s="153" t="s">
        <v>85</v>
      </c>
      <c r="H393" s="158">
        <v>13940</v>
      </c>
      <c r="I393" s="158">
        <v>32140</v>
      </c>
      <c r="J393" s="158">
        <v>18200</v>
      </c>
    </row>
    <row r="394" spans="1:10" x14ac:dyDescent="0.3">
      <c r="A394" s="147">
        <v>390</v>
      </c>
      <c r="B394" s="153">
        <v>416</v>
      </c>
      <c r="C394" s="157">
        <v>46140</v>
      </c>
      <c r="D394" s="153" t="s">
        <v>800</v>
      </c>
      <c r="E394" s="157">
        <v>46140</v>
      </c>
      <c r="F394" s="153" t="s">
        <v>801</v>
      </c>
      <c r="G394" s="153" t="s">
        <v>80</v>
      </c>
      <c r="H394" s="158">
        <v>13920</v>
      </c>
      <c r="I394" s="158">
        <v>33080</v>
      </c>
      <c r="J394" s="158">
        <v>19160</v>
      </c>
    </row>
    <row r="395" spans="1:10" x14ac:dyDescent="0.3">
      <c r="A395" s="147">
        <v>391</v>
      </c>
      <c r="B395" s="153">
        <v>417</v>
      </c>
      <c r="C395" s="157">
        <v>46140</v>
      </c>
      <c r="D395" s="153" t="s">
        <v>802</v>
      </c>
      <c r="E395" s="157">
        <v>46140</v>
      </c>
      <c r="F395" s="153" t="s">
        <v>803</v>
      </c>
      <c r="G395" s="153" t="s">
        <v>64</v>
      </c>
      <c r="H395" s="158">
        <v>13940</v>
      </c>
      <c r="I395" s="158">
        <v>33470</v>
      </c>
      <c r="J395" s="158">
        <v>19530</v>
      </c>
    </row>
    <row r="396" spans="1:10" x14ac:dyDescent="0.3">
      <c r="A396" s="147">
        <v>392</v>
      </c>
      <c r="B396" s="153">
        <v>427</v>
      </c>
      <c r="C396" s="157">
        <v>46140</v>
      </c>
      <c r="D396" s="153" t="s">
        <v>804</v>
      </c>
      <c r="E396" s="157">
        <v>46140</v>
      </c>
      <c r="F396" s="153" t="s">
        <v>805</v>
      </c>
      <c r="G396" s="153" t="s">
        <v>85</v>
      </c>
      <c r="H396" s="158">
        <v>13900</v>
      </c>
      <c r="I396" s="158">
        <v>31920</v>
      </c>
      <c r="J396" s="158">
        <v>18020</v>
      </c>
    </row>
    <row r="397" spans="1:10" x14ac:dyDescent="0.3">
      <c r="A397" s="147">
        <v>393</v>
      </c>
      <c r="B397" s="153">
        <v>428</v>
      </c>
      <c r="C397" s="157">
        <v>46140</v>
      </c>
      <c r="D397" s="153" t="s">
        <v>806</v>
      </c>
      <c r="E397" s="157">
        <v>46140</v>
      </c>
      <c r="F397" s="153" t="s">
        <v>807</v>
      </c>
      <c r="G397" s="153" t="s">
        <v>80</v>
      </c>
      <c r="H397" s="158">
        <v>14210</v>
      </c>
      <c r="I397" s="158">
        <v>33540</v>
      </c>
      <c r="J397" s="158">
        <v>19330</v>
      </c>
    </row>
    <row r="398" spans="1:10" x14ac:dyDescent="0.3">
      <c r="A398" s="147">
        <v>394</v>
      </c>
      <c r="B398" s="153">
        <v>429</v>
      </c>
      <c r="C398" s="157">
        <v>46140</v>
      </c>
      <c r="D398" s="153" t="s">
        <v>808</v>
      </c>
      <c r="E398" s="157">
        <v>46140</v>
      </c>
      <c r="F398" s="153" t="s">
        <v>809</v>
      </c>
      <c r="G398" s="153" t="s">
        <v>64</v>
      </c>
      <c r="H398" s="158">
        <v>13910</v>
      </c>
      <c r="I398" s="158">
        <v>33300</v>
      </c>
      <c r="J398" s="158">
        <v>19390</v>
      </c>
    </row>
    <row r="399" spans="1:10" x14ac:dyDescent="0.3">
      <c r="A399" s="147">
        <v>395</v>
      </c>
      <c r="B399" s="153">
        <v>438</v>
      </c>
      <c r="C399" s="157">
        <v>46140</v>
      </c>
      <c r="D399" s="153" t="s">
        <v>810</v>
      </c>
      <c r="E399" s="157">
        <v>46140</v>
      </c>
      <c r="F399" s="153" t="s">
        <v>811</v>
      </c>
      <c r="G399" s="153" t="s">
        <v>85</v>
      </c>
      <c r="H399" s="158">
        <v>13830</v>
      </c>
      <c r="I399" s="158">
        <v>33030</v>
      </c>
      <c r="J399" s="158">
        <v>19200</v>
      </c>
    </row>
    <row r="400" spans="1:10" x14ac:dyDescent="0.3">
      <c r="A400" s="147">
        <v>396</v>
      </c>
      <c r="B400" s="153">
        <v>439</v>
      </c>
      <c r="C400" s="157">
        <v>46140</v>
      </c>
      <c r="D400" s="153" t="s">
        <v>812</v>
      </c>
      <c r="E400" s="157">
        <v>46140</v>
      </c>
      <c r="F400" s="153" t="s">
        <v>813</v>
      </c>
      <c r="G400" s="153" t="s">
        <v>80</v>
      </c>
      <c r="H400" s="158">
        <v>14200</v>
      </c>
      <c r="I400" s="158">
        <v>32610</v>
      </c>
      <c r="J400" s="158">
        <v>18410</v>
      </c>
    </row>
    <row r="401" spans="1:10" x14ac:dyDescent="0.3">
      <c r="A401" s="147">
        <v>397</v>
      </c>
      <c r="B401" s="153">
        <v>442</v>
      </c>
      <c r="C401" s="157">
        <v>46140</v>
      </c>
      <c r="D401" s="153" t="s">
        <v>814</v>
      </c>
      <c r="E401" s="157">
        <v>46140</v>
      </c>
      <c r="F401" s="153" t="s">
        <v>815</v>
      </c>
      <c r="G401" s="153" t="s">
        <v>64</v>
      </c>
      <c r="H401" s="158">
        <v>13840</v>
      </c>
      <c r="I401" s="158">
        <v>33250</v>
      </c>
      <c r="J401" s="158">
        <v>19410</v>
      </c>
    </row>
    <row r="402" spans="1:10" x14ac:dyDescent="0.3">
      <c r="A402" s="147">
        <v>398</v>
      </c>
      <c r="B402" s="153">
        <v>450</v>
      </c>
      <c r="C402" s="157">
        <v>46140</v>
      </c>
      <c r="D402" s="153" t="s">
        <v>816</v>
      </c>
      <c r="E402" s="157">
        <v>46140</v>
      </c>
      <c r="F402" s="153" t="s">
        <v>817</v>
      </c>
      <c r="G402" s="153" t="s">
        <v>85</v>
      </c>
      <c r="H402" s="158">
        <v>13830</v>
      </c>
      <c r="I402" s="158">
        <v>34980</v>
      </c>
      <c r="J402" s="158">
        <v>21150</v>
      </c>
    </row>
    <row r="403" spans="1:10" x14ac:dyDescent="0.3">
      <c r="A403" s="147">
        <v>399</v>
      </c>
      <c r="B403" s="153">
        <v>451</v>
      </c>
      <c r="C403" s="157">
        <v>46140</v>
      </c>
      <c r="D403" s="153" t="s">
        <v>818</v>
      </c>
      <c r="E403" s="157">
        <v>46140</v>
      </c>
      <c r="F403" s="153" t="s">
        <v>819</v>
      </c>
      <c r="G403" s="153" t="s">
        <v>80</v>
      </c>
      <c r="H403" s="158">
        <v>14150</v>
      </c>
      <c r="I403" s="158">
        <v>34590</v>
      </c>
      <c r="J403" s="158">
        <v>20440</v>
      </c>
    </row>
    <row r="404" spans="1:10" x14ac:dyDescent="0.3">
      <c r="A404" s="147">
        <v>400</v>
      </c>
      <c r="B404" s="153">
        <v>453</v>
      </c>
      <c r="C404" s="157">
        <v>46140</v>
      </c>
      <c r="D404" s="153" t="s">
        <v>820</v>
      </c>
      <c r="E404" s="157">
        <v>46140</v>
      </c>
      <c r="F404" s="153" t="s">
        <v>821</v>
      </c>
      <c r="G404" s="153" t="s">
        <v>64</v>
      </c>
      <c r="H404" s="158">
        <v>14050</v>
      </c>
      <c r="I404" s="158">
        <v>34360</v>
      </c>
      <c r="J404" s="158">
        <v>20310</v>
      </c>
    </row>
    <row r="405" spans="1:10" s="138" customFormat="1" x14ac:dyDescent="0.3">
      <c r="A405" s="308" t="s">
        <v>320</v>
      </c>
      <c r="B405" s="308"/>
      <c r="C405" s="308"/>
      <c r="D405" s="308"/>
      <c r="E405" s="308"/>
      <c r="F405" s="308"/>
      <c r="G405" s="308"/>
      <c r="H405" s="308"/>
      <c r="I405" s="308"/>
      <c r="J405" s="159">
        <f>SUM(J5:J404)</f>
        <v>7701540</v>
      </c>
    </row>
    <row r="406" spans="1:10" x14ac:dyDescent="0.3">
      <c r="A406" s="142"/>
      <c r="B406" s="142"/>
      <c r="C406" s="129"/>
      <c r="D406" s="120"/>
      <c r="E406" s="120"/>
      <c r="F406" s="120"/>
      <c r="G406" s="309" t="s">
        <v>836</v>
      </c>
      <c r="H406" s="309"/>
      <c r="I406" s="309"/>
      <c r="J406" s="309"/>
    </row>
    <row r="407" spans="1:10" x14ac:dyDescent="0.3">
      <c r="A407" s="310" t="s">
        <v>333</v>
      </c>
      <c r="B407" s="310"/>
      <c r="C407" s="310"/>
      <c r="D407" s="310"/>
      <c r="E407" s="310"/>
      <c r="F407" s="310"/>
      <c r="G407" s="303" t="s">
        <v>45</v>
      </c>
      <c r="H407" s="303"/>
      <c r="I407" s="303"/>
      <c r="J407" s="303"/>
    </row>
    <row r="408" spans="1:10" x14ac:dyDescent="0.3">
      <c r="A408" s="143"/>
      <c r="B408" s="303" t="s">
        <v>830</v>
      </c>
      <c r="C408" s="303"/>
      <c r="D408" s="303" t="s">
        <v>325</v>
      </c>
      <c r="E408" s="303"/>
      <c r="F408" s="139"/>
      <c r="G408" s="303" t="s">
        <v>831</v>
      </c>
      <c r="H408" s="303"/>
      <c r="I408" s="303" t="s">
        <v>325</v>
      </c>
      <c r="J408" s="303"/>
    </row>
    <row r="409" spans="1:10" x14ac:dyDescent="0.3">
      <c r="A409" s="144"/>
      <c r="B409" s="144"/>
      <c r="C409" s="140"/>
      <c r="D409" s="123"/>
      <c r="E409" s="123"/>
      <c r="F409" s="123"/>
      <c r="G409" s="123"/>
      <c r="H409" s="141"/>
      <c r="I409" s="141"/>
      <c r="J409" s="123"/>
    </row>
    <row r="410" spans="1:10" x14ac:dyDescent="0.3">
      <c r="A410" s="144"/>
      <c r="B410" s="144"/>
      <c r="C410" s="140"/>
      <c r="D410" s="123"/>
      <c r="E410" s="123"/>
      <c r="F410" s="123"/>
      <c r="G410" s="123"/>
      <c r="H410" s="141"/>
      <c r="I410" s="141"/>
      <c r="J410" s="123"/>
    </row>
    <row r="411" spans="1:10" x14ac:dyDescent="0.3">
      <c r="A411" s="144"/>
      <c r="B411" s="144"/>
      <c r="C411" s="140"/>
      <c r="D411" s="123"/>
      <c r="E411" s="123"/>
      <c r="F411" s="123"/>
      <c r="G411" s="123"/>
      <c r="H411" s="141"/>
      <c r="I411" s="141"/>
      <c r="J411" s="123"/>
    </row>
    <row r="412" spans="1:10" x14ac:dyDescent="0.3">
      <c r="A412" s="144"/>
      <c r="B412" s="303"/>
      <c r="C412" s="303"/>
      <c r="D412" s="303" t="s">
        <v>837</v>
      </c>
      <c r="E412" s="303"/>
      <c r="F412" s="123"/>
      <c r="G412" s="123"/>
      <c r="H412" s="141"/>
      <c r="I412" s="141"/>
      <c r="J412" s="123"/>
    </row>
    <row r="413" spans="1:10" x14ac:dyDescent="0.3">
      <c r="A413" s="145"/>
      <c r="B413" s="303" t="s">
        <v>833</v>
      </c>
      <c r="C413" s="303"/>
      <c r="D413" s="303"/>
      <c r="E413" s="303"/>
      <c r="F413" s="122"/>
      <c r="G413" s="303" t="s">
        <v>834</v>
      </c>
      <c r="H413" s="303"/>
      <c r="I413" s="304" t="s">
        <v>832</v>
      </c>
      <c r="J413" s="304"/>
    </row>
  </sheetData>
  <mergeCells count="16">
    <mergeCell ref="A407:F407"/>
    <mergeCell ref="G407:J407"/>
    <mergeCell ref="B408:C408"/>
    <mergeCell ref="D408:E408"/>
    <mergeCell ref="G408:H408"/>
    <mergeCell ref="I408:J408"/>
    <mergeCell ref="A1:F1"/>
    <mergeCell ref="A2:F2"/>
    <mergeCell ref="A3:J3"/>
    <mergeCell ref="A405:I405"/>
    <mergeCell ref="G406:J406"/>
    <mergeCell ref="B412:C412"/>
    <mergeCell ref="D412:E413"/>
    <mergeCell ref="B413:C413"/>
    <mergeCell ref="G413:H413"/>
    <mergeCell ref="I413:J413"/>
  </mergeCells>
  <pageMargins left="0.7" right="0.7" top="0.75" bottom="0.75" header="0.3" footer="0.3"/>
  <pageSetup paperSize="9" scale="62" fitToHeight="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06210-8BC8-47C6-BDE8-E1B6FFC8231F}">
  <dimension ref="A1:J774"/>
  <sheetViews>
    <sheetView zoomScaleNormal="100" workbookViewId="0">
      <selection activeCell="A765" sqref="A765"/>
    </sheetView>
  </sheetViews>
  <sheetFormatPr defaultRowHeight="18.75" x14ac:dyDescent="0.3"/>
  <cols>
    <col min="3" max="3" width="10.77734375" style="226" customWidth="1"/>
    <col min="4" max="4" width="10.44140625" style="226" customWidth="1"/>
    <col min="5" max="5" width="11.44140625" style="226" customWidth="1"/>
    <col min="6" max="6" width="11.109375" style="226" customWidth="1"/>
    <col min="7" max="7" width="12.77734375" customWidth="1"/>
    <col min="8" max="9" width="11.6640625" customWidth="1"/>
    <col min="10" max="10" width="13.5546875" customWidth="1"/>
  </cols>
  <sheetData>
    <row r="1" spans="1:10" x14ac:dyDescent="0.3">
      <c r="A1" s="311" t="s">
        <v>333</v>
      </c>
      <c r="B1" s="311"/>
      <c r="C1" s="311"/>
      <c r="D1" s="311"/>
      <c r="E1" s="311"/>
      <c r="F1" s="311"/>
    </row>
    <row r="2" spans="1:10" x14ac:dyDescent="0.3">
      <c r="A2" s="311" t="s">
        <v>835</v>
      </c>
      <c r="B2" s="311"/>
      <c r="C2" s="311"/>
      <c r="D2" s="311"/>
      <c r="E2" s="311"/>
      <c r="F2" s="311"/>
    </row>
    <row r="3" spans="1:10" ht="60.75" customHeight="1" x14ac:dyDescent="0.3">
      <c r="A3" s="306" t="s">
        <v>3083</v>
      </c>
      <c r="B3" s="307"/>
      <c r="C3" s="307"/>
      <c r="D3" s="307"/>
      <c r="E3" s="307"/>
      <c r="F3" s="307"/>
      <c r="G3" s="307"/>
      <c r="H3" s="307"/>
      <c r="I3" s="307"/>
      <c r="J3" s="307"/>
    </row>
    <row r="4" spans="1:10" x14ac:dyDescent="0.3">
      <c r="A4" s="160" t="s">
        <v>0</v>
      </c>
      <c r="B4" s="160" t="s">
        <v>1</v>
      </c>
      <c r="C4" s="160" t="s">
        <v>2</v>
      </c>
      <c r="D4" s="160" t="s">
        <v>3</v>
      </c>
      <c r="E4" s="160" t="s">
        <v>4</v>
      </c>
      <c r="F4" s="160" t="s">
        <v>5</v>
      </c>
      <c r="G4" s="161" t="s">
        <v>6</v>
      </c>
      <c r="H4" s="161" t="s">
        <v>7</v>
      </c>
      <c r="I4" s="161" t="s">
        <v>8</v>
      </c>
      <c r="J4" s="161" t="s">
        <v>9</v>
      </c>
    </row>
    <row r="5" spans="1:10" x14ac:dyDescent="0.3">
      <c r="A5" s="217">
        <v>1</v>
      </c>
      <c r="B5" s="217">
        <v>2378</v>
      </c>
      <c r="C5" s="218">
        <v>46192</v>
      </c>
      <c r="D5" s="219" t="s">
        <v>911</v>
      </c>
      <c r="E5" s="218">
        <v>46192</v>
      </c>
      <c r="F5" s="219" t="s">
        <v>912</v>
      </c>
      <c r="G5" s="220" t="s">
        <v>80</v>
      </c>
      <c r="H5" s="221">
        <v>14130</v>
      </c>
      <c r="I5" s="221">
        <v>32000</v>
      </c>
      <c r="J5" s="221">
        <v>17870</v>
      </c>
    </row>
    <row r="6" spans="1:10" x14ac:dyDescent="0.3">
      <c r="A6" s="217">
        <v>2</v>
      </c>
      <c r="B6" s="217">
        <v>2379</v>
      </c>
      <c r="C6" s="218">
        <v>46192</v>
      </c>
      <c r="D6" s="219" t="s">
        <v>913</v>
      </c>
      <c r="E6" s="218">
        <v>46192</v>
      </c>
      <c r="F6" s="219" t="s">
        <v>914</v>
      </c>
      <c r="G6" s="220" t="s">
        <v>43</v>
      </c>
      <c r="H6" s="221">
        <v>13970</v>
      </c>
      <c r="I6" s="221">
        <v>31960</v>
      </c>
      <c r="J6" s="221">
        <v>17990</v>
      </c>
    </row>
    <row r="7" spans="1:10" x14ac:dyDescent="0.3">
      <c r="A7" s="217">
        <v>3</v>
      </c>
      <c r="B7" s="217">
        <v>2380</v>
      </c>
      <c r="C7" s="218">
        <v>46192</v>
      </c>
      <c r="D7" s="219" t="s">
        <v>915</v>
      </c>
      <c r="E7" s="218">
        <v>46192</v>
      </c>
      <c r="F7" s="219" t="s">
        <v>916</v>
      </c>
      <c r="G7" s="220" t="s">
        <v>843</v>
      </c>
      <c r="H7" s="221">
        <v>13880</v>
      </c>
      <c r="I7" s="221">
        <v>31180</v>
      </c>
      <c r="J7" s="221">
        <v>17300</v>
      </c>
    </row>
    <row r="8" spans="1:10" x14ac:dyDescent="0.3">
      <c r="A8" s="217">
        <v>4</v>
      </c>
      <c r="B8" s="217">
        <v>2381</v>
      </c>
      <c r="C8" s="218">
        <v>46193</v>
      </c>
      <c r="D8" s="219" t="s">
        <v>917</v>
      </c>
      <c r="E8" s="218">
        <v>46193</v>
      </c>
      <c r="F8" s="219" t="s">
        <v>918</v>
      </c>
      <c r="G8" s="220" t="s">
        <v>143</v>
      </c>
      <c r="H8" s="221">
        <v>13790</v>
      </c>
      <c r="I8" s="221">
        <v>30900</v>
      </c>
      <c r="J8" s="221">
        <v>17110</v>
      </c>
    </row>
    <row r="9" spans="1:10" x14ac:dyDescent="0.3">
      <c r="A9" s="217">
        <v>5</v>
      </c>
      <c r="B9" s="217">
        <v>2382</v>
      </c>
      <c r="C9" s="218">
        <v>46193</v>
      </c>
      <c r="D9" s="219" t="s">
        <v>919</v>
      </c>
      <c r="E9" s="218">
        <v>46193</v>
      </c>
      <c r="F9" s="219" t="s">
        <v>920</v>
      </c>
      <c r="G9" s="220" t="s">
        <v>335</v>
      </c>
      <c r="H9" s="221">
        <v>13700</v>
      </c>
      <c r="I9" s="221">
        <v>30900</v>
      </c>
      <c r="J9" s="221">
        <v>17200</v>
      </c>
    </row>
    <row r="10" spans="1:10" x14ac:dyDescent="0.3">
      <c r="A10" s="217">
        <v>6</v>
      </c>
      <c r="B10" s="217">
        <v>2383</v>
      </c>
      <c r="C10" s="218">
        <v>46193</v>
      </c>
      <c r="D10" s="219" t="s">
        <v>921</v>
      </c>
      <c r="E10" s="218">
        <v>46193</v>
      </c>
      <c r="F10" s="219" t="s">
        <v>872</v>
      </c>
      <c r="G10" s="220" t="s">
        <v>537</v>
      </c>
      <c r="H10" s="221">
        <v>13940</v>
      </c>
      <c r="I10" s="221">
        <v>31090</v>
      </c>
      <c r="J10" s="221">
        <v>17150</v>
      </c>
    </row>
    <row r="11" spans="1:10" x14ac:dyDescent="0.3">
      <c r="A11" s="217">
        <v>7</v>
      </c>
      <c r="B11" s="217">
        <v>2384</v>
      </c>
      <c r="C11" s="218">
        <v>46193</v>
      </c>
      <c r="D11" s="219" t="s">
        <v>922</v>
      </c>
      <c r="E11" s="218">
        <v>46193</v>
      </c>
      <c r="F11" s="219" t="s">
        <v>923</v>
      </c>
      <c r="G11" s="220" t="s">
        <v>845</v>
      </c>
      <c r="H11" s="221">
        <v>13910</v>
      </c>
      <c r="I11" s="221">
        <v>30640</v>
      </c>
      <c r="J11" s="221">
        <v>16730</v>
      </c>
    </row>
    <row r="12" spans="1:10" x14ac:dyDescent="0.3">
      <c r="A12" s="217">
        <v>8</v>
      </c>
      <c r="B12" s="217">
        <v>2385</v>
      </c>
      <c r="C12" s="218">
        <v>46193</v>
      </c>
      <c r="D12" s="219" t="s">
        <v>924</v>
      </c>
      <c r="E12" s="218">
        <v>46193</v>
      </c>
      <c r="F12" s="219" t="s">
        <v>925</v>
      </c>
      <c r="G12" s="220" t="s">
        <v>64</v>
      </c>
      <c r="H12" s="221">
        <v>13990</v>
      </c>
      <c r="I12" s="221">
        <v>31370</v>
      </c>
      <c r="J12" s="221">
        <v>17380</v>
      </c>
    </row>
    <row r="13" spans="1:10" x14ac:dyDescent="0.3">
      <c r="A13" s="217">
        <v>9</v>
      </c>
      <c r="B13" s="217" t="s">
        <v>926</v>
      </c>
      <c r="C13" s="218">
        <v>46194</v>
      </c>
      <c r="D13" s="219" t="s">
        <v>927</v>
      </c>
      <c r="E13" s="218">
        <v>46194</v>
      </c>
      <c r="F13" s="219" t="s">
        <v>928</v>
      </c>
      <c r="G13" s="220" t="s">
        <v>80</v>
      </c>
      <c r="H13" s="221">
        <v>14190</v>
      </c>
      <c r="I13" s="221">
        <v>30130</v>
      </c>
      <c r="J13" s="221">
        <v>15940</v>
      </c>
    </row>
    <row r="14" spans="1:10" x14ac:dyDescent="0.3">
      <c r="A14" s="217">
        <v>10</v>
      </c>
      <c r="B14" s="217" t="s">
        <v>929</v>
      </c>
      <c r="C14" s="218">
        <v>46194</v>
      </c>
      <c r="D14" s="219" t="s">
        <v>930</v>
      </c>
      <c r="E14" s="218">
        <v>46194</v>
      </c>
      <c r="F14" s="219" t="s">
        <v>931</v>
      </c>
      <c r="G14" s="220" t="s">
        <v>335</v>
      </c>
      <c r="H14" s="221">
        <v>14020</v>
      </c>
      <c r="I14" s="221">
        <v>30140</v>
      </c>
      <c r="J14" s="221">
        <v>16120</v>
      </c>
    </row>
    <row r="15" spans="1:10" x14ac:dyDescent="0.3">
      <c r="A15" s="217">
        <v>11</v>
      </c>
      <c r="B15" s="217" t="s">
        <v>932</v>
      </c>
      <c r="C15" s="218">
        <v>46194</v>
      </c>
      <c r="D15" s="219" t="s">
        <v>933</v>
      </c>
      <c r="E15" s="218">
        <v>46194</v>
      </c>
      <c r="F15" s="219" t="s">
        <v>934</v>
      </c>
      <c r="G15" s="220" t="s">
        <v>43</v>
      </c>
      <c r="H15" s="221">
        <v>13930</v>
      </c>
      <c r="I15" s="221">
        <v>30170</v>
      </c>
      <c r="J15" s="221">
        <v>16240</v>
      </c>
    </row>
    <row r="16" spans="1:10" x14ac:dyDescent="0.3">
      <c r="A16" s="217">
        <v>12</v>
      </c>
      <c r="B16" s="217" t="s">
        <v>935</v>
      </c>
      <c r="C16" s="218">
        <v>46194</v>
      </c>
      <c r="D16" s="219" t="s">
        <v>366</v>
      </c>
      <c r="E16" s="218">
        <v>46194</v>
      </c>
      <c r="F16" s="219" t="s">
        <v>936</v>
      </c>
      <c r="G16" s="220" t="s">
        <v>90</v>
      </c>
      <c r="H16" s="221">
        <v>14010</v>
      </c>
      <c r="I16" s="221">
        <v>32070</v>
      </c>
      <c r="J16" s="221">
        <v>18060</v>
      </c>
    </row>
    <row r="17" spans="1:10" x14ac:dyDescent="0.3">
      <c r="A17" s="217">
        <v>13</v>
      </c>
      <c r="B17" s="217" t="s">
        <v>937</v>
      </c>
      <c r="C17" s="218">
        <v>46194</v>
      </c>
      <c r="D17" s="219" t="s">
        <v>938</v>
      </c>
      <c r="E17" s="218">
        <v>46194</v>
      </c>
      <c r="F17" s="219" t="s">
        <v>939</v>
      </c>
      <c r="G17" s="220" t="s">
        <v>840</v>
      </c>
      <c r="H17" s="221">
        <v>14070</v>
      </c>
      <c r="I17" s="221">
        <v>32020</v>
      </c>
      <c r="J17" s="221">
        <v>17950</v>
      </c>
    </row>
    <row r="18" spans="1:10" x14ac:dyDescent="0.3">
      <c r="A18" s="217">
        <v>14</v>
      </c>
      <c r="B18" s="217" t="s">
        <v>940</v>
      </c>
      <c r="C18" s="218">
        <v>46194</v>
      </c>
      <c r="D18" s="219" t="s">
        <v>941</v>
      </c>
      <c r="E18" s="218">
        <v>46194</v>
      </c>
      <c r="F18" s="219" t="s">
        <v>942</v>
      </c>
      <c r="G18" s="220" t="s">
        <v>843</v>
      </c>
      <c r="H18" s="221">
        <v>14230</v>
      </c>
      <c r="I18" s="221">
        <v>32770</v>
      </c>
      <c r="J18" s="221">
        <v>18540</v>
      </c>
    </row>
    <row r="19" spans="1:10" x14ac:dyDescent="0.3">
      <c r="A19" s="217">
        <v>15</v>
      </c>
      <c r="B19" s="217" t="s">
        <v>943</v>
      </c>
      <c r="C19" s="218">
        <v>46194</v>
      </c>
      <c r="D19" s="219" t="s">
        <v>944</v>
      </c>
      <c r="E19" s="218">
        <v>46194</v>
      </c>
      <c r="F19" s="219" t="s">
        <v>945</v>
      </c>
      <c r="G19" s="220" t="s">
        <v>55</v>
      </c>
      <c r="H19" s="221">
        <v>13720</v>
      </c>
      <c r="I19" s="221">
        <v>31700</v>
      </c>
      <c r="J19" s="221">
        <v>17980</v>
      </c>
    </row>
    <row r="20" spans="1:10" x14ac:dyDescent="0.3">
      <c r="A20" s="217">
        <v>16</v>
      </c>
      <c r="B20" s="217" t="s">
        <v>946</v>
      </c>
      <c r="C20" s="218">
        <v>46194</v>
      </c>
      <c r="D20" s="219" t="s">
        <v>947</v>
      </c>
      <c r="E20" s="218">
        <v>46194</v>
      </c>
      <c r="F20" s="219" t="s">
        <v>948</v>
      </c>
      <c r="G20" s="220" t="s">
        <v>143</v>
      </c>
      <c r="H20" s="221">
        <v>13760</v>
      </c>
      <c r="I20" s="221">
        <v>31150</v>
      </c>
      <c r="J20" s="221">
        <v>17390</v>
      </c>
    </row>
    <row r="21" spans="1:10" x14ac:dyDescent="0.3">
      <c r="A21" s="217">
        <v>17</v>
      </c>
      <c r="B21" s="217" t="s">
        <v>949</v>
      </c>
      <c r="C21" s="218">
        <v>46194</v>
      </c>
      <c r="D21" s="219" t="s">
        <v>950</v>
      </c>
      <c r="E21" s="218">
        <v>46194</v>
      </c>
      <c r="F21" s="219" t="s">
        <v>951</v>
      </c>
      <c r="G21" s="220" t="s">
        <v>842</v>
      </c>
      <c r="H21" s="221">
        <v>13750</v>
      </c>
      <c r="I21" s="221">
        <v>30460</v>
      </c>
      <c r="J21" s="221">
        <v>16710</v>
      </c>
    </row>
    <row r="22" spans="1:10" x14ac:dyDescent="0.3">
      <c r="A22" s="217">
        <v>18</v>
      </c>
      <c r="B22" s="217" t="s">
        <v>952</v>
      </c>
      <c r="C22" s="218">
        <v>46194</v>
      </c>
      <c r="D22" s="219" t="s">
        <v>953</v>
      </c>
      <c r="E22" s="218">
        <v>46194</v>
      </c>
      <c r="F22" s="219" t="s">
        <v>954</v>
      </c>
      <c r="G22" s="220" t="s">
        <v>337</v>
      </c>
      <c r="H22" s="221">
        <v>13850</v>
      </c>
      <c r="I22" s="221">
        <v>31660</v>
      </c>
      <c r="J22" s="221">
        <v>17810</v>
      </c>
    </row>
    <row r="23" spans="1:10" x14ac:dyDescent="0.3">
      <c r="A23" s="217">
        <v>19</v>
      </c>
      <c r="B23" s="217" t="s">
        <v>955</v>
      </c>
      <c r="C23" s="218">
        <v>46194</v>
      </c>
      <c r="D23" s="219" t="s">
        <v>956</v>
      </c>
      <c r="E23" s="218">
        <v>46194</v>
      </c>
      <c r="F23" s="219" t="s">
        <v>957</v>
      </c>
      <c r="G23" s="220" t="s">
        <v>76</v>
      </c>
      <c r="H23" s="221">
        <v>13970</v>
      </c>
      <c r="I23" s="221">
        <v>31940</v>
      </c>
      <c r="J23" s="221">
        <v>17970</v>
      </c>
    </row>
    <row r="24" spans="1:10" x14ac:dyDescent="0.3">
      <c r="A24" s="217">
        <v>20</v>
      </c>
      <c r="B24" s="217" t="s">
        <v>958</v>
      </c>
      <c r="C24" s="218">
        <v>46194</v>
      </c>
      <c r="D24" s="219" t="s">
        <v>959</v>
      </c>
      <c r="E24" s="218">
        <v>46194</v>
      </c>
      <c r="F24" s="219" t="s">
        <v>960</v>
      </c>
      <c r="G24" s="220" t="s">
        <v>64</v>
      </c>
      <c r="H24" s="221">
        <v>13970</v>
      </c>
      <c r="I24" s="221">
        <v>31170</v>
      </c>
      <c r="J24" s="221">
        <v>17200</v>
      </c>
    </row>
    <row r="25" spans="1:10" x14ac:dyDescent="0.3">
      <c r="A25" s="217">
        <v>21</v>
      </c>
      <c r="B25" s="217" t="s">
        <v>961</v>
      </c>
      <c r="C25" s="218">
        <v>46194</v>
      </c>
      <c r="D25" s="219" t="s">
        <v>962</v>
      </c>
      <c r="E25" s="218">
        <v>46194</v>
      </c>
      <c r="F25" s="219" t="s">
        <v>963</v>
      </c>
      <c r="G25" s="220" t="s">
        <v>85</v>
      </c>
      <c r="H25" s="221">
        <v>13860</v>
      </c>
      <c r="I25" s="221">
        <v>30920</v>
      </c>
      <c r="J25" s="221">
        <v>17060</v>
      </c>
    </row>
    <row r="26" spans="1:10" x14ac:dyDescent="0.3">
      <c r="A26" s="217">
        <v>22</v>
      </c>
      <c r="B26" s="217" t="s">
        <v>964</v>
      </c>
      <c r="C26" s="218">
        <v>46194</v>
      </c>
      <c r="D26" s="219" t="s">
        <v>965</v>
      </c>
      <c r="E26" s="218">
        <v>46194</v>
      </c>
      <c r="F26" s="219" t="s">
        <v>898</v>
      </c>
      <c r="G26" s="220" t="s">
        <v>336</v>
      </c>
      <c r="H26" s="221">
        <v>13770</v>
      </c>
      <c r="I26" s="221">
        <v>31010</v>
      </c>
      <c r="J26" s="221">
        <v>17240</v>
      </c>
    </row>
    <row r="27" spans="1:10" x14ac:dyDescent="0.3">
      <c r="A27" s="217">
        <v>23</v>
      </c>
      <c r="B27" s="217" t="s">
        <v>966</v>
      </c>
      <c r="C27" s="218">
        <v>46194</v>
      </c>
      <c r="D27" s="219" t="s">
        <v>636</v>
      </c>
      <c r="E27" s="218">
        <v>46194</v>
      </c>
      <c r="F27" s="219" t="s">
        <v>967</v>
      </c>
      <c r="G27" s="220" t="s">
        <v>845</v>
      </c>
      <c r="H27" s="221">
        <v>13840</v>
      </c>
      <c r="I27" s="221">
        <v>31730</v>
      </c>
      <c r="J27" s="221">
        <v>17890</v>
      </c>
    </row>
    <row r="28" spans="1:10" x14ac:dyDescent="0.3">
      <c r="A28" s="217">
        <v>24</v>
      </c>
      <c r="B28" s="217" t="s">
        <v>968</v>
      </c>
      <c r="C28" s="218">
        <v>46194</v>
      </c>
      <c r="D28" s="219" t="s">
        <v>969</v>
      </c>
      <c r="E28" s="218">
        <v>46194</v>
      </c>
      <c r="F28" s="219" t="s">
        <v>970</v>
      </c>
      <c r="G28" s="220" t="s">
        <v>80</v>
      </c>
      <c r="H28" s="221">
        <v>14170</v>
      </c>
      <c r="I28" s="221">
        <v>29890</v>
      </c>
      <c r="J28" s="221">
        <v>15720</v>
      </c>
    </row>
    <row r="29" spans="1:10" x14ac:dyDescent="0.3">
      <c r="A29" s="217">
        <v>25</v>
      </c>
      <c r="B29" s="217" t="s">
        <v>971</v>
      </c>
      <c r="C29" s="218">
        <v>46194</v>
      </c>
      <c r="D29" s="219" t="s">
        <v>972</v>
      </c>
      <c r="E29" s="218">
        <v>46194</v>
      </c>
      <c r="F29" s="219" t="s">
        <v>973</v>
      </c>
      <c r="G29" s="220" t="s">
        <v>335</v>
      </c>
      <c r="H29" s="221">
        <v>13990</v>
      </c>
      <c r="I29" s="221">
        <v>31010</v>
      </c>
      <c r="J29" s="221">
        <v>17020</v>
      </c>
    </row>
    <row r="30" spans="1:10" x14ac:dyDescent="0.3">
      <c r="A30" s="217">
        <v>26</v>
      </c>
      <c r="B30" s="217" t="s">
        <v>974</v>
      </c>
      <c r="C30" s="218">
        <v>46194</v>
      </c>
      <c r="D30" s="219" t="s">
        <v>975</v>
      </c>
      <c r="E30" s="218">
        <v>46194</v>
      </c>
      <c r="F30" s="219" t="s">
        <v>976</v>
      </c>
      <c r="G30" s="220" t="s">
        <v>43</v>
      </c>
      <c r="H30" s="221">
        <v>13890</v>
      </c>
      <c r="I30" s="221">
        <v>31540</v>
      </c>
      <c r="J30" s="221">
        <v>17650</v>
      </c>
    </row>
    <row r="31" spans="1:10" x14ac:dyDescent="0.3">
      <c r="A31" s="217">
        <v>27</v>
      </c>
      <c r="B31" s="217" t="s">
        <v>977</v>
      </c>
      <c r="C31" s="218">
        <v>46194</v>
      </c>
      <c r="D31" s="219" t="s">
        <v>978</v>
      </c>
      <c r="E31" s="218">
        <v>46194</v>
      </c>
      <c r="F31" s="219" t="s">
        <v>979</v>
      </c>
      <c r="G31" s="220" t="s">
        <v>840</v>
      </c>
      <c r="H31" s="221">
        <v>13980</v>
      </c>
      <c r="I31" s="221">
        <v>32200</v>
      </c>
      <c r="J31" s="221">
        <v>18220</v>
      </c>
    </row>
    <row r="32" spans="1:10" x14ac:dyDescent="0.3">
      <c r="A32" s="217">
        <v>28</v>
      </c>
      <c r="B32" s="217" t="s">
        <v>980</v>
      </c>
      <c r="C32" s="218">
        <v>46194</v>
      </c>
      <c r="D32" s="219" t="s">
        <v>981</v>
      </c>
      <c r="E32" s="218">
        <v>46194</v>
      </c>
      <c r="F32" s="219" t="s">
        <v>982</v>
      </c>
      <c r="G32" s="220" t="s">
        <v>90</v>
      </c>
      <c r="H32" s="221">
        <v>13980</v>
      </c>
      <c r="I32" s="221">
        <v>31070</v>
      </c>
      <c r="J32" s="221">
        <v>17090</v>
      </c>
    </row>
    <row r="33" spans="1:10" x14ac:dyDescent="0.3">
      <c r="A33" s="217">
        <v>29</v>
      </c>
      <c r="B33" s="217" t="s">
        <v>983</v>
      </c>
      <c r="C33" s="218">
        <v>46194</v>
      </c>
      <c r="D33" s="219" t="s">
        <v>415</v>
      </c>
      <c r="E33" s="218">
        <v>46194</v>
      </c>
      <c r="F33" s="219" t="s">
        <v>984</v>
      </c>
      <c r="G33" s="220" t="s">
        <v>843</v>
      </c>
      <c r="H33" s="221">
        <v>14230</v>
      </c>
      <c r="I33" s="221">
        <v>32210</v>
      </c>
      <c r="J33" s="221">
        <v>17980</v>
      </c>
    </row>
    <row r="34" spans="1:10" x14ac:dyDescent="0.3">
      <c r="A34" s="217">
        <v>30</v>
      </c>
      <c r="B34" s="217" t="s">
        <v>985</v>
      </c>
      <c r="C34" s="218">
        <v>46194</v>
      </c>
      <c r="D34" s="219" t="s">
        <v>986</v>
      </c>
      <c r="E34" s="218">
        <v>46194</v>
      </c>
      <c r="F34" s="219" t="s">
        <v>987</v>
      </c>
      <c r="G34" s="220" t="s">
        <v>55</v>
      </c>
      <c r="H34" s="221">
        <v>13690</v>
      </c>
      <c r="I34" s="221">
        <v>31600</v>
      </c>
      <c r="J34" s="221">
        <v>17910</v>
      </c>
    </row>
    <row r="35" spans="1:10" x14ac:dyDescent="0.3">
      <c r="A35" s="217">
        <v>31</v>
      </c>
      <c r="B35" s="217" t="s">
        <v>988</v>
      </c>
      <c r="C35" s="218">
        <v>46194</v>
      </c>
      <c r="D35" s="219" t="s">
        <v>989</v>
      </c>
      <c r="E35" s="218">
        <v>46194</v>
      </c>
      <c r="F35" s="219" t="s">
        <v>990</v>
      </c>
      <c r="G35" s="220" t="s">
        <v>143</v>
      </c>
      <c r="H35" s="221">
        <v>13720</v>
      </c>
      <c r="I35" s="221">
        <v>31720</v>
      </c>
      <c r="J35" s="221">
        <v>18000</v>
      </c>
    </row>
    <row r="36" spans="1:10" x14ac:dyDescent="0.3">
      <c r="A36" s="217">
        <v>32</v>
      </c>
      <c r="B36" s="217" t="s">
        <v>991</v>
      </c>
      <c r="C36" s="218">
        <v>46194</v>
      </c>
      <c r="D36" s="219" t="s">
        <v>992</v>
      </c>
      <c r="E36" s="218">
        <v>46194</v>
      </c>
      <c r="F36" s="219" t="s">
        <v>993</v>
      </c>
      <c r="G36" s="220" t="s">
        <v>337</v>
      </c>
      <c r="H36" s="221">
        <v>13830</v>
      </c>
      <c r="I36" s="221">
        <v>32260</v>
      </c>
      <c r="J36" s="221">
        <v>18430</v>
      </c>
    </row>
    <row r="37" spans="1:10" x14ac:dyDescent="0.3">
      <c r="A37" s="217">
        <v>33</v>
      </c>
      <c r="B37" s="217" t="s">
        <v>994</v>
      </c>
      <c r="C37" s="218">
        <v>46194</v>
      </c>
      <c r="D37" s="219" t="s">
        <v>995</v>
      </c>
      <c r="E37" s="218">
        <v>46194</v>
      </c>
      <c r="F37" s="219" t="s">
        <v>996</v>
      </c>
      <c r="G37" s="220" t="s">
        <v>76</v>
      </c>
      <c r="H37" s="221">
        <v>13930</v>
      </c>
      <c r="I37" s="221">
        <v>31020</v>
      </c>
      <c r="J37" s="221">
        <v>17090</v>
      </c>
    </row>
    <row r="38" spans="1:10" x14ac:dyDescent="0.3">
      <c r="A38" s="217">
        <v>34</v>
      </c>
      <c r="B38" s="217" t="s">
        <v>997</v>
      </c>
      <c r="C38" s="218">
        <v>46194</v>
      </c>
      <c r="D38" s="219" t="s">
        <v>998</v>
      </c>
      <c r="E38" s="218">
        <v>46194</v>
      </c>
      <c r="F38" s="219" t="s">
        <v>999</v>
      </c>
      <c r="G38" s="220" t="s">
        <v>842</v>
      </c>
      <c r="H38" s="221">
        <v>13650</v>
      </c>
      <c r="I38" s="221">
        <v>31430</v>
      </c>
      <c r="J38" s="221">
        <v>17780</v>
      </c>
    </row>
    <row r="39" spans="1:10" x14ac:dyDescent="0.3">
      <c r="A39" s="217">
        <v>35</v>
      </c>
      <c r="B39" s="217" t="s">
        <v>1000</v>
      </c>
      <c r="C39" s="218">
        <v>46194</v>
      </c>
      <c r="D39" s="219" t="s">
        <v>1001</v>
      </c>
      <c r="E39" s="218">
        <v>46194</v>
      </c>
      <c r="F39" s="219" t="s">
        <v>1002</v>
      </c>
      <c r="G39" s="220" t="s">
        <v>64</v>
      </c>
      <c r="H39" s="221">
        <v>13940</v>
      </c>
      <c r="I39" s="221">
        <v>32120</v>
      </c>
      <c r="J39" s="221">
        <v>18180</v>
      </c>
    </row>
    <row r="40" spans="1:10" x14ac:dyDescent="0.3">
      <c r="A40" s="217">
        <v>36</v>
      </c>
      <c r="B40" s="217" t="s">
        <v>1003</v>
      </c>
      <c r="C40" s="218">
        <v>46194</v>
      </c>
      <c r="D40" s="219" t="s">
        <v>1004</v>
      </c>
      <c r="E40" s="218">
        <v>46194</v>
      </c>
      <c r="F40" s="219" t="s">
        <v>1005</v>
      </c>
      <c r="G40" s="220" t="s">
        <v>336</v>
      </c>
      <c r="H40" s="221">
        <v>13730</v>
      </c>
      <c r="I40" s="221">
        <v>31690</v>
      </c>
      <c r="J40" s="221">
        <v>17960</v>
      </c>
    </row>
    <row r="41" spans="1:10" x14ac:dyDescent="0.3">
      <c r="A41" s="217">
        <v>37</v>
      </c>
      <c r="B41" s="217" t="s">
        <v>1006</v>
      </c>
      <c r="C41" s="218">
        <v>46194</v>
      </c>
      <c r="D41" s="219" t="s">
        <v>1007</v>
      </c>
      <c r="E41" s="218">
        <v>46194</v>
      </c>
      <c r="F41" s="219" t="s">
        <v>1008</v>
      </c>
      <c r="G41" s="220" t="s">
        <v>85</v>
      </c>
      <c r="H41" s="221">
        <v>13810</v>
      </c>
      <c r="I41" s="221">
        <v>31960</v>
      </c>
      <c r="J41" s="221">
        <v>18150</v>
      </c>
    </row>
    <row r="42" spans="1:10" x14ac:dyDescent="0.3">
      <c r="A42" s="217">
        <v>38</v>
      </c>
      <c r="B42" s="217" t="s">
        <v>1009</v>
      </c>
      <c r="C42" s="218">
        <v>46194</v>
      </c>
      <c r="D42" s="219" t="s">
        <v>1010</v>
      </c>
      <c r="E42" s="218">
        <v>46194</v>
      </c>
      <c r="F42" s="219" t="s">
        <v>1011</v>
      </c>
      <c r="G42" s="220" t="s">
        <v>845</v>
      </c>
      <c r="H42" s="221">
        <v>13830</v>
      </c>
      <c r="I42" s="221">
        <v>30730</v>
      </c>
      <c r="J42" s="221">
        <v>16900</v>
      </c>
    </row>
    <row r="43" spans="1:10" x14ac:dyDescent="0.3">
      <c r="A43" s="217">
        <v>39</v>
      </c>
      <c r="B43" s="217" t="s">
        <v>1012</v>
      </c>
      <c r="C43" s="218">
        <v>46194</v>
      </c>
      <c r="D43" s="219" t="s">
        <v>1013</v>
      </c>
      <c r="E43" s="218">
        <v>46194</v>
      </c>
      <c r="F43" s="219" t="s">
        <v>1014</v>
      </c>
      <c r="G43" s="220" t="s">
        <v>80</v>
      </c>
      <c r="H43" s="221">
        <v>14140</v>
      </c>
      <c r="I43" s="221">
        <v>32620</v>
      </c>
      <c r="J43" s="221">
        <v>18480</v>
      </c>
    </row>
    <row r="44" spans="1:10" x14ac:dyDescent="0.3">
      <c r="A44" s="217">
        <v>40</v>
      </c>
      <c r="B44" s="217" t="s">
        <v>1015</v>
      </c>
      <c r="C44" s="218">
        <v>46194</v>
      </c>
      <c r="D44" s="219" t="s">
        <v>1016</v>
      </c>
      <c r="E44" s="218">
        <v>46194</v>
      </c>
      <c r="F44" s="219" t="s">
        <v>1017</v>
      </c>
      <c r="G44" s="220" t="s">
        <v>335</v>
      </c>
      <c r="H44" s="221">
        <v>13960</v>
      </c>
      <c r="I44" s="221">
        <v>31950</v>
      </c>
      <c r="J44" s="221">
        <v>17990</v>
      </c>
    </row>
    <row r="45" spans="1:10" x14ac:dyDescent="0.3">
      <c r="A45" s="217">
        <v>41</v>
      </c>
      <c r="B45" s="217" t="s">
        <v>1018</v>
      </c>
      <c r="C45" s="218">
        <v>46194</v>
      </c>
      <c r="D45" s="219" t="s">
        <v>1019</v>
      </c>
      <c r="E45" s="218">
        <v>46194</v>
      </c>
      <c r="F45" s="219" t="s">
        <v>1020</v>
      </c>
      <c r="G45" s="220" t="s">
        <v>43</v>
      </c>
      <c r="H45" s="221">
        <v>13890</v>
      </c>
      <c r="I45" s="221">
        <v>32060</v>
      </c>
      <c r="J45" s="221">
        <v>18170</v>
      </c>
    </row>
    <row r="46" spans="1:10" x14ac:dyDescent="0.3">
      <c r="A46" s="217">
        <v>42</v>
      </c>
      <c r="B46" s="217" t="s">
        <v>1021</v>
      </c>
      <c r="C46" s="218">
        <v>46194</v>
      </c>
      <c r="D46" s="219" t="s">
        <v>1022</v>
      </c>
      <c r="E46" s="218">
        <v>46194</v>
      </c>
      <c r="F46" s="219" t="s">
        <v>1023</v>
      </c>
      <c r="G46" s="220" t="s">
        <v>840</v>
      </c>
      <c r="H46" s="221">
        <v>14060</v>
      </c>
      <c r="I46" s="221">
        <v>32240</v>
      </c>
      <c r="J46" s="221">
        <v>18180</v>
      </c>
    </row>
    <row r="47" spans="1:10" x14ac:dyDescent="0.3">
      <c r="A47" s="217">
        <v>43</v>
      </c>
      <c r="B47" s="217" t="s">
        <v>1024</v>
      </c>
      <c r="C47" s="218">
        <v>46194</v>
      </c>
      <c r="D47" s="219" t="s">
        <v>1025</v>
      </c>
      <c r="E47" s="218">
        <v>46194</v>
      </c>
      <c r="F47" s="219" t="s">
        <v>1026</v>
      </c>
      <c r="G47" s="220" t="s">
        <v>90</v>
      </c>
      <c r="H47" s="221">
        <v>13940</v>
      </c>
      <c r="I47" s="221">
        <v>32090</v>
      </c>
      <c r="J47" s="221">
        <v>18150</v>
      </c>
    </row>
    <row r="48" spans="1:10" x14ac:dyDescent="0.3">
      <c r="A48" s="217">
        <v>44</v>
      </c>
      <c r="B48" s="217" t="s">
        <v>1027</v>
      </c>
      <c r="C48" s="218">
        <v>46194</v>
      </c>
      <c r="D48" s="219" t="s">
        <v>1028</v>
      </c>
      <c r="E48" s="218">
        <v>46194</v>
      </c>
      <c r="F48" s="219" t="s">
        <v>1029</v>
      </c>
      <c r="G48" s="220" t="s">
        <v>843</v>
      </c>
      <c r="H48" s="221">
        <v>14210</v>
      </c>
      <c r="I48" s="221">
        <v>32460</v>
      </c>
      <c r="J48" s="221">
        <v>18250</v>
      </c>
    </row>
    <row r="49" spans="1:10" x14ac:dyDescent="0.3">
      <c r="A49" s="217">
        <v>45</v>
      </c>
      <c r="B49" s="217" t="s">
        <v>1030</v>
      </c>
      <c r="C49" s="218">
        <v>46194</v>
      </c>
      <c r="D49" s="219" t="s">
        <v>1031</v>
      </c>
      <c r="E49" s="218">
        <v>46194</v>
      </c>
      <c r="F49" s="219" t="s">
        <v>1032</v>
      </c>
      <c r="G49" s="220" t="s">
        <v>55</v>
      </c>
      <c r="H49" s="221">
        <v>13670</v>
      </c>
      <c r="I49" s="221">
        <v>31930</v>
      </c>
      <c r="J49" s="221">
        <v>18260</v>
      </c>
    </row>
    <row r="50" spans="1:10" x14ac:dyDescent="0.3">
      <c r="A50" s="217">
        <v>46</v>
      </c>
      <c r="B50" s="217" t="s">
        <v>1033</v>
      </c>
      <c r="C50" s="218">
        <v>46194</v>
      </c>
      <c r="D50" s="219" t="s">
        <v>1034</v>
      </c>
      <c r="E50" s="218">
        <v>46194</v>
      </c>
      <c r="F50" s="219" t="s">
        <v>1035</v>
      </c>
      <c r="G50" s="220" t="s">
        <v>337</v>
      </c>
      <c r="H50" s="221">
        <v>13810</v>
      </c>
      <c r="I50" s="221">
        <v>31710</v>
      </c>
      <c r="J50" s="221">
        <v>17900</v>
      </c>
    </row>
    <row r="51" spans="1:10" x14ac:dyDescent="0.3">
      <c r="A51" s="217">
        <v>47</v>
      </c>
      <c r="B51" s="217" t="s">
        <v>1036</v>
      </c>
      <c r="C51" s="218">
        <v>46194</v>
      </c>
      <c r="D51" s="219" t="s">
        <v>1037</v>
      </c>
      <c r="E51" s="218">
        <v>46194</v>
      </c>
      <c r="F51" s="219" t="s">
        <v>1038</v>
      </c>
      <c r="G51" s="220" t="s">
        <v>143</v>
      </c>
      <c r="H51" s="221">
        <v>13700</v>
      </c>
      <c r="I51" s="221">
        <v>31860</v>
      </c>
      <c r="J51" s="221">
        <v>18160</v>
      </c>
    </row>
    <row r="52" spans="1:10" x14ac:dyDescent="0.3">
      <c r="A52" s="217">
        <v>48</v>
      </c>
      <c r="B52" s="217" t="s">
        <v>1039</v>
      </c>
      <c r="C52" s="218">
        <v>46194</v>
      </c>
      <c r="D52" s="219" t="s">
        <v>1040</v>
      </c>
      <c r="E52" s="218">
        <v>46194</v>
      </c>
      <c r="F52" s="219" t="s">
        <v>1041</v>
      </c>
      <c r="G52" s="220" t="s">
        <v>76</v>
      </c>
      <c r="H52" s="221">
        <v>13920</v>
      </c>
      <c r="I52" s="221">
        <v>32060</v>
      </c>
      <c r="J52" s="221">
        <v>18140</v>
      </c>
    </row>
    <row r="53" spans="1:10" x14ac:dyDescent="0.3">
      <c r="A53" s="217">
        <v>49</v>
      </c>
      <c r="B53" s="217" t="s">
        <v>1042</v>
      </c>
      <c r="C53" s="218">
        <v>46194</v>
      </c>
      <c r="D53" s="219" t="s">
        <v>1043</v>
      </c>
      <c r="E53" s="218">
        <v>46194</v>
      </c>
      <c r="F53" s="219" t="s">
        <v>1044</v>
      </c>
      <c r="G53" s="220" t="s">
        <v>842</v>
      </c>
      <c r="H53" s="221">
        <v>14060</v>
      </c>
      <c r="I53" s="221">
        <v>31300</v>
      </c>
      <c r="J53" s="221">
        <v>17240</v>
      </c>
    </row>
    <row r="54" spans="1:10" x14ac:dyDescent="0.3">
      <c r="A54" s="217">
        <v>50</v>
      </c>
      <c r="B54" s="217" t="s">
        <v>1045</v>
      </c>
      <c r="C54" s="218">
        <v>46194</v>
      </c>
      <c r="D54" s="219" t="s">
        <v>1046</v>
      </c>
      <c r="E54" s="218">
        <v>46194</v>
      </c>
      <c r="F54" s="219" t="s">
        <v>1047</v>
      </c>
      <c r="G54" s="220" t="s">
        <v>64</v>
      </c>
      <c r="H54" s="221">
        <v>13900</v>
      </c>
      <c r="I54" s="221">
        <v>31930</v>
      </c>
      <c r="J54" s="221">
        <v>18030</v>
      </c>
    </row>
    <row r="55" spans="1:10" x14ac:dyDescent="0.3">
      <c r="A55" s="217">
        <v>51</v>
      </c>
      <c r="B55" s="217" t="s">
        <v>1048</v>
      </c>
      <c r="C55" s="218">
        <v>46194</v>
      </c>
      <c r="D55" s="219" t="s">
        <v>1049</v>
      </c>
      <c r="E55" s="218">
        <v>46194</v>
      </c>
      <c r="F55" s="219" t="s">
        <v>879</v>
      </c>
      <c r="G55" s="220" t="s">
        <v>336</v>
      </c>
      <c r="H55" s="221">
        <v>13730</v>
      </c>
      <c r="I55" s="221">
        <v>32360</v>
      </c>
      <c r="J55" s="221">
        <v>18630</v>
      </c>
    </row>
    <row r="56" spans="1:10" x14ac:dyDescent="0.3">
      <c r="A56" s="217">
        <v>52</v>
      </c>
      <c r="B56" s="217" t="s">
        <v>1050</v>
      </c>
      <c r="C56" s="218">
        <v>46194</v>
      </c>
      <c r="D56" s="219" t="s">
        <v>1051</v>
      </c>
      <c r="E56" s="218">
        <v>46194</v>
      </c>
      <c r="F56" s="219" t="s">
        <v>1052</v>
      </c>
      <c r="G56" s="220" t="s">
        <v>845</v>
      </c>
      <c r="H56" s="221">
        <v>13940</v>
      </c>
      <c r="I56" s="221">
        <v>32380</v>
      </c>
      <c r="J56" s="221">
        <v>18440</v>
      </c>
    </row>
    <row r="57" spans="1:10" x14ac:dyDescent="0.3">
      <c r="A57" s="217">
        <v>53</v>
      </c>
      <c r="B57" s="217" t="s">
        <v>1053</v>
      </c>
      <c r="C57" s="218">
        <v>46194</v>
      </c>
      <c r="D57" s="219" t="s">
        <v>1054</v>
      </c>
      <c r="E57" s="218">
        <v>46194</v>
      </c>
      <c r="F57" s="219" t="s">
        <v>1055</v>
      </c>
      <c r="G57" s="220" t="s">
        <v>80</v>
      </c>
      <c r="H57" s="221">
        <v>14100</v>
      </c>
      <c r="I57" s="221">
        <v>32460</v>
      </c>
      <c r="J57" s="221">
        <v>18360</v>
      </c>
    </row>
    <row r="58" spans="1:10" x14ac:dyDescent="0.3">
      <c r="A58" s="217">
        <v>54</v>
      </c>
      <c r="B58" s="217" t="s">
        <v>1056</v>
      </c>
      <c r="C58" s="218">
        <v>46194</v>
      </c>
      <c r="D58" s="219" t="s">
        <v>1057</v>
      </c>
      <c r="E58" s="218">
        <v>46194</v>
      </c>
      <c r="F58" s="219" t="s">
        <v>1058</v>
      </c>
      <c r="G58" s="220" t="s">
        <v>335</v>
      </c>
      <c r="H58" s="221">
        <v>13940</v>
      </c>
      <c r="I58" s="221">
        <v>31710</v>
      </c>
      <c r="J58" s="221">
        <v>17770</v>
      </c>
    </row>
    <row r="59" spans="1:10" x14ac:dyDescent="0.3">
      <c r="A59" s="217">
        <v>55</v>
      </c>
      <c r="B59" s="217" t="s">
        <v>1059</v>
      </c>
      <c r="C59" s="218">
        <v>46194</v>
      </c>
      <c r="D59" s="219" t="s">
        <v>1060</v>
      </c>
      <c r="E59" s="218">
        <v>46194</v>
      </c>
      <c r="F59" s="219" t="s">
        <v>1061</v>
      </c>
      <c r="G59" s="220" t="s">
        <v>840</v>
      </c>
      <c r="H59" s="221">
        <v>13990</v>
      </c>
      <c r="I59" s="221">
        <v>30150</v>
      </c>
      <c r="J59" s="221">
        <v>16160</v>
      </c>
    </row>
    <row r="60" spans="1:10" x14ac:dyDescent="0.3">
      <c r="A60" s="217">
        <v>56</v>
      </c>
      <c r="B60" s="217" t="s">
        <v>1062</v>
      </c>
      <c r="C60" s="218">
        <v>46194</v>
      </c>
      <c r="D60" s="219" t="s">
        <v>1063</v>
      </c>
      <c r="E60" s="218">
        <v>46194</v>
      </c>
      <c r="F60" s="219" t="s">
        <v>1064</v>
      </c>
      <c r="G60" s="220" t="s">
        <v>90</v>
      </c>
      <c r="H60" s="221">
        <v>13920</v>
      </c>
      <c r="I60" s="221">
        <v>31210</v>
      </c>
      <c r="J60" s="221">
        <v>17290</v>
      </c>
    </row>
    <row r="61" spans="1:10" x14ac:dyDescent="0.3">
      <c r="A61" s="217">
        <v>57</v>
      </c>
      <c r="B61" s="217" t="s">
        <v>1065</v>
      </c>
      <c r="C61" s="218">
        <v>46194</v>
      </c>
      <c r="D61" s="219" t="s">
        <v>1066</v>
      </c>
      <c r="E61" s="218">
        <v>46194</v>
      </c>
      <c r="F61" s="219" t="s">
        <v>1067</v>
      </c>
      <c r="G61" s="220" t="s">
        <v>43</v>
      </c>
      <c r="H61" s="221">
        <v>29710</v>
      </c>
      <c r="I61" s="221">
        <v>13940</v>
      </c>
      <c r="J61" s="221">
        <v>15770</v>
      </c>
    </row>
    <row r="62" spans="1:10" x14ac:dyDescent="0.3">
      <c r="A62" s="217">
        <v>58</v>
      </c>
      <c r="B62" s="217" t="s">
        <v>1068</v>
      </c>
      <c r="C62" s="218">
        <v>46194</v>
      </c>
      <c r="D62" s="219" t="s">
        <v>1069</v>
      </c>
      <c r="E62" s="218">
        <v>46194</v>
      </c>
      <c r="F62" s="219" t="s">
        <v>1070</v>
      </c>
      <c r="G62" s="220" t="s">
        <v>843</v>
      </c>
      <c r="H62" s="221">
        <v>14160</v>
      </c>
      <c r="I62" s="221">
        <v>31020</v>
      </c>
      <c r="J62" s="221">
        <v>16860</v>
      </c>
    </row>
    <row r="63" spans="1:10" x14ac:dyDescent="0.3">
      <c r="A63" s="217">
        <v>59</v>
      </c>
      <c r="B63" s="217" t="s">
        <v>1071</v>
      </c>
      <c r="C63" s="218">
        <v>46194</v>
      </c>
      <c r="D63" s="219" t="s">
        <v>1072</v>
      </c>
      <c r="E63" s="218">
        <v>46194</v>
      </c>
      <c r="F63" s="219" t="s">
        <v>1073</v>
      </c>
      <c r="G63" s="220" t="s">
        <v>337</v>
      </c>
      <c r="H63" s="221">
        <v>13770</v>
      </c>
      <c r="I63" s="221">
        <v>29570</v>
      </c>
      <c r="J63" s="221">
        <v>15800</v>
      </c>
    </row>
    <row r="64" spans="1:10" x14ac:dyDescent="0.3">
      <c r="A64" s="217">
        <v>60</v>
      </c>
      <c r="B64" s="217" t="s">
        <v>1074</v>
      </c>
      <c r="C64" s="218">
        <v>46194</v>
      </c>
      <c r="D64" s="219" t="s">
        <v>1075</v>
      </c>
      <c r="E64" s="218">
        <v>46194</v>
      </c>
      <c r="F64" s="219" t="s">
        <v>1076</v>
      </c>
      <c r="G64" s="220" t="s">
        <v>143</v>
      </c>
      <c r="H64" s="221">
        <v>13670</v>
      </c>
      <c r="I64" s="221">
        <v>31070</v>
      </c>
      <c r="J64" s="221">
        <v>17400</v>
      </c>
    </row>
    <row r="65" spans="1:10" x14ac:dyDescent="0.3">
      <c r="A65" s="217">
        <v>61</v>
      </c>
      <c r="B65" s="217" t="s">
        <v>1077</v>
      </c>
      <c r="C65" s="218">
        <v>46194</v>
      </c>
      <c r="D65" s="219" t="s">
        <v>1078</v>
      </c>
      <c r="E65" s="218">
        <v>46194</v>
      </c>
      <c r="F65" s="219" t="s">
        <v>1079</v>
      </c>
      <c r="G65" s="220" t="s">
        <v>76</v>
      </c>
      <c r="H65" s="221">
        <v>13890</v>
      </c>
      <c r="I65" s="221">
        <v>31100</v>
      </c>
      <c r="J65" s="221">
        <v>17210</v>
      </c>
    </row>
    <row r="66" spans="1:10" x14ac:dyDescent="0.3">
      <c r="A66" s="217">
        <v>62</v>
      </c>
      <c r="B66" s="217" t="s">
        <v>1080</v>
      </c>
      <c r="C66" s="218">
        <v>46194</v>
      </c>
      <c r="D66" s="219" t="s">
        <v>1081</v>
      </c>
      <c r="E66" s="218">
        <v>46194</v>
      </c>
      <c r="F66" s="219" t="s">
        <v>1082</v>
      </c>
      <c r="G66" s="220" t="s">
        <v>55</v>
      </c>
      <c r="H66" s="221">
        <v>14020</v>
      </c>
      <c r="I66" s="221">
        <v>30190</v>
      </c>
      <c r="J66" s="221">
        <v>16170</v>
      </c>
    </row>
    <row r="67" spans="1:10" x14ac:dyDescent="0.3">
      <c r="A67" s="217">
        <v>63</v>
      </c>
      <c r="B67" s="217" t="s">
        <v>1083</v>
      </c>
      <c r="C67" s="218">
        <v>46194</v>
      </c>
      <c r="D67" s="219" t="s">
        <v>866</v>
      </c>
      <c r="E67" s="218">
        <v>46194</v>
      </c>
      <c r="F67" s="219" t="s">
        <v>1084</v>
      </c>
      <c r="G67" s="220" t="s">
        <v>842</v>
      </c>
      <c r="H67" s="221">
        <v>14030</v>
      </c>
      <c r="I67" s="221">
        <v>30440</v>
      </c>
      <c r="J67" s="221">
        <v>16410</v>
      </c>
    </row>
    <row r="68" spans="1:10" x14ac:dyDescent="0.3">
      <c r="A68" s="217">
        <v>64</v>
      </c>
      <c r="B68" s="217" t="s">
        <v>1085</v>
      </c>
      <c r="C68" s="218">
        <v>46194</v>
      </c>
      <c r="D68" s="219" t="s">
        <v>1086</v>
      </c>
      <c r="E68" s="218">
        <v>46194</v>
      </c>
      <c r="F68" s="219" t="s">
        <v>1087</v>
      </c>
      <c r="G68" s="220" t="s">
        <v>336</v>
      </c>
      <c r="H68" s="221">
        <v>13750</v>
      </c>
      <c r="I68" s="221">
        <v>31250</v>
      </c>
      <c r="J68" s="221">
        <v>17500</v>
      </c>
    </row>
    <row r="69" spans="1:10" x14ac:dyDescent="0.3">
      <c r="A69" s="217">
        <v>65</v>
      </c>
      <c r="B69" s="217" t="s">
        <v>1088</v>
      </c>
      <c r="C69" s="218">
        <v>46194</v>
      </c>
      <c r="D69" s="219" t="s">
        <v>1089</v>
      </c>
      <c r="E69" s="218">
        <v>46194</v>
      </c>
      <c r="F69" s="219" t="s">
        <v>1090</v>
      </c>
      <c r="G69" s="220" t="s">
        <v>845</v>
      </c>
      <c r="H69" s="221">
        <v>13910</v>
      </c>
      <c r="I69" s="221">
        <v>32300</v>
      </c>
      <c r="J69" s="221">
        <v>18390</v>
      </c>
    </row>
    <row r="70" spans="1:10" x14ac:dyDescent="0.3">
      <c r="A70" s="217">
        <v>66</v>
      </c>
      <c r="B70" s="217" t="s">
        <v>1091</v>
      </c>
      <c r="C70" s="218">
        <v>46194</v>
      </c>
      <c r="D70" s="219" t="s">
        <v>1092</v>
      </c>
      <c r="E70" s="218">
        <v>46194</v>
      </c>
      <c r="F70" s="219" t="s">
        <v>1093</v>
      </c>
      <c r="G70" s="220" t="s">
        <v>85</v>
      </c>
      <c r="H70" s="221">
        <v>13850</v>
      </c>
      <c r="I70" s="221">
        <v>31360</v>
      </c>
      <c r="J70" s="221">
        <v>17510</v>
      </c>
    </row>
    <row r="71" spans="1:10" x14ac:dyDescent="0.3">
      <c r="A71" s="217">
        <v>67</v>
      </c>
      <c r="B71" s="217" t="s">
        <v>1094</v>
      </c>
      <c r="C71" s="218">
        <v>46195</v>
      </c>
      <c r="D71" s="219" t="s">
        <v>1095</v>
      </c>
      <c r="E71" s="218">
        <v>46195</v>
      </c>
      <c r="F71" s="219" t="s">
        <v>1096</v>
      </c>
      <c r="G71" s="220" t="s">
        <v>76</v>
      </c>
      <c r="H71" s="221">
        <v>13850</v>
      </c>
      <c r="I71" s="221">
        <v>30560</v>
      </c>
      <c r="J71" s="221">
        <v>16710</v>
      </c>
    </row>
    <row r="72" spans="1:10" x14ac:dyDescent="0.3">
      <c r="A72" s="217">
        <v>68</v>
      </c>
      <c r="B72" s="217" t="s">
        <v>1097</v>
      </c>
      <c r="C72" s="218">
        <v>46195</v>
      </c>
      <c r="D72" s="219" t="s">
        <v>1098</v>
      </c>
      <c r="E72" s="218">
        <v>46195</v>
      </c>
      <c r="F72" s="219" t="s">
        <v>1099</v>
      </c>
      <c r="G72" s="220" t="s">
        <v>840</v>
      </c>
      <c r="H72" s="221">
        <v>13960</v>
      </c>
      <c r="I72" s="221">
        <v>30150</v>
      </c>
      <c r="J72" s="221">
        <v>16190</v>
      </c>
    </row>
    <row r="73" spans="1:10" x14ac:dyDescent="0.3">
      <c r="A73" s="217">
        <v>69</v>
      </c>
      <c r="B73" s="217" t="s">
        <v>1100</v>
      </c>
      <c r="C73" s="218">
        <v>46195</v>
      </c>
      <c r="D73" s="219" t="s">
        <v>1101</v>
      </c>
      <c r="E73" s="218">
        <v>46195</v>
      </c>
      <c r="F73" s="219" t="s">
        <v>1102</v>
      </c>
      <c r="G73" s="220" t="s">
        <v>336</v>
      </c>
      <c r="H73" s="221">
        <v>13650</v>
      </c>
      <c r="I73" s="221">
        <v>29850</v>
      </c>
      <c r="J73" s="221">
        <v>16200</v>
      </c>
    </row>
    <row r="74" spans="1:10" x14ac:dyDescent="0.3">
      <c r="A74" s="217">
        <v>70</v>
      </c>
      <c r="B74" s="217" t="s">
        <v>1103</v>
      </c>
      <c r="C74" s="218">
        <v>46195</v>
      </c>
      <c r="D74" s="219" t="s">
        <v>1104</v>
      </c>
      <c r="E74" s="218">
        <v>46195</v>
      </c>
      <c r="F74" s="219" t="s">
        <v>1105</v>
      </c>
      <c r="G74" s="220" t="s">
        <v>90</v>
      </c>
      <c r="H74" s="221">
        <v>13940</v>
      </c>
      <c r="I74" s="221">
        <v>30980</v>
      </c>
      <c r="J74" s="221">
        <v>17040</v>
      </c>
    </row>
    <row r="75" spans="1:10" x14ac:dyDescent="0.3">
      <c r="A75" s="217">
        <v>71</v>
      </c>
      <c r="B75" s="217" t="s">
        <v>1106</v>
      </c>
      <c r="C75" s="218">
        <v>46195</v>
      </c>
      <c r="D75" s="219" t="s">
        <v>1107</v>
      </c>
      <c r="E75" s="218">
        <v>46195</v>
      </c>
      <c r="F75" s="219" t="s">
        <v>1108</v>
      </c>
      <c r="G75" s="220" t="s">
        <v>842</v>
      </c>
      <c r="H75" s="221">
        <v>13990</v>
      </c>
      <c r="I75" s="221">
        <v>30880</v>
      </c>
      <c r="J75" s="221">
        <v>16890</v>
      </c>
    </row>
    <row r="76" spans="1:10" x14ac:dyDescent="0.3">
      <c r="A76" s="217">
        <v>72</v>
      </c>
      <c r="B76" s="217" t="s">
        <v>1109</v>
      </c>
      <c r="C76" s="218">
        <v>46195</v>
      </c>
      <c r="D76" s="219" t="s">
        <v>1110</v>
      </c>
      <c r="E76" s="218">
        <v>46195</v>
      </c>
      <c r="F76" s="219" t="s">
        <v>1111</v>
      </c>
      <c r="G76" s="220" t="s">
        <v>337</v>
      </c>
      <c r="H76" s="221">
        <v>13980</v>
      </c>
      <c r="I76" s="221">
        <v>30840</v>
      </c>
      <c r="J76" s="221">
        <v>16860</v>
      </c>
    </row>
    <row r="77" spans="1:10" x14ac:dyDescent="0.3">
      <c r="A77" s="217">
        <v>73</v>
      </c>
      <c r="B77" s="217" t="s">
        <v>1112</v>
      </c>
      <c r="C77" s="218">
        <v>46195</v>
      </c>
      <c r="D77" s="219" t="s">
        <v>1113</v>
      </c>
      <c r="E77" s="218">
        <v>46195</v>
      </c>
      <c r="F77" s="219" t="s">
        <v>1114</v>
      </c>
      <c r="G77" s="220" t="s">
        <v>843</v>
      </c>
      <c r="H77" s="221">
        <v>14100</v>
      </c>
      <c r="I77" s="221">
        <v>31300</v>
      </c>
      <c r="J77" s="221">
        <v>17200</v>
      </c>
    </row>
    <row r="78" spans="1:10" x14ac:dyDescent="0.3">
      <c r="A78" s="217">
        <v>74</v>
      </c>
      <c r="B78" s="217" t="s">
        <v>1115</v>
      </c>
      <c r="C78" s="218">
        <v>46195</v>
      </c>
      <c r="D78" s="219" t="s">
        <v>1116</v>
      </c>
      <c r="E78" s="218">
        <v>46195</v>
      </c>
      <c r="F78" s="219" t="s">
        <v>1117</v>
      </c>
      <c r="G78" s="220" t="s">
        <v>143</v>
      </c>
      <c r="H78" s="221">
        <v>13990</v>
      </c>
      <c r="I78" s="221">
        <v>30510</v>
      </c>
      <c r="J78" s="221">
        <v>16520</v>
      </c>
    </row>
    <row r="79" spans="1:10" x14ac:dyDescent="0.3">
      <c r="A79" s="217">
        <v>75</v>
      </c>
      <c r="B79" s="217" t="s">
        <v>1118</v>
      </c>
      <c r="C79" s="218">
        <v>46195</v>
      </c>
      <c r="D79" s="219" t="s">
        <v>1119</v>
      </c>
      <c r="E79" s="218">
        <v>46195</v>
      </c>
      <c r="F79" s="219" t="s">
        <v>887</v>
      </c>
      <c r="G79" s="220" t="s">
        <v>64</v>
      </c>
      <c r="H79" s="221">
        <v>13850</v>
      </c>
      <c r="I79" s="221">
        <v>31620</v>
      </c>
      <c r="J79" s="221">
        <v>17770</v>
      </c>
    </row>
    <row r="80" spans="1:10" x14ac:dyDescent="0.3">
      <c r="A80" s="217">
        <v>76</v>
      </c>
      <c r="B80" s="217" t="s">
        <v>1120</v>
      </c>
      <c r="C80" s="218">
        <v>46195</v>
      </c>
      <c r="D80" s="219" t="s">
        <v>1121</v>
      </c>
      <c r="E80" s="218">
        <v>46195</v>
      </c>
      <c r="F80" s="219" t="s">
        <v>1122</v>
      </c>
      <c r="G80" s="220" t="s">
        <v>55</v>
      </c>
      <c r="H80" s="221">
        <v>13920</v>
      </c>
      <c r="I80" s="221">
        <v>31240</v>
      </c>
      <c r="J80" s="221">
        <v>17320</v>
      </c>
    </row>
    <row r="81" spans="1:10" x14ac:dyDescent="0.3">
      <c r="A81" s="217">
        <v>77</v>
      </c>
      <c r="B81" s="217" t="s">
        <v>1123</v>
      </c>
      <c r="C81" s="218">
        <v>46195</v>
      </c>
      <c r="D81" s="219" t="s">
        <v>1124</v>
      </c>
      <c r="E81" s="218">
        <v>46195</v>
      </c>
      <c r="F81" s="219" t="s">
        <v>1125</v>
      </c>
      <c r="G81" s="220" t="s">
        <v>80</v>
      </c>
      <c r="H81" s="221">
        <v>14040</v>
      </c>
      <c r="I81" s="221">
        <v>30920</v>
      </c>
      <c r="J81" s="221">
        <v>16880</v>
      </c>
    </row>
    <row r="82" spans="1:10" x14ac:dyDescent="0.3">
      <c r="A82" s="217">
        <v>78</v>
      </c>
      <c r="B82" s="217" t="s">
        <v>1126</v>
      </c>
      <c r="C82" s="218">
        <v>46195</v>
      </c>
      <c r="D82" s="219" t="s">
        <v>853</v>
      </c>
      <c r="E82" s="218">
        <v>46195</v>
      </c>
      <c r="F82" s="219" t="s">
        <v>1127</v>
      </c>
      <c r="G82" s="220" t="s">
        <v>335</v>
      </c>
      <c r="H82" s="221">
        <v>13900</v>
      </c>
      <c r="I82" s="221">
        <v>31300</v>
      </c>
      <c r="J82" s="221">
        <v>17400</v>
      </c>
    </row>
    <row r="83" spans="1:10" x14ac:dyDescent="0.3">
      <c r="A83" s="217">
        <v>79</v>
      </c>
      <c r="B83" s="217" t="s">
        <v>1128</v>
      </c>
      <c r="C83" s="218">
        <v>46195</v>
      </c>
      <c r="D83" s="219" t="s">
        <v>1129</v>
      </c>
      <c r="E83" s="218">
        <v>46195</v>
      </c>
      <c r="F83" s="219" t="s">
        <v>1130</v>
      </c>
      <c r="G83" s="220" t="s">
        <v>85</v>
      </c>
      <c r="H83" s="221">
        <v>13750</v>
      </c>
      <c r="I83" s="221">
        <v>30810</v>
      </c>
      <c r="J83" s="221">
        <v>17060</v>
      </c>
    </row>
    <row r="84" spans="1:10" x14ac:dyDescent="0.3">
      <c r="A84" s="217">
        <v>80</v>
      </c>
      <c r="B84" s="217" t="s">
        <v>1131</v>
      </c>
      <c r="C84" s="218">
        <v>46195</v>
      </c>
      <c r="D84" s="219" t="s">
        <v>1132</v>
      </c>
      <c r="E84" s="218">
        <v>46195</v>
      </c>
      <c r="F84" s="219" t="s">
        <v>221</v>
      </c>
      <c r="G84" s="220" t="s">
        <v>845</v>
      </c>
      <c r="H84" s="221">
        <v>13890</v>
      </c>
      <c r="I84" s="221">
        <v>32500</v>
      </c>
      <c r="J84" s="221">
        <v>18610</v>
      </c>
    </row>
    <row r="85" spans="1:10" x14ac:dyDescent="0.3">
      <c r="A85" s="217">
        <v>81</v>
      </c>
      <c r="B85" s="217" t="s">
        <v>1133</v>
      </c>
      <c r="C85" s="218">
        <v>46195</v>
      </c>
      <c r="D85" s="219" t="s">
        <v>1134</v>
      </c>
      <c r="E85" s="218">
        <v>46195</v>
      </c>
      <c r="F85" s="219" t="s">
        <v>1135</v>
      </c>
      <c r="G85" s="220" t="s">
        <v>43</v>
      </c>
      <c r="H85" s="221">
        <v>13810</v>
      </c>
      <c r="I85" s="221">
        <v>30550</v>
      </c>
      <c r="J85" s="221">
        <v>16740</v>
      </c>
    </row>
    <row r="86" spans="1:10" x14ac:dyDescent="0.3">
      <c r="A86" s="217">
        <v>82</v>
      </c>
      <c r="B86" s="217" t="s">
        <v>1136</v>
      </c>
      <c r="C86" s="218">
        <v>46195</v>
      </c>
      <c r="D86" s="219" t="s">
        <v>1137</v>
      </c>
      <c r="E86" s="218">
        <v>46195</v>
      </c>
      <c r="F86" s="219" t="s">
        <v>1138</v>
      </c>
      <c r="G86" s="220" t="s">
        <v>76</v>
      </c>
      <c r="H86" s="221">
        <v>13840</v>
      </c>
      <c r="I86" s="221">
        <v>30350</v>
      </c>
      <c r="J86" s="221">
        <v>16510</v>
      </c>
    </row>
    <row r="87" spans="1:10" x14ac:dyDescent="0.3">
      <c r="A87" s="217">
        <v>83</v>
      </c>
      <c r="B87" s="217" t="s">
        <v>1139</v>
      </c>
      <c r="C87" s="218">
        <v>46195</v>
      </c>
      <c r="D87" s="219" t="s">
        <v>1140</v>
      </c>
      <c r="E87" s="218">
        <v>46195</v>
      </c>
      <c r="F87" s="219" t="s">
        <v>1141</v>
      </c>
      <c r="G87" s="220" t="s">
        <v>840</v>
      </c>
      <c r="H87" s="221">
        <v>13930</v>
      </c>
      <c r="I87" s="221">
        <v>31320</v>
      </c>
      <c r="J87" s="221">
        <v>17390</v>
      </c>
    </row>
    <row r="88" spans="1:10" x14ac:dyDescent="0.3">
      <c r="A88" s="217">
        <v>84</v>
      </c>
      <c r="B88" s="217" t="s">
        <v>1142</v>
      </c>
      <c r="C88" s="218">
        <v>46195</v>
      </c>
      <c r="D88" s="219" t="s">
        <v>1143</v>
      </c>
      <c r="E88" s="218">
        <v>46195</v>
      </c>
      <c r="F88" s="219" t="s">
        <v>1144</v>
      </c>
      <c r="G88" s="220" t="s">
        <v>90</v>
      </c>
      <c r="H88" s="221">
        <v>13930</v>
      </c>
      <c r="I88" s="221">
        <v>31690</v>
      </c>
      <c r="J88" s="221">
        <v>17760</v>
      </c>
    </row>
    <row r="89" spans="1:10" x14ac:dyDescent="0.3">
      <c r="A89" s="217">
        <v>85</v>
      </c>
      <c r="B89" s="217" t="s">
        <v>1145</v>
      </c>
      <c r="C89" s="218">
        <v>46195</v>
      </c>
      <c r="D89" s="219" t="s">
        <v>1146</v>
      </c>
      <c r="E89" s="218">
        <v>46195</v>
      </c>
      <c r="F89" s="219" t="s">
        <v>1147</v>
      </c>
      <c r="G89" s="220" t="s">
        <v>842</v>
      </c>
      <c r="H89" s="221">
        <v>13960</v>
      </c>
      <c r="I89" s="221">
        <v>31260</v>
      </c>
      <c r="J89" s="221">
        <v>17300</v>
      </c>
    </row>
    <row r="90" spans="1:10" x14ac:dyDescent="0.3">
      <c r="A90" s="217">
        <v>86</v>
      </c>
      <c r="B90" s="217" t="s">
        <v>1148</v>
      </c>
      <c r="C90" s="218">
        <v>46195</v>
      </c>
      <c r="D90" s="219" t="s">
        <v>1149</v>
      </c>
      <c r="E90" s="218">
        <v>46195</v>
      </c>
      <c r="F90" s="219" t="s">
        <v>1150</v>
      </c>
      <c r="G90" s="220" t="s">
        <v>336</v>
      </c>
      <c r="H90" s="221">
        <v>13660</v>
      </c>
      <c r="I90" s="221">
        <v>31130</v>
      </c>
      <c r="J90" s="221">
        <v>17470</v>
      </c>
    </row>
    <row r="91" spans="1:10" x14ac:dyDescent="0.3">
      <c r="A91" s="217">
        <v>87</v>
      </c>
      <c r="B91" s="217" t="s">
        <v>1151</v>
      </c>
      <c r="C91" s="218">
        <v>46195</v>
      </c>
      <c r="D91" s="219" t="s">
        <v>1152</v>
      </c>
      <c r="E91" s="218">
        <v>46195</v>
      </c>
      <c r="F91" s="219" t="s">
        <v>1153</v>
      </c>
      <c r="G91" s="220" t="s">
        <v>337</v>
      </c>
      <c r="H91" s="221">
        <v>14000</v>
      </c>
      <c r="I91" s="221">
        <v>31660</v>
      </c>
      <c r="J91" s="221">
        <v>17660</v>
      </c>
    </row>
    <row r="92" spans="1:10" x14ac:dyDescent="0.3">
      <c r="A92" s="217">
        <v>88</v>
      </c>
      <c r="B92" s="217" t="s">
        <v>1154</v>
      </c>
      <c r="C92" s="218">
        <v>46195</v>
      </c>
      <c r="D92" s="219" t="s">
        <v>1155</v>
      </c>
      <c r="E92" s="218">
        <v>46195</v>
      </c>
      <c r="F92" s="219" t="s">
        <v>1156</v>
      </c>
      <c r="G92" s="220" t="s">
        <v>843</v>
      </c>
      <c r="H92" s="221">
        <v>14080</v>
      </c>
      <c r="I92" s="221">
        <v>31720</v>
      </c>
      <c r="J92" s="221">
        <v>17640</v>
      </c>
    </row>
    <row r="93" spans="1:10" x14ac:dyDescent="0.3">
      <c r="A93" s="217">
        <v>89</v>
      </c>
      <c r="B93" s="217" t="s">
        <v>1157</v>
      </c>
      <c r="C93" s="218">
        <v>46195</v>
      </c>
      <c r="D93" s="219" t="s">
        <v>1158</v>
      </c>
      <c r="E93" s="218">
        <v>46195</v>
      </c>
      <c r="F93" s="219" t="s">
        <v>1159</v>
      </c>
      <c r="G93" s="220" t="s">
        <v>64</v>
      </c>
      <c r="H93" s="221">
        <v>13840</v>
      </c>
      <c r="I93" s="221">
        <v>31550</v>
      </c>
      <c r="J93" s="221">
        <v>17710</v>
      </c>
    </row>
    <row r="94" spans="1:10" x14ac:dyDescent="0.3">
      <c r="A94" s="217">
        <v>90</v>
      </c>
      <c r="B94" s="217" t="s">
        <v>1160</v>
      </c>
      <c r="C94" s="218">
        <v>46195</v>
      </c>
      <c r="D94" s="219" t="s">
        <v>1161</v>
      </c>
      <c r="E94" s="218">
        <v>46195</v>
      </c>
      <c r="F94" s="219" t="s">
        <v>1162</v>
      </c>
      <c r="G94" s="220" t="s">
        <v>143</v>
      </c>
      <c r="H94" s="221">
        <v>13960</v>
      </c>
      <c r="I94" s="221">
        <v>31840</v>
      </c>
      <c r="J94" s="221">
        <v>17880</v>
      </c>
    </row>
    <row r="95" spans="1:10" x14ac:dyDescent="0.3">
      <c r="A95" s="217">
        <v>91</v>
      </c>
      <c r="B95" s="217" t="s">
        <v>1163</v>
      </c>
      <c r="C95" s="218">
        <v>46195</v>
      </c>
      <c r="D95" s="219" t="s">
        <v>1164</v>
      </c>
      <c r="E95" s="218">
        <v>46195</v>
      </c>
      <c r="F95" s="219" t="s">
        <v>1165</v>
      </c>
      <c r="G95" s="220" t="s">
        <v>80</v>
      </c>
      <c r="H95" s="221">
        <v>14040</v>
      </c>
      <c r="I95" s="221">
        <v>31620</v>
      </c>
      <c r="J95" s="221">
        <v>17580</v>
      </c>
    </row>
    <row r="96" spans="1:10" x14ac:dyDescent="0.3">
      <c r="A96" s="217">
        <v>92</v>
      </c>
      <c r="B96" s="217" t="s">
        <v>1166</v>
      </c>
      <c r="C96" s="218">
        <v>46195</v>
      </c>
      <c r="D96" s="219" t="s">
        <v>1167</v>
      </c>
      <c r="E96" s="218">
        <v>46195</v>
      </c>
      <c r="F96" s="219" t="s">
        <v>1168</v>
      </c>
      <c r="G96" s="220" t="s">
        <v>55</v>
      </c>
      <c r="H96" s="221">
        <v>13910</v>
      </c>
      <c r="I96" s="221">
        <v>31310</v>
      </c>
      <c r="J96" s="221">
        <v>17400</v>
      </c>
    </row>
    <row r="97" spans="1:10" x14ac:dyDescent="0.3">
      <c r="A97" s="217">
        <v>93</v>
      </c>
      <c r="B97" s="217" t="s">
        <v>1169</v>
      </c>
      <c r="C97" s="218">
        <v>46195</v>
      </c>
      <c r="D97" s="219" t="s">
        <v>1170</v>
      </c>
      <c r="E97" s="218">
        <v>46195</v>
      </c>
      <c r="F97" s="219" t="s">
        <v>1171</v>
      </c>
      <c r="G97" s="220" t="s">
        <v>335</v>
      </c>
      <c r="H97" s="221">
        <v>13880</v>
      </c>
      <c r="I97" s="221">
        <v>31900</v>
      </c>
      <c r="J97" s="221">
        <v>18020</v>
      </c>
    </row>
    <row r="98" spans="1:10" x14ac:dyDescent="0.3">
      <c r="A98" s="217">
        <v>94</v>
      </c>
      <c r="B98" s="217" t="s">
        <v>1172</v>
      </c>
      <c r="C98" s="218">
        <v>46195</v>
      </c>
      <c r="D98" s="219" t="s">
        <v>1173</v>
      </c>
      <c r="E98" s="218">
        <v>46195</v>
      </c>
      <c r="F98" s="219" t="s">
        <v>1174</v>
      </c>
      <c r="G98" s="220" t="s">
        <v>85</v>
      </c>
      <c r="H98" s="221">
        <v>13740</v>
      </c>
      <c r="I98" s="221">
        <v>30360</v>
      </c>
      <c r="J98" s="221">
        <v>16620</v>
      </c>
    </row>
    <row r="99" spans="1:10" x14ac:dyDescent="0.3">
      <c r="A99" s="217">
        <v>95</v>
      </c>
      <c r="B99" s="217" t="s">
        <v>1175</v>
      </c>
      <c r="C99" s="218">
        <v>46195</v>
      </c>
      <c r="D99" s="219" t="s">
        <v>1176</v>
      </c>
      <c r="E99" s="218">
        <v>46195</v>
      </c>
      <c r="F99" s="219" t="s">
        <v>1177</v>
      </c>
      <c r="G99" s="220" t="s">
        <v>845</v>
      </c>
      <c r="H99" s="221">
        <v>13880</v>
      </c>
      <c r="I99" s="221">
        <v>31320</v>
      </c>
      <c r="J99" s="221">
        <v>17440</v>
      </c>
    </row>
    <row r="100" spans="1:10" x14ac:dyDescent="0.3">
      <c r="A100" s="217">
        <v>96</v>
      </c>
      <c r="B100" s="217" t="s">
        <v>1178</v>
      </c>
      <c r="C100" s="218">
        <v>46195</v>
      </c>
      <c r="D100" s="219" t="s">
        <v>1179</v>
      </c>
      <c r="E100" s="218">
        <v>46195</v>
      </c>
      <c r="F100" s="219" t="s">
        <v>956</v>
      </c>
      <c r="G100" s="220" t="s">
        <v>43</v>
      </c>
      <c r="H100" s="221">
        <v>13780</v>
      </c>
      <c r="I100" s="221">
        <v>31190</v>
      </c>
      <c r="J100" s="221">
        <v>17410</v>
      </c>
    </row>
    <row r="101" spans="1:10" x14ac:dyDescent="0.3">
      <c r="A101" s="217">
        <v>97</v>
      </c>
      <c r="B101" s="217" t="s">
        <v>1180</v>
      </c>
      <c r="C101" s="218">
        <v>46195</v>
      </c>
      <c r="D101" s="219" t="s">
        <v>1181</v>
      </c>
      <c r="E101" s="218">
        <v>46195</v>
      </c>
      <c r="F101" s="219" t="s">
        <v>1182</v>
      </c>
      <c r="G101" s="220" t="s">
        <v>76</v>
      </c>
      <c r="H101" s="221">
        <v>13790</v>
      </c>
      <c r="I101" s="221">
        <v>30700</v>
      </c>
      <c r="J101" s="221">
        <v>16910</v>
      </c>
    </row>
    <row r="102" spans="1:10" x14ac:dyDescent="0.3">
      <c r="A102" s="217">
        <v>98</v>
      </c>
      <c r="B102" s="217" t="s">
        <v>1183</v>
      </c>
      <c r="C102" s="218">
        <v>46195</v>
      </c>
      <c r="D102" s="219" t="s">
        <v>1184</v>
      </c>
      <c r="E102" s="218">
        <v>46195</v>
      </c>
      <c r="F102" s="219" t="s">
        <v>1185</v>
      </c>
      <c r="G102" s="220" t="s">
        <v>840</v>
      </c>
      <c r="H102" s="221">
        <v>13920</v>
      </c>
      <c r="I102" s="221">
        <v>31090</v>
      </c>
      <c r="J102" s="221">
        <v>17170</v>
      </c>
    </row>
    <row r="103" spans="1:10" x14ac:dyDescent="0.3">
      <c r="A103" s="217">
        <v>99</v>
      </c>
      <c r="B103" s="217" t="s">
        <v>1186</v>
      </c>
      <c r="C103" s="218">
        <v>46195</v>
      </c>
      <c r="D103" s="219" t="s">
        <v>885</v>
      </c>
      <c r="E103" s="218">
        <v>46195</v>
      </c>
      <c r="F103" s="219" t="s">
        <v>1187</v>
      </c>
      <c r="G103" s="220" t="s">
        <v>90</v>
      </c>
      <c r="H103" s="221">
        <v>13880</v>
      </c>
      <c r="I103" s="221">
        <v>31010</v>
      </c>
      <c r="J103" s="221">
        <v>17130</v>
      </c>
    </row>
    <row r="104" spans="1:10" x14ac:dyDescent="0.3">
      <c r="A104" s="217">
        <v>100</v>
      </c>
      <c r="B104" s="217" t="s">
        <v>1188</v>
      </c>
      <c r="C104" s="218">
        <v>46195</v>
      </c>
      <c r="D104" s="219" t="s">
        <v>1189</v>
      </c>
      <c r="E104" s="218">
        <v>46195</v>
      </c>
      <c r="F104" s="219" t="s">
        <v>1190</v>
      </c>
      <c r="G104" s="220" t="s">
        <v>842</v>
      </c>
      <c r="H104" s="221">
        <v>13940</v>
      </c>
      <c r="I104" s="221">
        <v>30840</v>
      </c>
      <c r="J104" s="221">
        <v>16900</v>
      </c>
    </row>
    <row r="105" spans="1:10" x14ac:dyDescent="0.3">
      <c r="A105" s="217">
        <v>101</v>
      </c>
      <c r="B105" s="217" t="s">
        <v>1191</v>
      </c>
      <c r="C105" s="218">
        <v>46195</v>
      </c>
      <c r="D105" s="219" t="s">
        <v>1192</v>
      </c>
      <c r="E105" s="218">
        <v>46195</v>
      </c>
      <c r="F105" s="219" t="s">
        <v>1193</v>
      </c>
      <c r="G105" s="220" t="s">
        <v>336</v>
      </c>
      <c r="H105" s="221">
        <v>13640</v>
      </c>
      <c r="I105" s="221">
        <v>31110</v>
      </c>
      <c r="J105" s="221">
        <v>17470</v>
      </c>
    </row>
    <row r="106" spans="1:10" x14ac:dyDescent="0.3">
      <c r="A106" s="217">
        <v>102</v>
      </c>
      <c r="B106" s="217" t="s">
        <v>1194</v>
      </c>
      <c r="C106" s="218">
        <v>46195</v>
      </c>
      <c r="D106" s="219" t="s">
        <v>1195</v>
      </c>
      <c r="E106" s="218">
        <v>46195</v>
      </c>
      <c r="F106" s="219" t="s">
        <v>1196</v>
      </c>
      <c r="G106" s="220" t="s">
        <v>337</v>
      </c>
      <c r="H106" s="221">
        <v>13960</v>
      </c>
      <c r="I106" s="221">
        <v>31430</v>
      </c>
      <c r="J106" s="221">
        <v>17470</v>
      </c>
    </row>
    <row r="107" spans="1:10" x14ac:dyDescent="0.3">
      <c r="A107" s="217">
        <v>103</v>
      </c>
      <c r="B107" s="217" t="s">
        <v>1197</v>
      </c>
      <c r="C107" s="218">
        <v>46195</v>
      </c>
      <c r="D107" s="219" t="s">
        <v>1198</v>
      </c>
      <c r="E107" s="218">
        <v>46195</v>
      </c>
      <c r="F107" s="219" t="s">
        <v>1199</v>
      </c>
      <c r="G107" s="220" t="s">
        <v>64</v>
      </c>
      <c r="H107" s="221">
        <v>13800</v>
      </c>
      <c r="I107" s="221">
        <v>30400</v>
      </c>
      <c r="J107" s="221">
        <v>16600</v>
      </c>
    </row>
    <row r="108" spans="1:10" x14ac:dyDescent="0.3">
      <c r="A108" s="217">
        <v>104</v>
      </c>
      <c r="B108" s="217" t="s">
        <v>1200</v>
      </c>
      <c r="C108" s="218">
        <v>46195</v>
      </c>
      <c r="D108" s="219" t="s">
        <v>1201</v>
      </c>
      <c r="E108" s="218">
        <v>46195</v>
      </c>
      <c r="F108" s="219" t="s">
        <v>1202</v>
      </c>
      <c r="G108" s="220" t="s">
        <v>843</v>
      </c>
      <c r="H108" s="221">
        <v>14050</v>
      </c>
      <c r="I108" s="221">
        <v>31440</v>
      </c>
      <c r="J108" s="221">
        <v>17390</v>
      </c>
    </row>
    <row r="109" spans="1:10" x14ac:dyDescent="0.3">
      <c r="A109" s="217">
        <v>105</v>
      </c>
      <c r="B109" s="217" t="s">
        <v>1203</v>
      </c>
      <c r="C109" s="218">
        <v>46195</v>
      </c>
      <c r="D109" s="219" t="s">
        <v>1204</v>
      </c>
      <c r="E109" s="218">
        <v>46195</v>
      </c>
      <c r="F109" s="219" t="s">
        <v>1205</v>
      </c>
      <c r="G109" s="220" t="s">
        <v>143</v>
      </c>
      <c r="H109" s="221">
        <v>13920</v>
      </c>
      <c r="I109" s="221">
        <v>32040</v>
      </c>
      <c r="J109" s="221">
        <v>18120</v>
      </c>
    </row>
    <row r="110" spans="1:10" x14ac:dyDescent="0.3">
      <c r="A110" s="217">
        <v>106</v>
      </c>
      <c r="B110" s="217" t="s">
        <v>1206</v>
      </c>
      <c r="C110" s="218">
        <v>46195</v>
      </c>
      <c r="D110" s="219" t="s">
        <v>1207</v>
      </c>
      <c r="E110" s="218">
        <v>46195</v>
      </c>
      <c r="F110" s="219" t="s">
        <v>1208</v>
      </c>
      <c r="G110" s="220" t="s">
        <v>80</v>
      </c>
      <c r="H110" s="221">
        <v>13970</v>
      </c>
      <c r="I110" s="221">
        <v>32040</v>
      </c>
      <c r="J110" s="221">
        <v>18070</v>
      </c>
    </row>
    <row r="111" spans="1:10" x14ac:dyDescent="0.3">
      <c r="A111" s="217">
        <v>107</v>
      </c>
      <c r="B111" s="217" t="s">
        <v>1209</v>
      </c>
      <c r="C111" s="218">
        <v>46195</v>
      </c>
      <c r="D111" s="219" t="s">
        <v>1210</v>
      </c>
      <c r="E111" s="218">
        <v>46195</v>
      </c>
      <c r="F111" s="219" t="s">
        <v>1211</v>
      </c>
      <c r="G111" s="220" t="s">
        <v>55</v>
      </c>
      <c r="H111" s="221">
        <v>13840</v>
      </c>
      <c r="I111" s="221">
        <v>31680</v>
      </c>
      <c r="J111" s="221">
        <v>17840</v>
      </c>
    </row>
    <row r="112" spans="1:10" x14ac:dyDescent="0.3">
      <c r="A112" s="217">
        <v>108</v>
      </c>
      <c r="B112" s="217" t="s">
        <v>1212</v>
      </c>
      <c r="C112" s="218">
        <v>46195</v>
      </c>
      <c r="D112" s="219" t="s">
        <v>1213</v>
      </c>
      <c r="E112" s="218">
        <v>46195</v>
      </c>
      <c r="F112" s="219" t="s">
        <v>1214</v>
      </c>
      <c r="G112" s="220" t="s">
        <v>335</v>
      </c>
      <c r="H112" s="221">
        <v>13840</v>
      </c>
      <c r="I112" s="221">
        <v>31720</v>
      </c>
      <c r="J112" s="221">
        <v>17880</v>
      </c>
    </row>
    <row r="113" spans="1:10" x14ac:dyDescent="0.3">
      <c r="A113" s="217">
        <v>109</v>
      </c>
      <c r="B113" s="217" t="s">
        <v>1215</v>
      </c>
      <c r="C113" s="218">
        <v>46195</v>
      </c>
      <c r="D113" s="219" t="s">
        <v>1216</v>
      </c>
      <c r="E113" s="218">
        <v>46195</v>
      </c>
      <c r="F113" s="219" t="s">
        <v>1217</v>
      </c>
      <c r="G113" s="220" t="s">
        <v>85</v>
      </c>
      <c r="H113" s="221">
        <v>13720</v>
      </c>
      <c r="I113" s="221">
        <v>31680</v>
      </c>
      <c r="J113" s="221">
        <v>17960</v>
      </c>
    </row>
    <row r="114" spans="1:10" x14ac:dyDescent="0.3">
      <c r="A114" s="217">
        <v>110</v>
      </c>
      <c r="B114" s="217" t="s">
        <v>1218</v>
      </c>
      <c r="C114" s="218">
        <v>46195</v>
      </c>
      <c r="D114" s="219" t="s">
        <v>1219</v>
      </c>
      <c r="E114" s="218">
        <v>46195</v>
      </c>
      <c r="F114" s="219" t="s">
        <v>1220</v>
      </c>
      <c r="G114" s="220" t="s">
        <v>43</v>
      </c>
      <c r="H114" s="221">
        <v>13810</v>
      </c>
      <c r="I114" s="221">
        <v>30690</v>
      </c>
      <c r="J114" s="221">
        <v>16880</v>
      </c>
    </row>
    <row r="115" spans="1:10" x14ac:dyDescent="0.3">
      <c r="A115" s="217">
        <v>111</v>
      </c>
      <c r="B115" s="217" t="s">
        <v>1221</v>
      </c>
      <c r="C115" s="218">
        <v>46195</v>
      </c>
      <c r="D115" s="219" t="s">
        <v>1222</v>
      </c>
      <c r="E115" s="218">
        <v>46195</v>
      </c>
      <c r="F115" s="219" t="s">
        <v>1223</v>
      </c>
      <c r="G115" s="220" t="s">
        <v>840</v>
      </c>
      <c r="H115" s="221">
        <v>13860</v>
      </c>
      <c r="I115" s="221">
        <v>30290</v>
      </c>
      <c r="J115" s="221">
        <v>16430</v>
      </c>
    </row>
    <row r="116" spans="1:10" x14ac:dyDescent="0.3">
      <c r="A116" s="217">
        <v>112</v>
      </c>
      <c r="B116" s="217" t="s">
        <v>1224</v>
      </c>
      <c r="C116" s="218">
        <v>46195</v>
      </c>
      <c r="D116" s="219" t="s">
        <v>1225</v>
      </c>
      <c r="E116" s="218">
        <v>46195</v>
      </c>
      <c r="F116" s="219" t="s">
        <v>1226</v>
      </c>
      <c r="G116" s="220" t="s">
        <v>76</v>
      </c>
      <c r="H116" s="221">
        <v>13840</v>
      </c>
      <c r="I116" s="221">
        <v>31310</v>
      </c>
      <c r="J116" s="221">
        <v>17470</v>
      </c>
    </row>
    <row r="117" spans="1:10" x14ac:dyDescent="0.3">
      <c r="A117" s="217">
        <v>113</v>
      </c>
      <c r="B117" s="217" t="s">
        <v>1227</v>
      </c>
      <c r="C117" s="218">
        <v>46195</v>
      </c>
      <c r="D117" s="219" t="s">
        <v>1228</v>
      </c>
      <c r="E117" s="218">
        <v>46195</v>
      </c>
      <c r="F117" s="219" t="s">
        <v>1229</v>
      </c>
      <c r="G117" s="220" t="s">
        <v>842</v>
      </c>
      <c r="H117" s="221">
        <v>13890</v>
      </c>
      <c r="I117" s="221">
        <v>29910</v>
      </c>
      <c r="J117" s="221">
        <v>16020</v>
      </c>
    </row>
    <row r="118" spans="1:10" x14ac:dyDescent="0.3">
      <c r="A118" s="217">
        <v>114</v>
      </c>
      <c r="B118" s="217" t="s">
        <v>1230</v>
      </c>
      <c r="C118" s="218">
        <v>46195</v>
      </c>
      <c r="D118" s="219" t="s">
        <v>1231</v>
      </c>
      <c r="E118" s="218">
        <v>46195</v>
      </c>
      <c r="F118" s="219" t="s">
        <v>1232</v>
      </c>
      <c r="G118" s="220" t="s">
        <v>90</v>
      </c>
      <c r="H118" s="221">
        <v>13780</v>
      </c>
      <c r="I118" s="221">
        <v>30840</v>
      </c>
      <c r="J118" s="221">
        <v>17060</v>
      </c>
    </row>
    <row r="119" spans="1:10" x14ac:dyDescent="0.3">
      <c r="A119" s="217">
        <v>115</v>
      </c>
      <c r="B119" s="217" t="s">
        <v>1233</v>
      </c>
      <c r="C119" s="218">
        <v>46195</v>
      </c>
      <c r="D119" s="219" t="s">
        <v>1234</v>
      </c>
      <c r="E119" s="218">
        <v>46195</v>
      </c>
      <c r="F119" s="219" t="s">
        <v>1235</v>
      </c>
      <c r="G119" s="220" t="s">
        <v>337</v>
      </c>
      <c r="H119" s="221">
        <v>14020</v>
      </c>
      <c r="I119" s="221">
        <v>31640</v>
      </c>
      <c r="J119" s="221">
        <v>17620</v>
      </c>
    </row>
    <row r="120" spans="1:10" x14ac:dyDescent="0.3">
      <c r="A120" s="217">
        <v>116</v>
      </c>
      <c r="B120" s="217" t="s">
        <v>1236</v>
      </c>
      <c r="C120" s="218">
        <v>46195</v>
      </c>
      <c r="D120" s="219" t="s">
        <v>1237</v>
      </c>
      <c r="E120" s="218">
        <v>46195</v>
      </c>
      <c r="F120" s="219" t="s">
        <v>1238</v>
      </c>
      <c r="G120" s="220" t="s">
        <v>336</v>
      </c>
      <c r="H120" s="221">
        <v>13980</v>
      </c>
      <c r="I120" s="221">
        <v>30490</v>
      </c>
      <c r="J120" s="221">
        <v>16510</v>
      </c>
    </row>
    <row r="121" spans="1:10" x14ac:dyDescent="0.3">
      <c r="A121" s="217">
        <v>117</v>
      </c>
      <c r="B121" s="217" t="s">
        <v>1239</v>
      </c>
      <c r="C121" s="218">
        <v>46195</v>
      </c>
      <c r="D121" s="219" t="s">
        <v>1240</v>
      </c>
      <c r="E121" s="218">
        <v>46195</v>
      </c>
      <c r="F121" s="219" t="s">
        <v>1241</v>
      </c>
      <c r="G121" s="220" t="s">
        <v>843</v>
      </c>
      <c r="H121" s="221">
        <v>14020</v>
      </c>
      <c r="I121" s="221">
        <v>29840</v>
      </c>
      <c r="J121" s="221">
        <v>15820</v>
      </c>
    </row>
    <row r="122" spans="1:10" x14ac:dyDescent="0.3">
      <c r="A122" s="217">
        <v>118</v>
      </c>
      <c r="B122" s="217" t="s">
        <v>1242</v>
      </c>
      <c r="C122" s="218">
        <v>46195</v>
      </c>
      <c r="D122" s="219" t="s">
        <v>1243</v>
      </c>
      <c r="E122" s="218">
        <v>46195</v>
      </c>
      <c r="F122" s="219" t="s">
        <v>1244</v>
      </c>
      <c r="G122" s="220" t="s">
        <v>64</v>
      </c>
      <c r="H122" s="221">
        <v>14030</v>
      </c>
      <c r="I122" s="221">
        <v>31250</v>
      </c>
      <c r="J122" s="221">
        <v>17220</v>
      </c>
    </row>
    <row r="123" spans="1:10" x14ac:dyDescent="0.3">
      <c r="A123" s="217">
        <v>119</v>
      </c>
      <c r="B123" s="217" t="s">
        <v>1245</v>
      </c>
      <c r="C123" s="218">
        <v>46195</v>
      </c>
      <c r="D123" s="219" t="s">
        <v>1246</v>
      </c>
      <c r="E123" s="218">
        <v>46195</v>
      </c>
      <c r="F123" s="219" t="s">
        <v>1247</v>
      </c>
      <c r="G123" s="220" t="s">
        <v>80</v>
      </c>
      <c r="H123" s="221">
        <v>13980</v>
      </c>
      <c r="I123" s="221">
        <v>31950</v>
      </c>
      <c r="J123" s="221">
        <v>17970</v>
      </c>
    </row>
    <row r="124" spans="1:10" x14ac:dyDescent="0.3">
      <c r="A124" s="217">
        <v>120</v>
      </c>
      <c r="B124" s="217" t="s">
        <v>1248</v>
      </c>
      <c r="C124" s="218">
        <v>46195</v>
      </c>
      <c r="D124" s="219" t="s">
        <v>1249</v>
      </c>
      <c r="E124" s="218">
        <v>46195</v>
      </c>
      <c r="F124" s="219" t="s">
        <v>1250</v>
      </c>
      <c r="G124" s="220" t="s">
        <v>143</v>
      </c>
      <c r="H124" s="221">
        <v>13980</v>
      </c>
      <c r="I124" s="221">
        <v>31510</v>
      </c>
      <c r="J124" s="221">
        <v>17530</v>
      </c>
    </row>
    <row r="125" spans="1:10" x14ac:dyDescent="0.3">
      <c r="A125" s="217">
        <v>121</v>
      </c>
      <c r="B125" s="217" t="s">
        <v>1251</v>
      </c>
      <c r="C125" s="218">
        <v>46195</v>
      </c>
      <c r="D125" s="219" t="s">
        <v>1252</v>
      </c>
      <c r="E125" s="218">
        <v>46195</v>
      </c>
      <c r="F125" s="219" t="s">
        <v>1253</v>
      </c>
      <c r="G125" s="220" t="s">
        <v>845</v>
      </c>
      <c r="H125" s="221">
        <v>13850</v>
      </c>
      <c r="I125" s="221">
        <v>30510</v>
      </c>
      <c r="J125" s="221">
        <v>16660</v>
      </c>
    </row>
    <row r="126" spans="1:10" x14ac:dyDescent="0.3">
      <c r="A126" s="217">
        <v>122</v>
      </c>
      <c r="B126" s="217" t="s">
        <v>1254</v>
      </c>
      <c r="C126" s="218">
        <v>46195</v>
      </c>
      <c r="D126" s="219" t="s">
        <v>1255</v>
      </c>
      <c r="E126" s="218">
        <v>46195</v>
      </c>
      <c r="F126" s="219" t="s">
        <v>1256</v>
      </c>
      <c r="G126" s="220" t="s">
        <v>55</v>
      </c>
      <c r="H126" s="221">
        <v>13840</v>
      </c>
      <c r="I126" s="221">
        <v>30790</v>
      </c>
      <c r="J126" s="221">
        <v>16950</v>
      </c>
    </row>
    <row r="127" spans="1:10" x14ac:dyDescent="0.3">
      <c r="A127" s="217">
        <v>123</v>
      </c>
      <c r="B127" s="217" t="s">
        <v>1257</v>
      </c>
      <c r="C127" s="218">
        <v>46195</v>
      </c>
      <c r="D127" s="219" t="s">
        <v>1258</v>
      </c>
      <c r="E127" s="218">
        <v>46195</v>
      </c>
      <c r="F127" s="219" t="s">
        <v>1259</v>
      </c>
      <c r="G127" s="220" t="s">
        <v>335</v>
      </c>
      <c r="H127" s="221">
        <v>13830</v>
      </c>
      <c r="I127" s="221">
        <v>31220</v>
      </c>
      <c r="J127" s="221">
        <v>17390</v>
      </c>
    </row>
    <row r="128" spans="1:10" x14ac:dyDescent="0.3">
      <c r="A128" s="217">
        <v>124</v>
      </c>
      <c r="B128" s="217" t="s">
        <v>1260</v>
      </c>
      <c r="C128" s="218">
        <v>46195</v>
      </c>
      <c r="D128" s="219" t="s">
        <v>1261</v>
      </c>
      <c r="E128" s="218">
        <v>46195</v>
      </c>
      <c r="F128" s="219" t="s">
        <v>1262</v>
      </c>
      <c r="G128" s="220" t="s">
        <v>845</v>
      </c>
      <c r="H128" s="221">
        <v>30780</v>
      </c>
      <c r="I128" s="221">
        <v>13820</v>
      </c>
      <c r="J128" s="221">
        <v>16960</v>
      </c>
    </row>
    <row r="129" spans="1:10" x14ac:dyDescent="0.3">
      <c r="A129" s="217">
        <v>125</v>
      </c>
      <c r="B129" s="217" t="s">
        <v>1263</v>
      </c>
      <c r="C129" s="218">
        <v>46195</v>
      </c>
      <c r="D129" s="219" t="s">
        <v>1264</v>
      </c>
      <c r="E129" s="218">
        <v>46195</v>
      </c>
      <c r="F129" s="219" t="s">
        <v>1265</v>
      </c>
      <c r="G129" s="220" t="s">
        <v>85</v>
      </c>
      <c r="H129" s="221">
        <v>14020</v>
      </c>
      <c r="I129" s="221">
        <v>31430</v>
      </c>
      <c r="J129" s="221">
        <v>17410</v>
      </c>
    </row>
    <row r="130" spans="1:10" x14ac:dyDescent="0.3">
      <c r="A130" s="217">
        <v>126</v>
      </c>
      <c r="B130" s="217" t="s">
        <v>1266</v>
      </c>
      <c r="C130" s="218">
        <v>46195</v>
      </c>
      <c r="D130" s="219" t="s">
        <v>1267</v>
      </c>
      <c r="E130" s="218">
        <v>46195</v>
      </c>
      <c r="F130" s="219" t="s">
        <v>1268</v>
      </c>
      <c r="G130" s="220" t="s">
        <v>840</v>
      </c>
      <c r="H130" s="221">
        <v>13880</v>
      </c>
      <c r="I130" s="221">
        <v>31710</v>
      </c>
      <c r="J130" s="221">
        <v>17830</v>
      </c>
    </row>
    <row r="131" spans="1:10" x14ac:dyDescent="0.3">
      <c r="A131" s="217">
        <v>127</v>
      </c>
      <c r="B131" s="217" t="s">
        <v>1269</v>
      </c>
      <c r="C131" s="218">
        <v>46195</v>
      </c>
      <c r="D131" s="219" t="s">
        <v>1270</v>
      </c>
      <c r="E131" s="218">
        <v>46195</v>
      </c>
      <c r="F131" s="219" t="s">
        <v>1271</v>
      </c>
      <c r="G131" s="220" t="s">
        <v>43</v>
      </c>
      <c r="H131" s="221">
        <v>14110</v>
      </c>
      <c r="I131" s="221">
        <v>32270</v>
      </c>
      <c r="J131" s="221">
        <v>18160</v>
      </c>
    </row>
    <row r="132" spans="1:10" x14ac:dyDescent="0.3">
      <c r="A132" s="217">
        <v>128</v>
      </c>
      <c r="B132" s="217" t="s">
        <v>1272</v>
      </c>
      <c r="C132" s="218">
        <v>46195</v>
      </c>
      <c r="D132" s="219" t="s">
        <v>1273</v>
      </c>
      <c r="E132" s="218">
        <v>46195</v>
      </c>
      <c r="F132" s="219" t="s">
        <v>1274</v>
      </c>
      <c r="G132" s="220" t="s">
        <v>76</v>
      </c>
      <c r="H132" s="221">
        <v>13730</v>
      </c>
      <c r="I132" s="221">
        <v>31740</v>
      </c>
      <c r="J132" s="221">
        <v>18010</v>
      </c>
    </row>
    <row r="133" spans="1:10" x14ac:dyDescent="0.3">
      <c r="A133" s="217">
        <v>129</v>
      </c>
      <c r="B133" s="217" t="s">
        <v>1275</v>
      </c>
      <c r="C133" s="218">
        <v>46195</v>
      </c>
      <c r="D133" s="219" t="s">
        <v>1276</v>
      </c>
      <c r="E133" s="218">
        <v>46195</v>
      </c>
      <c r="F133" s="219" t="s">
        <v>1277</v>
      </c>
      <c r="G133" s="220" t="s">
        <v>842</v>
      </c>
      <c r="H133" s="221">
        <v>13880</v>
      </c>
      <c r="I133" s="221">
        <v>31660</v>
      </c>
      <c r="J133" s="221">
        <v>17780</v>
      </c>
    </row>
    <row r="134" spans="1:10" x14ac:dyDescent="0.3">
      <c r="A134" s="217">
        <v>130</v>
      </c>
      <c r="B134" s="217" t="s">
        <v>1278</v>
      </c>
      <c r="C134" s="218">
        <v>46195</v>
      </c>
      <c r="D134" s="219" t="s">
        <v>1279</v>
      </c>
      <c r="E134" s="218">
        <v>46195</v>
      </c>
      <c r="F134" s="219" t="s">
        <v>1280</v>
      </c>
      <c r="G134" s="220" t="s">
        <v>90</v>
      </c>
      <c r="H134" s="221">
        <v>13820</v>
      </c>
      <c r="I134" s="221">
        <v>31170</v>
      </c>
      <c r="J134" s="221">
        <v>17350</v>
      </c>
    </row>
    <row r="135" spans="1:10" x14ac:dyDescent="0.3">
      <c r="A135" s="217">
        <v>131</v>
      </c>
      <c r="B135" s="217" t="s">
        <v>1281</v>
      </c>
      <c r="C135" s="218">
        <v>46195</v>
      </c>
      <c r="D135" s="219" t="s">
        <v>1282</v>
      </c>
      <c r="E135" s="218">
        <v>46195</v>
      </c>
      <c r="F135" s="219" t="s">
        <v>1283</v>
      </c>
      <c r="G135" s="220" t="s">
        <v>337</v>
      </c>
      <c r="H135" s="221">
        <v>13900</v>
      </c>
      <c r="I135" s="221">
        <v>31490</v>
      </c>
      <c r="J135" s="221">
        <v>17590</v>
      </c>
    </row>
    <row r="136" spans="1:10" x14ac:dyDescent="0.3">
      <c r="A136" s="217">
        <v>132</v>
      </c>
      <c r="B136" s="217" t="s">
        <v>1284</v>
      </c>
      <c r="C136" s="218">
        <v>46195</v>
      </c>
      <c r="D136" s="219" t="s">
        <v>1285</v>
      </c>
      <c r="E136" s="218">
        <v>46195</v>
      </c>
      <c r="F136" s="219" t="s">
        <v>1286</v>
      </c>
      <c r="G136" s="220" t="s">
        <v>336</v>
      </c>
      <c r="H136" s="221">
        <v>14000</v>
      </c>
      <c r="I136" s="221">
        <v>31790</v>
      </c>
      <c r="J136" s="221">
        <v>17790</v>
      </c>
    </row>
    <row r="137" spans="1:10" x14ac:dyDescent="0.3">
      <c r="A137" s="217">
        <v>133</v>
      </c>
      <c r="B137" s="217" t="s">
        <v>1287</v>
      </c>
      <c r="C137" s="218">
        <v>46195</v>
      </c>
      <c r="D137" s="219" t="s">
        <v>1288</v>
      </c>
      <c r="E137" s="218">
        <v>46195</v>
      </c>
      <c r="F137" s="219" t="s">
        <v>1289</v>
      </c>
      <c r="G137" s="220" t="s">
        <v>843</v>
      </c>
      <c r="H137" s="221">
        <v>13980</v>
      </c>
      <c r="I137" s="221">
        <v>31640</v>
      </c>
      <c r="J137" s="221">
        <v>17660</v>
      </c>
    </row>
    <row r="138" spans="1:10" x14ac:dyDescent="0.3">
      <c r="A138" s="217">
        <v>134</v>
      </c>
      <c r="B138" s="217" t="s">
        <v>1290</v>
      </c>
      <c r="C138" s="218">
        <v>46195</v>
      </c>
      <c r="D138" s="219" t="s">
        <v>1291</v>
      </c>
      <c r="E138" s="218">
        <v>46195</v>
      </c>
      <c r="F138" s="219" t="s">
        <v>1292</v>
      </c>
      <c r="G138" s="220" t="s">
        <v>64</v>
      </c>
      <c r="H138" s="221">
        <v>14050</v>
      </c>
      <c r="I138" s="221">
        <v>31490</v>
      </c>
      <c r="J138" s="221">
        <v>17440</v>
      </c>
    </row>
    <row r="139" spans="1:10" x14ac:dyDescent="0.3">
      <c r="A139" s="217">
        <v>135</v>
      </c>
      <c r="B139" s="217" t="s">
        <v>1293</v>
      </c>
      <c r="C139" s="218">
        <v>46195</v>
      </c>
      <c r="D139" s="219" t="s">
        <v>1294</v>
      </c>
      <c r="E139" s="218">
        <v>46195</v>
      </c>
      <c r="F139" s="219" t="s">
        <v>1295</v>
      </c>
      <c r="G139" s="220" t="s">
        <v>143</v>
      </c>
      <c r="H139" s="221">
        <v>13870</v>
      </c>
      <c r="I139" s="221">
        <v>32390</v>
      </c>
      <c r="J139" s="221">
        <v>18520</v>
      </c>
    </row>
    <row r="140" spans="1:10" x14ac:dyDescent="0.3">
      <c r="A140" s="217">
        <v>136</v>
      </c>
      <c r="B140" s="217" t="s">
        <v>1296</v>
      </c>
      <c r="C140" s="218">
        <v>46195</v>
      </c>
      <c r="D140" s="219" t="s">
        <v>1297</v>
      </c>
      <c r="E140" s="218">
        <v>46195</v>
      </c>
      <c r="F140" s="219" t="s">
        <v>1298</v>
      </c>
      <c r="G140" s="220" t="s">
        <v>335</v>
      </c>
      <c r="H140" s="221">
        <v>13800</v>
      </c>
      <c r="I140" s="221">
        <v>31930</v>
      </c>
      <c r="J140" s="221">
        <v>18130</v>
      </c>
    </row>
    <row r="141" spans="1:10" x14ac:dyDescent="0.3">
      <c r="A141" s="217">
        <v>137</v>
      </c>
      <c r="B141" s="217" t="s">
        <v>1299</v>
      </c>
      <c r="C141" s="218">
        <v>46195</v>
      </c>
      <c r="D141" s="219" t="s">
        <v>1300</v>
      </c>
      <c r="E141" s="218">
        <v>46195</v>
      </c>
      <c r="F141" s="219" t="s">
        <v>1301</v>
      </c>
      <c r="G141" s="220" t="s">
        <v>80</v>
      </c>
      <c r="H141" s="221">
        <v>14260</v>
      </c>
      <c r="I141" s="221">
        <v>32360</v>
      </c>
      <c r="J141" s="221">
        <v>18100</v>
      </c>
    </row>
    <row r="142" spans="1:10" x14ac:dyDescent="0.3">
      <c r="A142" s="217">
        <v>138</v>
      </c>
      <c r="B142" s="217" t="s">
        <v>1302</v>
      </c>
      <c r="C142" s="218">
        <v>46195</v>
      </c>
      <c r="D142" s="219" t="s">
        <v>1303</v>
      </c>
      <c r="E142" s="218">
        <v>46195</v>
      </c>
      <c r="F142" s="219" t="s">
        <v>1304</v>
      </c>
      <c r="G142" s="220" t="s">
        <v>55</v>
      </c>
      <c r="H142" s="221">
        <v>13810</v>
      </c>
      <c r="I142" s="221">
        <v>31960</v>
      </c>
      <c r="J142" s="221">
        <v>18150</v>
      </c>
    </row>
    <row r="143" spans="1:10" x14ac:dyDescent="0.3">
      <c r="A143" s="217">
        <v>139</v>
      </c>
      <c r="B143" s="217" t="s">
        <v>1305</v>
      </c>
      <c r="C143" s="218">
        <v>46195</v>
      </c>
      <c r="D143" s="219" t="s">
        <v>1306</v>
      </c>
      <c r="E143" s="218">
        <v>46195</v>
      </c>
      <c r="F143" s="219" t="s">
        <v>1307</v>
      </c>
      <c r="G143" s="220" t="s">
        <v>840</v>
      </c>
      <c r="H143" s="221">
        <v>14080</v>
      </c>
      <c r="I143" s="221">
        <v>32330</v>
      </c>
      <c r="J143" s="221">
        <v>18250</v>
      </c>
    </row>
    <row r="144" spans="1:10" x14ac:dyDescent="0.3">
      <c r="A144" s="217">
        <v>140</v>
      </c>
      <c r="B144" s="217" t="s">
        <v>1308</v>
      </c>
      <c r="C144" s="218">
        <v>46195</v>
      </c>
      <c r="D144" s="219" t="s">
        <v>1309</v>
      </c>
      <c r="E144" s="218">
        <v>46195</v>
      </c>
      <c r="F144" s="219" t="s">
        <v>1310</v>
      </c>
      <c r="G144" s="220" t="s">
        <v>85</v>
      </c>
      <c r="H144" s="221">
        <v>13960</v>
      </c>
      <c r="I144" s="221">
        <v>31660</v>
      </c>
      <c r="J144" s="221">
        <v>17700</v>
      </c>
    </row>
    <row r="145" spans="1:10" x14ac:dyDescent="0.3">
      <c r="A145" s="217">
        <v>141</v>
      </c>
      <c r="B145" s="217" t="s">
        <v>1311</v>
      </c>
      <c r="C145" s="218">
        <v>46195</v>
      </c>
      <c r="D145" s="219" t="s">
        <v>1312</v>
      </c>
      <c r="E145" s="218">
        <v>46195</v>
      </c>
      <c r="F145" s="219" t="s">
        <v>1313</v>
      </c>
      <c r="G145" s="220" t="s">
        <v>43</v>
      </c>
      <c r="H145" s="221">
        <v>13990</v>
      </c>
      <c r="I145" s="221">
        <v>31720</v>
      </c>
      <c r="J145" s="221">
        <v>17730</v>
      </c>
    </row>
    <row r="146" spans="1:10" x14ac:dyDescent="0.3">
      <c r="A146" s="217">
        <v>142</v>
      </c>
      <c r="B146" s="217" t="s">
        <v>1314</v>
      </c>
      <c r="C146" s="218">
        <v>46195</v>
      </c>
      <c r="D146" s="219" t="s">
        <v>1315</v>
      </c>
      <c r="E146" s="218">
        <v>46195</v>
      </c>
      <c r="F146" s="219" t="s">
        <v>1316</v>
      </c>
      <c r="G146" s="220" t="s">
        <v>76</v>
      </c>
      <c r="H146" s="221">
        <v>13720</v>
      </c>
      <c r="I146" s="221">
        <v>31320</v>
      </c>
      <c r="J146" s="221">
        <v>17600</v>
      </c>
    </row>
    <row r="147" spans="1:10" x14ac:dyDescent="0.3">
      <c r="A147" s="217">
        <v>143</v>
      </c>
      <c r="B147" s="217" t="s">
        <v>1317</v>
      </c>
      <c r="C147" s="218">
        <v>46195</v>
      </c>
      <c r="D147" s="219" t="s">
        <v>1318</v>
      </c>
      <c r="E147" s="218">
        <v>46195</v>
      </c>
      <c r="F147" s="219" t="s">
        <v>1319</v>
      </c>
      <c r="G147" s="220" t="s">
        <v>842</v>
      </c>
      <c r="H147" s="221">
        <v>13870</v>
      </c>
      <c r="I147" s="221">
        <v>31400</v>
      </c>
      <c r="J147" s="221">
        <v>17530</v>
      </c>
    </row>
    <row r="148" spans="1:10" x14ac:dyDescent="0.3">
      <c r="A148" s="217">
        <v>144</v>
      </c>
      <c r="B148" s="217" t="s">
        <v>1320</v>
      </c>
      <c r="C148" s="218">
        <v>46195</v>
      </c>
      <c r="D148" s="219" t="s">
        <v>1321</v>
      </c>
      <c r="E148" s="218">
        <v>46195</v>
      </c>
      <c r="F148" s="219" t="s">
        <v>1322</v>
      </c>
      <c r="G148" s="220" t="s">
        <v>337</v>
      </c>
      <c r="H148" s="221">
        <v>13850</v>
      </c>
      <c r="I148" s="221">
        <v>30340</v>
      </c>
      <c r="J148" s="221">
        <v>16490</v>
      </c>
    </row>
    <row r="149" spans="1:10" x14ac:dyDescent="0.3">
      <c r="A149" s="217">
        <v>145</v>
      </c>
      <c r="B149" s="217" t="s">
        <v>1323</v>
      </c>
      <c r="C149" s="218">
        <v>46195</v>
      </c>
      <c r="D149" s="219" t="s">
        <v>194</v>
      </c>
      <c r="E149" s="218">
        <v>46195</v>
      </c>
      <c r="F149" s="219" t="s">
        <v>1324</v>
      </c>
      <c r="G149" s="220" t="s">
        <v>90</v>
      </c>
      <c r="H149" s="221">
        <v>14030</v>
      </c>
      <c r="I149" s="221">
        <v>31410</v>
      </c>
      <c r="J149" s="221">
        <v>17380</v>
      </c>
    </row>
    <row r="150" spans="1:10" x14ac:dyDescent="0.3">
      <c r="A150" s="217">
        <v>146</v>
      </c>
      <c r="B150" s="217" t="s">
        <v>1325</v>
      </c>
      <c r="C150" s="218">
        <v>46195</v>
      </c>
      <c r="D150" s="219" t="s">
        <v>1326</v>
      </c>
      <c r="E150" s="218">
        <v>46195</v>
      </c>
      <c r="F150" s="219" t="s">
        <v>1327</v>
      </c>
      <c r="G150" s="220" t="s">
        <v>336</v>
      </c>
      <c r="H150" s="221">
        <v>13880</v>
      </c>
      <c r="I150" s="221">
        <v>31290</v>
      </c>
      <c r="J150" s="221">
        <v>17410</v>
      </c>
    </row>
    <row r="151" spans="1:10" x14ac:dyDescent="0.3">
      <c r="A151" s="217">
        <v>147</v>
      </c>
      <c r="B151" s="217" t="s">
        <v>1328</v>
      </c>
      <c r="C151" s="218">
        <v>46195</v>
      </c>
      <c r="D151" s="219" t="s">
        <v>1329</v>
      </c>
      <c r="E151" s="218">
        <v>46195</v>
      </c>
      <c r="F151" s="219" t="s">
        <v>1330</v>
      </c>
      <c r="G151" s="220" t="s">
        <v>64</v>
      </c>
      <c r="H151" s="221">
        <v>14070</v>
      </c>
      <c r="I151" s="221">
        <v>29660</v>
      </c>
      <c r="J151" s="221">
        <v>15590</v>
      </c>
    </row>
    <row r="152" spans="1:10" x14ac:dyDescent="0.3">
      <c r="A152" s="217">
        <v>148</v>
      </c>
      <c r="B152" s="217" t="s">
        <v>1331</v>
      </c>
      <c r="C152" s="218">
        <v>46195</v>
      </c>
      <c r="D152" s="219" t="s">
        <v>1332</v>
      </c>
      <c r="E152" s="218">
        <v>46195</v>
      </c>
      <c r="F152" s="219" t="s">
        <v>1333</v>
      </c>
      <c r="G152" s="220" t="s">
        <v>143</v>
      </c>
      <c r="H152" s="221">
        <v>13820</v>
      </c>
      <c r="I152" s="221">
        <v>30510</v>
      </c>
      <c r="J152" s="221">
        <v>16690</v>
      </c>
    </row>
    <row r="153" spans="1:10" x14ac:dyDescent="0.3">
      <c r="A153" s="217">
        <v>149</v>
      </c>
      <c r="B153" s="217" t="s">
        <v>1334</v>
      </c>
      <c r="C153" s="218">
        <v>46195</v>
      </c>
      <c r="D153" s="219" t="s">
        <v>1335</v>
      </c>
      <c r="E153" s="218">
        <v>46195</v>
      </c>
      <c r="F153" s="219" t="s">
        <v>848</v>
      </c>
      <c r="G153" s="220" t="s">
        <v>335</v>
      </c>
      <c r="H153" s="221">
        <v>13780</v>
      </c>
      <c r="I153" s="221">
        <v>29340</v>
      </c>
      <c r="J153" s="221">
        <v>15560</v>
      </c>
    </row>
    <row r="154" spans="1:10" x14ac:dyDescent="0.3">
      <c r="A154" s="217">
        <v>150</v>
      </c>
      <c r="B154" s="217" t="s">
        <v>1336</v>
      </c>
      <c r="C154" s="218">
        <v>46195</v>
      </c>
      <c r="D154" s="219" t="s">
        <v>1337</v>
      </c>
      <c r="E154" s="218">
        <v>46195</v>
      </c>
      <c r="F154" s="219" t="s">
        <v>1338</v>
      </c>
      <c r="G154" s="220" t="s">
        <v>80</v>
      </c>
      <c r="H154" s="221">
        <v>14310</v>
      </c>
      <c r="I154" s="221">
        <v>30720</v>
      </c>
      <c r="J154" s="221">
        <v>16410</v>
      </c>
    </row>
    <row r="155" spans="1:10" x14ac:dyDescent="0.3">
      <c r="A155" s="217">
        <v>151</v>
      </c>
      <c r="B155" s="217" t="s">
        <v>1339</v>
      </c>
      <c r="C155" s="218">
        <v>46195</v>
      </c>
      <c r="D155" s="219" t="s">
        <v>1340</v>
      </c>
      <c r="E155" s="218">
        <v>46195</v>
      </c>
      <c r="F155" s="219" t="s">
        <v>1341</v>
      </c>
      <c r="G155" s="220" t="s">
        <v>55</v>
      </c>
      <c r="H155" s="221">
        <v>13770</v>
      </c>
      <c r="I155" s="221">
        <v>29950</v>
      </c>
      <c r="J155" s="221">
        <v>16180</v>
      </c>
    </row>
    <row r="156" spans="1:10" x14ac:dyDescent="0.3">
      <c r="A156" s="217">
        <v>152</v>
      </c>
      <c r="B156" s="217" t="s">
        <v>1342</v>
      </c>
      <c r="C156" s="218">
        <v>46195</v>
      </c>
      <c r="D156" s="219" t="s">
        <v>1343</v>
      </c>
      <c r="E156" s="218">
        <v>46195</v>
      </c>
      <c r="F156" s="219" t="s">
        <v>1344</v>
      </c>
      <c r="G156" s="220" t="s">
        <v>845</v>
      </c>
      <c r="H156" s="221">
        <v>14010</v>
      </c>
      <c r="I156" s="221">
        <v>30190</v>
      </c>
      <c r="J156" s="221">
        <v>16180</v>
      </c>
    </row>
    <row r="157" spans="1:10" x14ac:dyDescent="0.3">
      <c r="A157" s="217">
        <v>153</v>
      </c>
      <c r="B157" s="217" t="s">
        <v>1345</v>
      </c>
      <c r="C157" s="218">
        <v>46195</v>
      </c>
      <c r="D157" s="219" t="s">
        <v>1346</v>
      </c>
      <c r="E157" s="218">
        <v>46195</v>
      </c>
      <c r="F157" s="219" t="s">
        <v>1347</v>
      </c>
      <c r="G157" s="220" t="s">
        <v>85</v>
      </c>
      <c r="H157" s="221">
        <v>13910</v>
      </c>
      <c r="I157" s="221">
        <v>31410</v>
      </c>
      <c r="J157" s="221">
        <v>17500</v>
      </c>
    </row>
    <row r="158" spans="1:10" x14ac:dyDescent="0.3">
      <c r="A158" s="217">
        <v>154</v>
      </c>
      <c r="B158" s="217" t="s">
        <v>1348</v>
      </c>
      <c r="C158" s="218">
        <v>46195</v>
      </c>
      <c r="D158" s="219" t="s">
        <v>1349</v>
      </c>
      <c r="E158" s="218">
        <v>46195</v>
      </c>
      <c r="F158" s="219" t="s">
        <v>1350</v>
      </c>
      <c r="G158" s="220" t="s">
        <v>43</v>
      </c>
      <c r="H158" s="221">
        <v>13960</v>
      </c>
      <c r="I158" s="221">
        <v>30910</v>
      </c>
      <c r="J158" s="221">
        <v>16950</v>
      </c>
    </row>
    <row r="159" spans="1:10" x14ac:dyDescent="0.3">
      <c r="A159" s="217">
        <v>155</v>
      </c>
      <c r="B159" s="217" t="s">
        <v>1351</v>
      </c>
      <c r="C159" s="218">
        <v>46196</v>
      </c>
      <c r="D159" s="219" t="s">
        <v>849</v>
      </c>
      <c r="E159" s="218">
        <v>46196</v>
      </c>
      <c r="F159" s="219" t="s">
        <v>1352</v>
      </c>
      <c r="G159" s="220" t="s">
        <v>840</v>
      </c>
      <c r="H159" s="221">
        <v>14030</v>
      </c>
      <c r="I159" s="221">
        <v>34080</v>
      </c>
      <c r="J159" s="221">
        <v>20050</v>
      </c>
    </row>
    <row r="160" spans="1:10" x14ac:dyDescent="0.3">
      <c r="A160" s="217">
        <v>156</v>
      </c>
      <c r="B160" s="217" t="s">
        <v>1353</v>
      </c>
      <c r="C160" s="218">
        <v>46196</v>
      </c>
      <c r="D160" s="219" t="s">
        <v>1354</v>
      </c>
      <c r="E160" s="218">
        <v>46196</v>
      </c>
      <c r="F160" s="219" t="s">
        <v>1355</v>
      </c>
      <c r="G160" s="220" t="s">
        <v>76</v>
      </c>
      <c r="H160" s="221">
        <v>13830</v>
      </c>
      <c r="I160" s="221">
        <v>32440</v>
      </c>
      <c r="J160" s="221">
        <v>18610</v>
      </c>
    </row>
    <row r="161" spans="1:10" x14ac:dyDescent="0.3">
      <c r="A161" s="217">
        <v>157</v>
      </c>
      <c r="B161" s="217" t="s">
        <v>1356</v>
      </c>
      <c r="C161" s="218">
        <v>46196</v>
      </c>
      <c r="D161" s="219" t="s">
        <v>1357</v>
      </c>
      <c r="E161" s="218">
        <v>46196</v>
      </c>
      <c r="F161" s="219" t="s">
        <v>1358</v>
      </c>
      <c r="G161" s="220" t="s">
        <v>842</v>
      </c>
      <c r="H161" s="221">
        <v>13810</v>
      </c>
      <c r="I161" s="221">
        <v>32090</v>
      </c>
      <c r="J161" s="221">
        <v>18280</v>
      </c>
    </row>
    <row r="162" spans="1:10" x14ac:dyDescent="0.3">
      <c r="A162" s="217">
        <v>158</v>
      </c>
      <c r="B162" s="217" t="s">
        <v>1359</v>
      </c>
      <c r="C162" s="218">
        <v>46196</v>
      </c>
      <c r="D162" s="219" t="s">
        <v>1360</v>
      </c>
      <c r="E162" s="218">
        <v>46196</v>
      </c>
      <c r="F162" s="219" t="s">
        <v>1361</v>
      </c>
      <c r="G162" s="220" t="s">
        <v>90</v>
      </c>
      <c r="H162" s="221">
        <v>13920</v>
      </c>
      <c r="I162" s="221">
        <v>34190</v>
      </c>
      <c r="J162" s="221">
        <v>20270</v>
      </c>
    </row>
    <row r="163" spans="1:10" x14ac:dyDescent="0.3">
      <c r="A163" s="217">
        <v>159</v>
      </c>
      <c r="B163" s="217" t="s">
        <v>1362</v>
      </c>
      <c r="C163" s="218">
        <v>46196</v>
      </c>
      <c r="D163" s="219" t="s">
        <v>1363</v>
      </c>
      <c r="E163" s="218">
        <v>46196</v>
      </c>
      <c r="F163" s="219" t="s">
        <v>1364</v>
      </c>
      <c r="G163" s="220" t="s">
        <v>336</v>
      </c>
      <c r="H163" s="221">
        <v>13810</v>
      </c>
      <c r="I163" s="221">
        <v>32300</v>
      </c>
      <c r="J163" s="221">
        <v>18490</v>
      </c>
    </row>
    <row r="164" spans="1:10" x14ac:dyDescent="0.3">
      <c r="A164" s="217">
        <v>160</v>
      </c>
      <c r="B164" s="217" t="s">
        <v>1365</v>
      </c>
      <c r="C164" s="218">
        <v>46196</v>
      </c>
      <c r="D164" s="219" t="s">
        <v>1366</v>
      </c>
      <c r="E164" s="218">
        <v>46196</v>
      </c>
      <c r="F164" s="219" t="s">
        <v>1367</v>
      </c>
      <c r="G164" s="220" t="s">
        <v>80</v>
      </c>
      <c r="H164" s="221">
        <v>14140</v>
      </c>
      <c r="I164" s="221">
        <v>33480</v>
      </c>
      <c r="J164" s="221">
        <v>19340</v>
      </c>
    </row>
    <row r="165" spans="1:10" x14ac:dyDescent="0.3">
      <c r="A165" s="217">
        <v>161</v>
      </c>
      <c r="B165" s="217" t="s">
        <v>1368</v>
      </c>
      <c r="C165" s="218">
        <v>46196</v>
      </c>
      <c r="D165" s="219" t="s">
        <v>1369</v>
      </c>
      <c r="E165" s="218">
        <v>46196</v>
      </c>
      <c r="F165" s="219" t="s">
        <v>1370</v>
      </c>
      <c r="G165" s="220" t="s">
        <v>85</v>
      </c>
      <c r="H165" s="221">
        <v>13860</v>
      </c>
      <c r="I165" s="221">
        <v>33170</v>
      </c>
      <c r="J165" s="221">
        <v>19310</v>
      </c>
    </row>
    <row r="166" spans="1:10" x14ac:dyDescent="0.3">
      <c r="A166" s="217">
        <v>162</v>
      </c>
      <c r="B166" s="217" t="s">
        <v>1371</v>
      </c>
      <c r="C166" s="218">
        <v>46196</v>
      </c>
      <c r="D166" s="219" t="s">
        <v>1372</v>
      </c>
      <c r="E166" s="218">
        <v>46196</v>
      </c>
      <c r="F166" s="219" t="s">
        <v>1373</v>
      </c>
      <c r="G166" s="220" t="s">
        <v>43</v>
      </c>
      <c r="H166" s="221">
        <v>13930</v>
      </c>
      <c r="I166" s="221">
        <v>32360</v>
      </c>
      <c r="J166" s="221">
        <v>18430</v>
      </c>
    </row>
    <row r="167" spans="1:10" x14ac:dyDescent="0.3">
      <c r="A167" s="217">
        <v>163</v>
      </c>
      <c r="B167" s="217" t="s">
        <v>1374</v>
      </c>
      <c r="C167" s="218">
        <v>46196</v>
      </c>
      <c r="D167" s="219" t="s">
        <v>1375</v>
      </c>
      <c r="E167" s="218">
        <v>46196</v>
      </c>
      <c r="F167" s="219" t="s">
        <v>1376</v>
      </c>
      <c r="G167" s="220" t="s">
        <v>55</v>
      </c>
      <c r="H167" s="221">
        <v>13740</v>
      </c>
      <c r="I167" s="221">
        <v>31760</v>
      </c>
      <c r="J167" s="221">
        <v>18020</v>
      </c>
    </row>
    <row r="168" spans="1:10" x14ac:dyDescent="0.3">
      <c r="A168" s="217">
        <v>164</v>
      </c>
      <c r="B168" s="217" t="s">
        <v>1377</v>
      </c>
      <c r="C168" s="218">
        <v>46196</v>
      </c>
      <c r="D168" s="219" t="s">
        <v>1378</v>
      </c>
      <c r="E168" s="218">
        <v>46196</v>
      </c>
      <c r="F168" s="219" t="s">
        <v>1379</v>
      </c>
      <c r="G168" s="220" t="s">
        <v>64</v>
      </c>
      <c r="H168" s="221">
        <v>13930</v>
      </c>
      <c r="I168" s="221">
        <v>33590</v>
      </c>
      <c r="J168" s="221">
        <v>19660</v>
      </c>
    </row>
    <row r="169" spans="1:10" x14ac:dyDescent="0.3">
      <c r="A169" s="217">
        <v>165</v>
      </c>
      <c r="B169" s="217" t="s">
        <v>1380</v>
      </c>
      <c r="C169" s="218">
        <v>46196</v>
      </c>
      <c r="D169" s="219" t="s">
        <v>1381</v>
      </c>
      <c r="E169" s="218">
        <v>46196</v>
      </c>
      <c r="F169" s="219" t="s">
        <v>1382</v>
      </c>
      <c r="G169" s="220" t="s">
        <v>843</v>
      </c>
      <c r="H169" s="221">
        <v>13920</v>
      </c>
      <c r="I169" s="221">
        <v>31390</v>
      </c>
      <c r="J169" s="221">
        <v>17470</v>
      </c>
    </row>
    <row r="170" spans="1:10" x14ac:dyDescent="0.3">
      <c r="A170" s="217">
        <v>166</v>
      </c>
      <c r="B170" s="217" t="s">
        <v>1383</v>
      </c>
      <c r="C170" s="218">
        <v>46196</v>
      </c>
      <c r="D170" s="219" t="s">
        <v>1384</v>
      </c>
      <c r="E170" s="218">
        <v>46196</v>
      </c>
      <c r="F170" s="219" t="s">
        <v>891</v>
      </c>
      <c r="G170" s="220" t="s">
        <v>335</v>
      </c>
      <c r="H170" s="221">
        <v>13720</v>
      </c>
      <c r="I170" s="221">
        <v>32130</v>
      </c>
      <c r="J170" s="221">
        <v>18410</v>
      </c>
    </row>
    <row r="171" spans="1:10" x14ac:dyDescent="0.3">
      <c r="A171" s="217">
        <v>167</v>
      </c>
      <c r="B171" s="217" t="s">
        <v>1385</v>
      </c>
      <c r="C171" s="218">
        <v>46196</v>
      </c>
      <c r="D171" s="219" t="s">
        <v>1386</v>
      </c>
      <c r="E171" s="218">
        <v>46196</v>
      </c>
      <c r="F171" s="219" t="s">
        <v>1387</v>
      </c>
      <c r="G171" s="220" t="s">
        <v>337</v>
      </c>
      <c r="H171" s="221">
        <v>13800</v>
      </c>
      <c r="I171" s="221">
        <v>32180</v>
      </c>
      <c r="J171" s="221">
        <v>18380</v>
      </c>
    </row>
    <row r="172" spans="1:10" x14ac:dyDescent="0.3">
      <c r="A172" s="217">
        <v>168</v>
      </c>
      <c r="B172" s="217" t="s">
        <v>1388</v>
      </c>
      <c r="C172" s="218">
        <v>46196</v>
      </c>
      <c r="D172" s="219" t="s">
        <v>1389</v>
      </c>
      <c r="E172" s="218">
        <v>46196</v>
      </c>
      <c r="F172" s="219" t="s">
        <v>1390</v>
      </c>
      <c r="G172" s="220" t="s">
        <v>845</v>
      </c>
      <c r="H172" s="221">
        <v>13900</v>
      </c>
      <c r="I172" s="221">
        <v>33710</v>
      </c>
      <c r="J172" s="221">
        <v>19810</v>
      </c>
    </row>
    <row r="173" spans="1:10" x14ac:dyDescent="0.3">
      <c r="A173" s="217">
        <v>169</v>
      </c>
      <c r="B173" s="217" t="s">
        <v>1391</v>
      </c>
      <c r="C173" s="218">
        <v>46196</v>
      </c>
      <c r="D173" s="219" t="s">
        <v>1392</v>
      </c>
      <c r="E173" s="218">
        <v>46196</v>
      </c>
      <c r="F173" s="219" t="s">
        <v>1393</v>
      </c>
      <c r="G173" s="220" t="s">
        <v>143</v>
      </c>
      <c r="H173" s="221">
        <v>13790</v>
      </c>
      <c r="I173" s="221">
        <v>32780</v>
      </c>
      <c r="J173" s="221">
        <v>18990</v>
      </c>
    </row>
    <row r="174" spans="1:10" x14ac:dyDescent="0.3">
      <c r="A174" s="217">
        <v>170</v>
      </c>
      <c r="B174" s="217" t="s">
        <v>1394</v>
      </c>
      <c r="C174" s="218">
        <v>46196</v>
      </c>
      <c r="D174" s="219" t="s">
        <v>1395</v>
      </c>
      <c r="E174" s="218">
        <v>46196</v>
      </c>
      <c r="F174" s="219" t="s">
        <v>883</v>
      </c>
      <c r="G174" s="220" t="s">
        <v>840</v>
      </c>
      <c r="H174" s="221">
        <v>14010</v>
      </c>
      <c r="I174" s="221">
        <v>32800</v>
      </c>
      <c r="J174" s="221">
        <v>18790</v>
      </c>
    </row>
    <row r="175" spans="1:10" x14ac:dyDescent="0.3">
      <c r="A175" s="217">
        <v>171</v>
      </c>
      <c r="B175" s="217" t="s">
        <v>1396</v>
      </c>
      <c r="C175" s="218">
        <v>46196</v>
      </c>
      <c r="D175" s="219" t="s">
        <v>1397</v>
      </c>
      <c r="E175" s="218">
        <v>46196</v>
      </c>
      <c r="F175" s="219" t="s">
        <v>1398</v>
      </c>
      <c r="G175" s="220" t="s">
        <v>76</v>
      </c>
      <c r="H175" s="221">
        <v>13810</v>
      </c>
      <c r="I175" s="221">
        <v>32480</v>
      </c>
      <c r="J175" s="221">
        <v>18670</v>
      </c>
    </row>
    <row r="176" spans="1:10" x14ac:dyDescent="0.3">
      <c r="A176" s="217">
        <v>172</v>
      </c>
      <c r="B176" s="217" t="s">
        <v>1399</v>
      </c>
      <c r="C176" s="218">
        <v>46196</v>
      </c>
      <c r="D176" s="219" t="s">
        <v>1400</v>
      </c>
      <c r="E176" s="218">
        <v>46196</v>
      </c>
      <c r="F176" s="219" t="s">
        <v>671</v>
      </c>
      <c r="G176" s="220" t="s">
        <v>842</v>
      </c>
      <c r="H176" s="221">
        <v>13790</v>
      </c>
      <c r="I176" s="221">
        <v>32330</v>
      </c>
      <c r="J176" s="221">
        <v>18540</v>
      </c>
    </row>
    <row r="177" spans="1:10" x14ac:dyDescent="0.3">
      <c r="A177" s="217">
        <v>173</v>
      </c>
      <c r="B177" s="217" t="s">
        <v>1401</v>
      </c>
      <c r="C177" s="218">
        <v>46196</v>
      </c>
      <c r="D177" s="219" t="s">
        <v>1402</v>
      </c>
      <c r="E177" s="218">
        <v>46196</v>
      </c>
      <c r="F177" s="219" t="s">
        <v>1403</v>
      </c>
      <c r="G177" s="220" t="s">
        <v>90</v>
      </c>
      <c r="H177" s="221">
        <v>13910</v>
      </c>
      <c r="I177" s="221">
        <v>32830</v>
      </c>
      <c r="J177" s="221">
        <v>18920</v>
      </c>
    </row>
    <row r="178" spans="1:10" x14ac:dyDescent="0.3">
      <c r="A178" s="217">
        <v>174</v>
      </c>
      <c r="B178" s="217" t="s">
        <v>1404</v>
      </c>
      <c r="C178" s="218">
        <v>46196</v>
      </c>
      <c r="D178" s="219" t="s">
        <v>1405</v>
      </c>
      <c r="E178" s="218">
        <v>46196</v>
      </c>
      <c r="F178" s="219" t="s">
        <v>1406</v>
      </c>
      <c r="G178" s="220" t="s">
        <v>336</v>
      </c>
      <c r="H178" s="221">
        <v>13780</v>
      </c>
      <c r="I178" s="221">
        <v>32720</v>
      </c>
      <c r="J178" s="221">
        <v>18940</v>
      </c>
    </row>
    <row r="179" spans="1:10" x14ac:dyDescent="0.3">
      <c r="A179" s="217">
        <v>175</v>
      </c>
      <c r="B179" s="217" t="s">
        <v>1407</v>
      </c>
      <c r="C179" s="218">
        <v>46196</v>
      </c>
      <c r="D179" s="219" t="s">
        <v>1408</v>
      </c>
      <c r="E179" s="218">
        <v>46196</v>
      </c>
      <c r="F179" s="219" t="s">
        <v>1409</v>
      </c>
      <c r="G179" s="220" t="s">
        <v>80</v>
      </c>
      <c r="H179" s="221">
        <v>14120</v>
      </c>
      <c r="I179" s="221">
        <v>33410</v>
      </c>
      <c r="J179" s="221">
        <v>19290</v>
      </c>
    </row>
    <row r="180" spans="1:10" x14ac:dyDescent="0.3">
      <c r="A180" s="217">
        <v>176</v>
      </c>
      <c r="B180" s="217" t="s">
        <v>1410</v>
      </c>
      <c r="C180" s="218">
        <v>46196</v>
      </c>
      <c r="D180" s="219" t="s">
        <v>1411</v>
      </c>
      <c r="E180" s="218">
        <v>46196</v>
      </c>
      <c r="F180" s="219" t="s">
        <v>1412</v>
      </c>
      <c r="G180" s="220" t="s">
        <v>85</v>
      </c>
      <c r="H180" s="221">
        <v>13830</v>
      </c>
      <c r="I180" s="221">
        <v>32670</v>
      </c>
      <c r="J180" s="221">
        <v>18840</v>
      </c>
    </row>
    <row r="181" spans="1:10" x14ac:dyDescent="0.3">
      <c r="A181" s="217">
        <v>177</v>
      </c>
      <c r="B181" s="217" t="s">
        <v>1413</v>
      </c>
      <c r="C181" s="218">
        <v>46196</v>
      </c>
      <c r="D181" s="219" t="s">
        <v>1414</v>
      </c>
      <c r="E181" s="218">
        <v>46196</v>
      </c>
      <c r="F181" s="219" t="s">
        <v>1415</v>
      </c>
      <c r="G181" s="220" t="s">
        <v>43</v>
      </c>
      <c r="H181" s="221">
        <v>13900</v>
      </c>
      <c r="I181" s="221">
        <v>32770</v>
      </c>
      <c r="J181" s="221">
        <v>18870</v>
      </c>
    </row>
    <row r="182" spans="1:10" x14ac:dyDescent="0.3">
      <c r="A182" s="217">
        <v>178</v>
      </c>
      <c r="B182" s="217" t="s">
        <v>1416</v>
      </c>
      <c r="C182" s="218">
        <v>46196</v>
      </c>
      <c r="D182" s="219" t="s">
        <v>1417</v>
      </c>
      <c r="E182" s="218">
        <v>46196</v>
      </c>
      <c r="F182" s="219" t="s">
        <v>1418</v>
      </c>
      <c r="G182" s="220" t="s">
        <v>64</v>
      </c>
      <c r="H182" s="221">
        <v>13900</v>
      </c>
      <c r="I182" s="221">
        <v>33860</v>
      </c>
      <c r="J182" s="221">
        <v>19960</v>
      </c>
    </row>
    <row r="183" spans="1:10" x14ac:dyDescent="0.3">
      <c r="A183" s="217">
        <v>179</v>
      </c>
      <c r="B183" s="217" t="s">
        <v>1419</v>
      </c>
      <c r="C183" s="218">
        <v>46196</v>
      </c>
      <c r="D183" s="219" t="s">
        <v>1420</v>
      </c>
      <c r="E183" s="218">
        <v>46196</v>
      </c>
      <c r="F183" s="219" t="s">
        <v>1421</v>
      </c>
      <c r="G183" s="220" t="s">
        <v>55</v>
      </c>
      <c r="H183" s="221">
        <v>13710</v>
      </c>
      <c r="I183" s="221">
        <v>32580</v>
      </c>
      <c r="J183" s="221">
        <v>18870</v>
      </c>
    </row>
    <row r="184" spans="1:10" x14ac:dyDescent="0.3">
      <c r="A184" s="217">
        <v>180</v>
      </c>
      <c r="B184" s="217" t="s">
        <v>1422</v>
      </c>
      <c r="C184" s="218">
        <v>46196</v>
      </c>
      <c r="D184" s="219" t="s">
        <v>1423</v>
      </c>
      <c r="E184" s="218">
        <v>46196</v>
      </c>
      <c r="F184" s="219" t="s">
        <v>1424</v>
      </c>
      <c r="G184" s="220" t="s">
        <v>843</v>
      </c>
      <c r="H184" s="221">
        <v>13910</v>
      </c>
      <c r="I184" s="221">
        <v>32890</v>
      </c>
      <c r="J184" s="221">
        <v>18980</v>
      </c>
    </row>
    <row r="185" spans="1:10" x14ac:dyDescent="0.3">
      <c r="A185" s="217">
        <v>181</v>
      </c>
      <c r="B185" s="217" t="s">
        <v>1425</v>
      </c>
      <c r="C185" s="218">
        <v>46196</v>
      </c>
      <c r="D185" s="219" t="s">
        <v>1426</v>
      </c>
      <c r="E185" s="218">
        <v>46196</v>
      </c>
      <c r="F185" s="219" t="s">
        <v>1427</v>
      </c>
      <c r="G185" s="220" t="s">
        <v>335</v>
      </c>
      <c r="H185" s="221">
        <v>13750</v>
      </c>
      <c r="I185" s="221">
        <v>32320</v>
      </c>
      <c r="J185" s="221">
        <v>18570</v>
      </c>
    </row>
    <row r="186" spans="1:10" x14ac:dyDescent="0.3">
      <c r="A186" s="217">
        <v>182</v>
      </c>
      <c r="B186" s="217" t="s">
        <v>1428</v>
      </c>
      <c r="C186" s="218">
        <v>46196</v>
      </c>
      <c r="D186" s="219" t="s">
        <v>1429</v>
      </c>
      <c r="E186" s="218">
        <v>46196</v>
      </c>
      <c r="F186" s="219" t="s">
        <v>1430</v>
      </c>
      <c r="G186" s="220" t="s">
        <v>845</v>
      </c>
      <c r="H186" s="221">
        <v>13890</v>
      </c>
      <c r="I186" s="221">
        <v>33140</v>
      </c>
      <c r="J186" s="221">
        <v>19250</v>
      </c>
    </row>
    <row r="187" spans="1:10" x14ac:dyDescent="0.3">
      <c r="A187" s="217">
        <v>183</v>
      </c>
      <c r="B187" s="217" t="s">
        <v>1431</v>
      </c>
      <c r="C187" s="218">
        <v>46196</v>
      </c>
      <c r="D187" s="219" t="s">
        <v>1432</v>
      </c>
      <c r="E187" s="218">
        <v>46196</v>
      </c>
      <c r="F187" s="219" t="s">
        <v>1433</v>
      </c>
      <c r="G187" s="220" t="s">
        <v>337</v>
      </c>
      <c r="H187" s="221">
        <v>13800</v>
      </c>
      <c r="I187" s="221">
        <v>33300</v>
      </c>
      <c r="J187" s="221">
        <v>19500</v>
      </c>
    </row>
    <row r="188" spans="1:10" x14ac:dyDescent="0.3">
      <c r="A188" s="217">
        <v>184</v>
      </c>
      <c r="B188" s="217" t="s">
        <v>1434</v>
      </c>
      <c r="C188" s="218">
        <v>46196</v>
      </c>
      <c r="D188" s="219" t="s">
        <v>862</v>
      </c>
      <c r="E188" s="218">
        <v>46196</v>
      </c>
      <c r="F188" s="219" t="s">
        <v>1435</v>
      </c>
      <c r="G188" s="220" t="s">
        <v>143</v>
      </c>
      <c r="H188" s="221">
        <v>13780</v>
      </c>
      <c r="I188" s="221">
        <v>32850</v>
      </c>
      <c r="J188" s="221">
        <v>19070</v>
      </c>
    </row>
    <row r="189" spans="1:10" x14ac:dyDescent="0.3">
      <c r="A189" s="217">
        <v>185</v>
      </c>
      <c r="B189" s="217" t="s">
        <v>1436</v>
      </c>
      <c r="C189" s="218">
        <v>46196</v>
      </c>
      <c r="D189" s="219" t="s">
        <v>1437</v>
      </c>
      <c r="E189" s="218">
        <v>46196</v>
      </c>
      <c r="F189" s="219" t="s">
        <v>1438</v>
      </c>
      <c r="G189" s="220" t="s">
        <v>840</v>
      </c>
      <c r="H189" s="221">
        <v>13980</v>
      </c>
      <c r="I189" s="221">
        <v>32630</v>
      </c>
      <c r="J189" s="221">
        <v>18650</v>
      </c>
    </row>
    <row r="190" spans="1:10" x14ac:dyDescent="0.3">
      <c r="A190" s="217">
        <v>186</v>
      </c>
      <c r="B190" s="217" t="s">
        <v>1439</v>
      </c>
      <c r="C190" s="218">
        <v>46196</v>
      </c>
      <c r="D190" s="219" t="s">
        <v>1440</v>
      </c>
      <c r="E190" s="218">
        <v>46196</v>
      </c>
      <c r="F190" s="219" t="s">
        <v>1441</v>
      </c>
      <c r="G190" s="220" t="s">
        <v>76</v>
      </c>
      <c r="H190" s="221">
        <v>13780</v>
      </c>
      <c r="I190" s="221">
        <v>33150</v>
      </c>
      <c r="J190" s="221">
        <v>19370</v>
      </c>
    </row>
    <row r="191" spans="1:10" x14ac:dyDescent="0.3">
      <c r="A191" s="217">
        <v>187</v>
      </c>
      <c r="B191" s="217" t="s">
        <v>1442</v>
      </c>
      <c r="C191" s="218">
        <v>46196</v>
      </c>
      <c r="D191" s="219" t="s">
        <v>1443</v>
      </c>
      <c r="E191" s="218">
        <v>46196</v>
      </c>
      <c r="F191" s="219" t="s">
        <v>1444</v>
      </c>
      <c r="G191" s="220" t="s">
        <v>842</v>
      </c>
      <c r="H191" s="221">
        <v>13750</v>
      </c>
      <c r="I191" s="221">
        <v>32700</v>
      </c>
      <c r="J191" s="221">
        <v>18950</v>
      </c>
    </row>
    <row r="192" spans="1:10" x14ac:dyDescent="0.3">
      <c r="A192" s="217">
        <v>188</v>
      </c>
      <c r="B192" s="217" t="s">
        <v>1445</v>
      </c>
      <c r="C192" s="218">
        <v>46196</v>
      </c>
      <c r="D192" s="219" t="s">
        <v>1446</v>
      </c>
      <c r="E192" s="218">
        <v>46196</v>
      </c>
      <c r="F192" s="219" t="s">
        <v>1447</v>
      </c>
      <c r="G192" s="220" t="s">
        <v>90</v>
      </c>
      <c r="H192" s="221">
        <v>13870</v>
      </c>
      <c r="I192" s="221">
        <v>33780</v>
      </c>
      <c r="J192" s="221">
        <v>19910</v>
      </c>
    </row>
    <row r="193" spans="1:10" x14ac:dyDescent="0.3">
      <c r="A193" s="217">
        <v>189</v>
      </c>
      <c r="B193" s="217" t="s">
        <v>1448</v>
      </c>
      <c r="C193" s="218">
        <v>46196</v>
      </c>
      <c r="D193" s="219" t="s">
        <v>1449</v>
      </c>
      <c r="E193" s="218">
        <v>46196</v>
      </c>
      <c r="F193" s="219" t="s">
        <v>1450</v>
      </c>
      <c r="G193" s="220" t="s">
        <v>336</v>
      </c>
      <c r="H193" s="221">
        <v>13750</v>
      </c>
      <c r="I193" s="221">
        <v>32090</v>
      </c>
      <c r="J193" s="221">
        <v>18340</v>
      </c>
    </row>
    <row r="194" spans="1:10" x14ac:dyDescent="0.3">
      <c r="A194" s="217">
        <v>190</v>
      </c>
      <c r="B194" s="217" t="s">
        <v>1451</v>
      </c>
      <c r="C194" s="218">
        <v>46196</v>
      </c>
      <c r="D194" s="219" t="s">
        <v>1452</v>
      </c>
      <c r="E194" s="218">
        <v>46196</v>
      </c>
      <c r="F194" s="219" t="s">
        <v>1453</v>
      </c>
      <c r="G194" s="220" t="s">
        <v>80</v>
      </c>
      <c r="H194" s="221">
        <v>14080</v>
      </c>
      <c r="I194" s="221">
        <v>34630</v>
      </c>
      <c r="J194" s="221">
        <v>20550</v>
      </c>
    </row>
    <row r="195" spans="1:10" x14ac:dyDescent="0.3">
      <c r="A195" s="217">
        <v>191</v>
      </c>
      <c r="B195" s="217" t="s">
        <v>1454</v>
      </c>
      <c r="C195" s="218">
        <v>46196</v>
      </c>
      <c r="D195" s="219" t="s">
        <v>1455</v>
      </c>
      <c r="E195" s="218">
        <v>46196</v>
      </c>
      <c r="F195" s="219" t="s">
        <v>1456</v>
      </c>
      <c r="G195" s="220" t="s">
        <v>43</v>
      </c>
      <c r="H195" s="221">
        <v>13860</v>
      </c>
      <c r="I195" s="221">
        <v>33110</v>
      </c>
      <c r="J195" s="221">
        <v>19250</v>
      </c>
    </row>
    <row r="196" spans="1:10" x14ac:dyDescent="0.3">
      <c r="A196" s="217">
        <v>192</v>
      </c>
      <c r="B196" s="217" t="s">
        <v>1457</v>
      </c>
      <c r="C196" s="218">
        <v>46196</v>
      </c>
      <c r="D196" s="219" t="s">
        <v>1458</v>
      </c>
      <c r="E196" s="218">
        <v>46196</v>
      </c>
      <c r="F196" s="219" t="s">
        <v>1459</v>
      </c>
      <c r="G196" s="220" t="s">
        <v>85</v>
      </c>
      <c r="H196" s="221">
        <v>13800</v>
      </c>
      <c r="I196" s="221">
        <v>33520</v>
      </c>
      <c r="J196" s="221">
        <v>19720</v>
      </c>
    </row>
    <row r="197" spans="1:10" x14ac:dyDescent="0.3">
      <c r="A197" s="217">
        <v>193</v>
      </c>
      <c r="B197" s="217" t="s">
        <v>1460</v>
      </c>
      <c r="C197" s="218">
        <v>46196</v>
      </c>
      <c r="D197" s="219" t="s">
        <v>1461</v>
      </c>
      <c r="E197" s="218">
        <v>46196</v>
      </c>
      <c r="F197" s="219" t="s">
        <v>1462</v>
      </c>
      <c r="G197" s="220" t="s">
        <v>64</v>
      </c>
      <c r="H197" s="221">
        <v>13870</v>
      </c>
      <c r="I197" s="221">
        <v>34010</v>
      </c>
      <c r="J197" s="221">
        <v>20140</v>
      </c>
    </row>
    <row r="198" spans="1:10" x14ac:dyDescent="0.3">
      <c r="A198" s="217">
        <v>194</v>
      </c>
      <c r="B198" s="217" t="s">
        <v>1463</v>
      </c>
      <c r="C198" s="218">
        <v>46196</v>
      </c>
      <c r="D198" s="219" t="s">
        <v>1464</v>
      </c>
      <c r="E198" s="218">
        <v>46196</v>
      </c>
      <c r="F198" s="219" t="s">
        <v>1465</v>
      </c>
      <c r="G198" s="220" t="s">
        <v>335</v>
      </c>
      <c r="H198" s="221">
        <v>13670</v>
      </c>
      <c r="I198" s="221">
        <v>33760</v>
      </c>
      <c r="J198" s="221">
        <v>20090</v>
      </c>
    </row>
    <row r="199" spans="1:10" x14ac:dyDescent="0.3">
      <c r="A199" s="217">
        <v>195</v>
      </c>
      <c r="B199" s="217" t="s">
        <v>1466</v>
      </c>
      <c r="C199" s="218">
        <v>46196</v>
      </c>
      <c r="D199" s="219" t="s">
        <v>1467</v>
      </c>
      <c r="E199" s="218">
        <v>46196</v>
      </c>
      <c r="F199" s="219" t="s">
        <v>1468</v>
      </c>
      <c r="G199" s="220" t="s">
        <v>55</v>
      </c>
      <c r="H199" s="221">
        <v>13680</v>
      </c>
      <c r="I199" s="221">
        <v>34250</v>
      </c>
      <c r="J199" s="221">
        <v>20570</v>
      </c>
    </row>
    <row r="200" spans="1:10" x14ac:dyDescent="0.3">
      <c r="A200" s="217">
        <v>196</v>
      </c>
      <c r="B200" s="217" t="s">
        <v>1469</v>
      </c>
      <c r="C200" s="218">
        <v>46196</v>
      </c>
      <c r="D200" s="219" t="s">
        <v>1470</v>
      </c>
      <c r="E200" s="218">
        <v>46196</v>
      </c>
      <c r="F200" s="219" t="s">
        <v>1471</v>
      </c>
      <c r="G200" s="220" t="s">
        <v>845</v>
      </c>
      <c r="H200" s="221">
        <v>13840</v>
      </c>
      <c r="I200" s="221">
        <v>33260</v>
      </c>
      <c r="J200" s="221">
        <v>19420</v>
      </c>
    </row>
    <row r="201" spans="1:10" x14ac:dyDescent="0.3">
      <c r="A201" s="217">
        <v>197</v>
      </c>
      <c r="B201" s="217" t="s">
        <v>1472</v>
      </c>
      <c r="C201" s="218">
        <v>46196</v>
      </c>
      <c r="D201" s="219" t="s">
        <v>1473</v>
      </c>
      <c r="E201" s="218">
        <v>46196</v>
      </c>
      <c r="F201" s="219" t="s">
        <v>1474</v>
      </c>
      <c r="G201" s="220" t="s">
        <v>843</v>
      </c>
      <c r="H201" s="221">
        <v>13850</v>
      </c>
      <c r="I201" s="221">
        <v>32860</v>
      </c>
      <c r="J201" s="221">
        <v>19010</v>
      </c>
    </row>
    <row r="202" spans="1:10" x14ac:dyDescent="0.3">
      <c r="A202" s="217">
        <v>198</v>
      </c>
      <c r="B202" s="217" t="s">
        <v>1475</v>
      </c>
      <c r="C202" s="218">
        <v>46196</v>
      </c>
      <c r="D202" s="219" t="s">
        <v>1476</v>
      </c>
      <c r="E202" s="218">
        <v>46196</v>
      </c>
      <c r="F202" s="219" t="s">
        <v>1477</v>
      </c>
      <c r="G202" s="220" t="s">
        <v>840</v>
      </c>
      <c r="H202" s="221">
        <v>13940</v>
      </c>
      <c r="I202" s="221">
        <v>34140</v>
      </c>
      <c r="J202" s="221">
        <v>20200</v>
      </c>
    </row>
    <row r="203" spans="1:10" x14ac:dyDescent="0.3">
      <c r="A203" s="217">
        <v>199</v>
      </c>
      <c r="B203" s="217" t="s">
        <v>1478</v>
      </c>
      <c r="C203" s="218">
        <v>46196</v>
      </c>
      <c r="D203" s="219" t="s">
        <v>1479</v>
      </c>
      <c r="E203" s="218">
        <v>46196</v>
      </c>
      <c r="F203" s="219" t="s">
        <v>1480</v>
      </c>
      <c r="G203" s="220" t="s">
        <v>76</v>
      </c>
      <c r="H203" s="221">
        <v>13700</v>
      </c>
      <c r="I203" s="221">
        <v>35210</v>
      </c>
      <c r="J203" s="221">
        <v>21510</v>
      </c>
    </row>
    <row r="204" spans="1:10" x14ac:dyDescent="0.3">
      <c r="A204" s="217">
        <v>200</v>
      </c>
      <c r="B204" s="217" t="s">
        <v>1481</v>
      </c>
      <c r="C204" s="218">
        <v>46196</v>
      </c>
      <c r="D204" s="219" t="s">
        <v>1482</v>
      </c>
      <c r="E204" s="218">
        <v>46196</v>
      </c>
      <c r="F204" s="219" t="s">
        <v>1483</v>
      </c>
      <c r="G204" s="220" t="s">
        <v>143</v>
      </c>
      <c r="H204" s="221">
        <v>13690</v>
      </c>
      <c r="I204" s="221">
        <v>34130</v>
      </c>
      <c r="J204" s="221">
        <v>20440</v>
      </c>
    </row>
    <row r="205" spans="1:10" x14ac:dyDescent="0.3">
      <c r="A205" s="217">
        <v>201</v>
      </c>
      <c r="B205" s="217" t="s">
        <v>1484</v>
      </c>
      <c r="C205" s="218">
        <v>46196</v>
      </c>
      <c r="D205" s="219" t="s">
        <v>1485</v>
      </c>
      <c r="E205" s="218">
        <v>46196</v>
      </c>
      <c r="F205" s="219" t="s">
        <v>1486</v>
      </c>
      <c r="G205" s="220" t="s">
        <v>842</v>
      </c>
      <c r="H205" s="221">
        <v>13710</v>
      </c>
      <c r="I205" s="221">
        <v>32770</v>
      </c>
      <c r="J205" s="221">
        <v>19060</v>
      </c>
    </row>
    <row r="206" spans="1:10" x14ac:dyDescent="0.3">
      <c r="A206" s="217">
        <v>202</v>
      </c>
      <c r="B206" s="217" t="s">
        <v>1487</v>
      </c>
      <c r="C206" s="218">
        <v>46196</v>
      </c>
      <c r="D206" s="219" t="s">
        <v>1488</v>
      </c>
      <c r="E206" s="218">
        <v>46196</v>
      </c>
      <c r="F206" s="219" t="s">
        <v>1489</v>
      </c>
      <c r="G206" s="220" t="s">
        <v>90</v>
      </c>
      <c r="H206" s="221">
        <v>13930</v>
      </c>
      <c r="I206" s="221">
        <v>32990</v>
      </c>
      <c r="J206" s="221">
        <v>19060</v>
      </c>
    </row>
    <row r="207" spans="1:10" x14ac:dyDescent="0.3">
      <c r="A207" s="217">
        <v>203</v>
      </c>
      <c r="B207" s="217" t="s">
        <v>1490</v>
      </c>
      <c r="C207" s="218">
        <v>46196</v>
      </c>
      <c r="D207" s="219" t="s">
        <v>1491</v>
      </c>
      <c r="E207" s="218">
        <v>46196</v>
      </c>
      <c r="F207" s="219" t="s">
        <v>1492</v>
      </c>
      <c r="G207" s="220" t="s">
        <v>336</v>
      </c>
      <c r="H207" s="221">
        <v>13710</v>
      </c>
      <c r="I207" s="221">
        <v>33490</v>
      </c>
      <c r="J207" s="221">
        <v>19780</v>
      </c>
    </row>
    <row r="208" spans="1:10" x14ac:dyDescent="0.3">
      <c r="A208" s="217">
        <v>204</v>
      </c>
      <c r="B208" s="217" t="s">
        <v>1493</v>
      </c>
      <c r="C208" s="218">
        <v>46196</v>
      </c>
      <c r="D208" s="219" t="s">
        <v>1494</v>
      </c>
      <c r="E208" s="218">
        <v>46196</v>
      </c>
      <c r="F208" s="219" t="s">
        <v>1495</v>
      </c>
      <c r="G208" s="220" t="s">
        <v>80</v>
      </c>
      <c r="H208" s="221">
        <v>14060</v>
      </c>
      <c r="I208" s="221">
        <v>34260</v>
      </c>
      <c r="J208" s="221">
        <v>20200</v>
      </c>
    </row>
    <row r="209" spans="1:10" x14ac:dyDescent="0.3">
      <c r="A209" s="217">
        <v>205</v>
      </c>
      <c r="B209" s="217" t="s">
        <v>1496</v>
      </c>
      <c r="C209" s="218">
        <v>46196</v>
      </c>
      <c r="D209" s="219" t="s">
        <v>1497</v>
      </c>
      <c r="E209" s="218">
        <v>46196</v>
      </c>
      <c r="F209" s="219" t="s">
        <v>1498</v>
      </c>
      <c r="G209" s="220" t="s">
        <v>43</v>
      </c>
      <c r="H209" s="221">
        <v>13850</v>
      </c>
      <c r="I209" s="221">
        <v>32870</v>
      </c>
      <c r="J209" s="221">
        <v>19020</v>
      </c>
    </row>
    <row r="210" spans="1:10" x14ac:dyDescent="0.3">
      <c r="A210" s="217">
        <v>206</v>
      </c>
      <c r="B210" s="217" t="s">
        <v>1499</v>
      </c>
      <c r="C210" s="218">
        <v>46196</v>
      </c>
      <c r="D210" s="219" t="s">
        <v>1500</v>
      </c>
      <c r="E210" s="218">
        <v>46196</v>
      </c>
      <c r="F210" s="219" t="s">
        <v>1501</v>
      </c>
      <c r="G210" s="220" t="s">
        <v>337</v>
      </c>
      <c r="H210" s="221">
        <v>13780</v>
      </c>
      <c r="I210" s="221">
        <v>32950</v>
      </c>
      <c r="J210" s="221">
        <v>19170</v>
      </c>
    </row>
    <row r="211" spans="1:10" x14ac:dyDescent="0.3">
      <c r="A211" s="217">
        <v>207</v>
      </c>
      <c r="B211" s="217" t="s">
        <v>1502</v>
      </c>
      <c r="C211" s="218">
        <v>46196</v>
      </c>
      <c r="D211" s="219" t="s">
        <v>1503</v>
      </c>
      <c r="E211" s="218">
        <v>46196</v>
      </c>
      <c r="F211" s="219" t="s">
        <v>1504</v>
      </c>
      <c r="G211" s="220" t="s">
        <v>85</v>
      </c>
      <c r="H211" s="221">
        <v>13880</v>
      </c>
      <c r="I211" s="221">
        <v>33770</v>
      </c>
      <c r="J211" s="221">
        <v>19890</v>
      </c>
    </row>
    <row r="212" spans="1:10" x14ac:dyDescent="0.3">
      <c r="A212" s="217">
        <v>208</v>
      </c>
      <c r="B212" s="217" t="s">
        <v>1505</v>
      </c>
      <c r="C212" s="218">
        <v>46196</v>
      </c>
      <c r="D212" s="219" t="s">
        <v>1506</v>
      </c>
      <c r="E212" s="218">
        <v>46196</v>
      </c>
      <c r="F212" s="219" t="s">
        <v>1507</v>
      </c>
      <c r="G212" s="220" t="s">
        <v>64</v>
      </c>
      <c r="H212" s="221">
        <v>13860</v>
      </c>
      <c r="I212" s="221">
        <v>33420</v>
      </c>
      <c r="J212" s="221">
        <v>19560</v>
      </c>
    </row>
    <row r="213" spans="1:10" x14ac:dyDescent="0.3">
      <c r="A213" s="217">
        <v>209</v>
      </c>
      <c r="B213" s="217" t="s">
        <v>1508</v>
      </c>
      <c r="C213" s="218">
        <v>46196</v>
      </c>
      <c r="D213" s="219" t="s">
        <v>1509</v>
      </c>
      <c r="E213" s="218">
        <v>46196</v>
      </c>
      <c r="F213" s="219" t="s">
        <v>1510</v>
      </c>
      <c r="G213" s="220" t="s">
        <v>55</v>
      </c>
      <c r="H213" s="221">
        <v>13650</v>
      </c>
      <c r="I213" s="221">
        <v>33090</v>
      </c>
      <c r="J213" s="221">
        <v>19440</v>
      </c>
    </row>
    <row r="214" spans="1:10" x14ac:dyDescent="0.3">
      <c r="A214" s="217">
        <v>210</v>
      </c>
      <c r="B214" s="217" t="s">
        <v>1511</v>
      </c>
      <c r="C214" s="218">
        <v>46196</v>
      </c>
      <c r="D214" s="219" t="s">
        <v>1512</v>
      </c>
      <c r="E214" s="218">
        <v>46196</v>
      </c>
      <c r="F214" s="219" t="s">
        <v>1513</v>
      </c>
      <c r="G214" s="220" t="s">
        <v>335</v>
      </c>
      <c r="H214" s="221">
        <v>13950</v>
      </c>
      <c r="I214" s="221">
        <v>32410</v>
      </c>
      <c r="J214" s="221">
        <v>18460</v>
      </c>
    </row>
    <row r="215" spans="1:10" x14ac:dyDescent="0.3">
      <c r="A215" s="217">
        <v>211</v>
      </c>
      <c r="B215" s="217" t="s">
        <v>1514</v>
      </c>
      <c r="C215" s="218">
        <v>46196</v>
      </c>
      <c r="D215" s="219" t="s">
        <v>1515</v>
      </c>
      <c r="E215" s="218">
        <v>46196</v>
      </c>
      <c r="F215" s="219" t="s">
        <v>1516</v>
      </c>
      <c r="G215" s="220" t="s">
        <v>845</v>
      </c>
      <c r="H215" s="221">
        <v>13820</v>
      </c>
      <c r="I215" s="221">
        <v>33750</v>
      </c>
      <c r="J215" s="221">
        <v>19930</v>
      </c>
    </row>
    <row r="216" spans="1:10" x14ac:dyDescent="0.3">
      <c r="A216" s="217">
        <v>212</v>
      </c>
      <c r="B216" s="217" t="s">
        <v>1517</v>
      </c>
      <c r="C216" s="218">
        <v>46196</v>
      </c>
      <c r="D216" s="219" t="s">
        <v>1518</v>
      </c>
      <c r="E216" s="218">
        <v>46196</v>
      </c>
      <c r="F216" s="219" t="s">
        <v>1519</v>
      </c>
      <c r="G216" s="220" t="s">
        <v>840</v>
      </c>
      <c r="H216" s="221">
        <v>13930</v>
      </c>
      <c r="I216" s="221">
        <v>34000</v>
      </c>
      <c r="J216" s="221">
        <v>20070</v>
      </c>
    </row>
    <row r="217" spans="1:10" x14ac:dyDescent="0.3">
      <c r="A217" s="217">
        <v>213</v>
      </c>
      <c r="B217" s="217" t="s">
        <v>1520</v>
      </c>
      <c r="C217" s="218">
        <v>46196</v>
      </c>
      <c r="D217" s="219" t="s">
        <v>1521</v>
      </c>
      <c r="E217" s="218">
        <v>46196</v>
      </c>
      <c r="F217" s="219" t="s">
        <v>1522</v>
      </c>
      <c r="G217" s="220" t="s">
        <v>843</v>
      </c>
      <c r="H217" s="221">
        <v>13830</v>
      </c>
      <c r="I217" s="221">
        <v>32170</v>
      </c>
      <c r="J217" s="221">
        <v>18340</v>
      </c>
    </row>
    <row r="218" spans="1:10" x14ac:dyDescent="0.3">
      <c r="A218" s="217">
        <v>214</v>
      </c>
      <c r="B218" s="217" t="s">
        <v>1523</v>
      </c>
      <c r="C218" s="218">
        <v>46196</v>
      </c>
      <c r="D218" s="219" t="s">
        <v>1524</v>
      </c>
      <c r="E218" s="218">
        <v>46196</v>
      </c>
      <c r="F218" s="219" t="s">
        <v>1525</v>
      </c>
      <c r="G218" s="220" t="s">
        <v>76</v>
      </c>
      <c r="H218" s="221">
        <v>13730</v>
      </c>
      <c r="I218" s="221">
        <v>31630</v>
      </c>
      <c r="J218" s="221">
        <v>17900</v>
      </c>
    </row>
    <row r="219" spans="1:10" x14ac:dyDescent="0.3">
      <c r="A219" s="217">
        <v>215</v>
      </c>
      <c r="B219" s="217" t="s">
        <v>1526</v>
      </c>
      <c r="C219" s="218">
        <v>46196</v>
      </c>
      <c r="D219" s="219" t="s">
        <v>1527</v>
      </c>
      <c r="E219" s="218">
        <v>46196</v>
      </c>
      <c r="F219" s="219" t="s">
        <v>1270</v>
      </c>
      <c r="G219" s="220" t="s">
        <v>143</v>
      </c>
      <c r="H219" s="221">
        <v>13750</v>
      </c>
      <c r="I219" s="221">
        <v>31640</v>
      </c>
      <c r="J219" s="221">
        <v>17890</v>
      </c>
    </row>
    <row r="220" spans="1:10" x14ac:dyDescent="0.3">
      <c r="A220" s="217">
        <v>216</v>
      </c>
      <c r="B220" s="217" t="s">
        <v>1528</v>
      </c>
      <c r="C220" s="218">
        <v>46196</v>
      </c>
      <c r="D220" s="219" t="s">
        <v>1529</v>
      </c>
      <c r="E220" s="218">
        <v>46196</v>
      </c>
      <c r="F220" s="219" t="s">
        <v>1530</v>
      </c>
      <c r="G220" s="220" t="s">
        <v>842</v>
      </c>
      <c r="H220" s="221">
        <v>14130</v>
      </c>
      <c r="I220" s="221">
        <v>34090</v>
      </c>
      <c r="J220" s="221">
        <v>19960</v>
      </c>
    </row>
    <row r="221" spans="1:10" x14ac:dyDescent="0.3">
      <c r="A221" s="217">
        <v>217</v>
      </c>
      <c r="B221" s="217" t="s">
        <v>1531</v>
      </c>
      <c r="C221" s="218">
        <v>46196</v>
      </c>
      <c r="D221" s="219" t="s">
        <v>1532</v>
      </c>
      <c r="E221" s="218">
        <v>46196</v>
      </c>
      <c r="F221" s="219" t="s">
        <v>1533</v>
      </c>
      <c r="G221" s="220" t="s">
        <v>336</v>
      </c>
      <c r="H221" s="221">
        <v>13810</v>
      </c>
      <c r="I221" s="221">
        <v>32310</v>
      </c>
      <c r="J221" s="221">
        <v>18500</v>
      </c>
    </row>
    <row r="222" spans="1:10" x14ac:dyDescent="0.3">
      <c r="A222" s="217">
        <v>218</v>
      </c>
      <c r="B222" s="217" t="s">
        <v>1534</v>
      </c>
      <c r="C222" s="218">
        <v>46196</v>
      </c>
      <c r="D222" s="219" t="s">
        <v>1535</v>
      </c>
      <c r="E222" s="218">
        <v>46196</v>
      </c>
      <c r="F222" s="219" t="s">
        <v>1536</v>
      </c>
      <c r="G222" s="220" t="s">
        <v>80</v>
      </c>
      <c r="H222" s="221">
        <v>14120</v>
      </c>
      <c r="I222" s="221">
        <v>33400</v>
      </c>
      <c r="J222" s="221">
        <v>19280</v>
      </c>
    </row>
    <row r="223" spans="1:10" x14ac:dyDescent="0.3">
      <c r="A223" s="217">
        <v>219</v>
      </c>
      <c r="B223" s="217" t="s">
        <v>1537</v>
      </c>
      <c r="C223" s="218">
        <v>46196</v>
      </c>
      <c r="D223" s="219" t="s">
        <v>1538</v>
      </c>
      <c r="E223" s="218">
        <v>46196</v>
      </c>
      <c r="F223" s="219" t="s">
        <v>1539</v>
      </c>
      <c r="G223" s="220" t="s">
        <v>90</v>
      </c>
      <c r="H223" s="221">
        <v>13870</v>
      </c>
      <c r="I223" s="221">
        <v>33450</v>
      </c>
      <c r="J223" s="221">
        <v>19580</v>
      </c>
    </row>
    <row r="224" spans="1:10" x14ac:dyDescent="0.3">
      <c r="A224" s="217">
        <v>220</v>
      </c>
      <c r="B224" s="217" t="s">
        <v>1540</v>
      </c>
      <c r="C224" s="218">
        <v>46196</v>
      </c>
      <c r="D224" s="219" t="s">
        <v>1541</v>
      </c>
      <c r="E224" s="218">
        <v>46196</v>
      </c>
      <c r="F224" s="219" t="s">
        <v>1542</v>
      </c>
      <c r="G224" s="220" t="s">
        <v>337</v>
      </c>
      <c r="H224" s="221">
        <v>13730</v>
      </c>
      <c r="I224" s="221">
        <v>32820</v>
      </c>
      <c r="J224" s="221">
        <v>19090</v>
      </c>
    </row>
    <row r="225" spans="1:10" x14ac:dyDescent="0.3">
      <c r="A225" s="217">
        <v>221</v>
      </c>
      <c r="B225" s="217" t="s">
        <v>1543</v>
      </c>
      <c r="C225" s="218">
        <v>46196</v>
      </c>
      <c r="D225" s="219" t="s">
        <v>1544</v>
      </c>
      <c r="E225" s="218">
        <v>46196</v>
      </c>
      <c r="F225" s="219" t="s">
        <v>1545</v>
      </c>
      <c r="G225" s="220" t="s">
        <v>43</v>
      </c>
      <c r="H225" s="221">
        <v>13820</v>
      </c>
      <c r="I225" s="221">
        <v>33220</v>
      </c>
      <c r="J225" s="221">
        <v>19400</v>
      </c>
    </row>
    <row r="226" spans="1:10" x14ac:dyDescent="0.3">
      <c r="A226" s="217">
        <v>222</v>
      </c>
      <c r="B226" s="217" t="s">
        <v>1546</v>
      </c>
      <c r="C226" s="218">
        <v>46196</v>
      </c>
      <c r="D226" s="219" t="s">
        <v>1547</v>
      </c>
      <c r="E226" s="218">
        <v>46196</v>
      </c>
      <c r="F226" s="219" t="s">
        <v>1548</v>
      </c>
      <c r="G226" s="220" t="s">
        <v>335</v>
      </c>
      <c r="H226" s="221">
        <v>13920</v>
      </c>
      <c r="I226" s="221">
        <v>32410</v>
      </c>
      <c r="J226" s="221">
        <v>18490</v>
      </c>
    </row>
    <row r="227" spans="1:10" x14ac:dyDescent="0.3">
      <c r="A227" s="217">
        <v>223</v>
      </c>
      <c r="B227" s="217" t="s">
        <v>1549</v>
      </c>
      <c r="C227" s="218">
        <v>46196</v>
      </c>
      <c r="D227" s="219" t="s">
        <v>1550</v>
      </c>
      <c r="E227" s="218">
        <v>46196</v>
      </c>
      <c r="F227" s="219" t="s">
        <v>1551</v>
      </c>
      <c r="G227" s="220" t="s">
        <v>64</v>
      </c>
      <c r="H227" s="221">
        <v>13770</v>
      </c>
      <c r="I227" s="221">
        <v>33530</v>
      </c>
      <c r="J227" s="221">
        <v>19760</v>
      </c>
    </row>
    <row r="228" spans="1:10" x14ac:dyDescent="0.3">
      <c r="A228" s="217">
        <v>224</v>
      </c>
      <c r="B228" s="217" t="s">
        <v>1552</v>
      </c>
      <c r="C228" s="218">
        <v>46196</v>
      </c>
      <c r="D228" s="219" t="s">
        <v>1553</v>
      </c>
      <c r="E228" s="218">
        <v>46196</v>
      </c>
      <c r="F228" s="219" t="s">
        <v>1554</v>
      </c>
      <c r="G228" s="220" t="s">
        <v>85</v>
      </c>
      <c r="H228" s="221">
        <v>14090</v>
      </c>
      <c r="I228" s="221">
        <v>32180</v>
      </c>
      <c r="J228" s="221">
        <v>18090</v>
      </c>
    </row>
    <row r="229" spans="1:10" x14ac:dyDescent="0.3">
      <c r="A229" s="217">
        <v>225</v>
      </c>
      <c r="B229" s="217" t="s">
        <v>1555</v>
      </c>
      <c r="C229" s="218">
        <v>46196</v>
      </c>
      <c r="D229" s="219" t="s">
        <v>1556</v>
      </c>
      <c r="E229" s="218">
        <v>46196</v>
      </c>
      <c r="F229" s="219" t="s">
        <v>1557</v>
      </c>
      <c r="G229" s="220" t="s">
        <v>845</v>
      </c>
      <c r="H229" s="221">
        <v>13780</v>
      </c>
      <c r="I229" s="221">
        <v>33210</v>
      </c>
      <c r="J229" s="221">
        <v>19430</v>
      </c>
    </row>
    <row r="230" spans="1:10" x14ac:dyDescent="0.3">
      <c r="A230" s="217">
        <v>226</v>
      </c>
      <c r="B230" s="217" t="s">
        <v>1558</v>
      </c>
      <c r="C230" s="218">
        <v>46196</v>
      </c>
      <c r="D230" s="219" t="s">
        <v>1559</v>
      </c>
      <c r="E230" s="218">
        <v>46196</v>
      </c>
      <c r="F230" s="219" t="s">
        <v>1560</v>
      </c>
      <c r="G230" s="220" t="s">
        <v>843</v>
      </c>
      <c r="H230" s="221">
        <v>13810</v>
      </c>
      <c r="I230" s="221">
        <v>33710</v>
      </c>
      <c r="J230" s="221">
        <v>19900</v>
      </c>
    </row>
    <row r="231" spans="1:10" x14ac:dyDescent="0.3">
      <c r="A231" s="217">
        <v>227</v>
      </c>
      <c r="B231" s="217" t="s">
        <v>1561</v>
      </c>
      <c r="C231" s="218">
        <v>46196</v>
      </c>
      <c r="D231" s="219" t="s">
        <v>1562</v>
      </c>
      <c r="E231" s="218">
        <v>46196</v>
      </c>
      <c r="F231" s="219" t="s">
        <v>1563</v>
      </c>
      <c r="G231" s="220" t="s">
        <v>55</v>
      </c>
      <c r="H231" s="221">
        <v>13990</v>
      </c>
      <c r="I231" s="221">
        <v>32720</v>
      </c>
      <c r="J231" s="221">
        <v>18730</v>
      </c>
    </row>
    <row r="232" spans="1:10" x14ac:dyDescent="0.3">
      <c r="A232" s="217">
        <v>228</v>
      </c>
      <c r="B232" s="217" t="s">
        <v>1564</v>
      </c>
      <c r="C232" s="218">
        <v>46196</v>
      </c>
      <c r="D232" s="219" t="s">
        <v>1565</v>
      </c>
      <c r="E232" s="218">
        <v>46196</v>
      </c>
      <c r="F232" s="219" t="s">
        <v>1566</v>
      </c>
      <c r="G232" s="220" t="s">
        <v>80</v>
      </c>
      <c r="H232" s="221">
        <v>14020</v>
      </c>
      <c r="I232" s="221">
        <v>33170</v>
      </c>
      <c r="J232" s="221">
        <v>19150</v>
      </c>
    </row>
    <row r="233" spans="1:10" x14ac:dyDescent="0.3">
      <c r="A233" s="217">
        <v>229</v>
      </c>
      <c r="B233" s="217" t="s">
        <v>1567</v>
      </c>
      <c r="C233" s="218">
        <v>46196</v>
      </c>
      <c r="D233" s="219" t="s">
        <v>1568</v>
      </c>
      <c r="E233" s="218">
        <v>46196</v>
      </c>
      <c r="F233" s="219" t="s">
        <v>1569</v>
      </c>
      <c r="G233" s="220" t="s">
        <v>143</v>
      </c>
      <c r="H233" s="221">
        <v>13710</v>
      </c>
      <c r="I233" s="221">
        <v>32780</v>
      </c>
      <c r="J233" s="221">
        <v>19070</v>
      </c>
    </row>
    <row r="234" spans="1:10" x14ac:dyDescent="0.3">
      <c r="A234" s="217">
        <v>230</v>
      </c>
      <c r="B234" s="217" t="s">
        <v>1570</v>
      </c>
      <c r="C234" s="218">
        <v>46196</v>
      </c>
      <c r="D234" s="219" t="s">
        <v>1571</v>
      </c>
      <c r="E234" s="218">
        <v>46196</v>
      </c>
      <c r="F234" s="219" t="s">
        <v>1572</v>
      </c>
      <c r="G234" s="220" t="s">
        <v>337</v>
      </c>
      <c r="H234" s="221">
        <v>13980</v>
      </c>
      <c r="I234" s="221">
        <v>33300</v>
      </c>
      <c r="J234" s="221">
        <v>19320</v>
      </c>
    </row>
    <row r="235" spans="1:10" x14ac:dyDescent="0.3">
      <c r="A235" s="217">
        <v>231</v>
      </c>
      <c r="B235" s="217" t="s">
        <v>1573</v>
      </c>
      <c r="C235" s="218">
        <v>46196</v>
      </c>
      <c r="D235" s="219" t="s">
        <v>1574</v>
      </c>
      <c r="E235" s="218">
        <v>46196</v>
      </c>
      <c r="F235" s="219" t="s">
        <v>1575</v>
      </c>
      <c r="G235" s="220" t="s">
        <v>335</v>
      </c>
      <c r="H235" s="221">
        <v>13900</v>
      </c>
      <c r="I235" s="221">
        <v>31970</v>
      </c>
      <c r="J235" s="221">
        <v>18070</v>
      </c>
    </row>
    <row r="236" spans="1:10" x14ac:dyDescent="0.3">
      <c r="A236" s="217">
        <v>232</v>
      </c>
      <c r="B236" s="217" t="s">
        <v>1576</v>
      </c>
      <c r="C236" s="218">
        <v>46196</v>
      </c>
      <c r="D236" s="219" t="s">
        <v>1577</v>
      </c>
      <c r="E236" s="218">
        <v>46196</v>
      </c>
      <c r="F236" s="219" t="s">
        <v>1578</v>
      </c>
      <c r="G236" s="220" t="s">
        <v>85</v>
      </c>
      <c r="H236" s="221">
        <v>13900</v>
      </c>
      <c r="I236" s="221">
        <v>33440</v>
      </c>
      <c r="J236" s="221">
        <v>19540</v>
      </c>
    </row>
    <row r="237" spans="1:10" x14ac:dyDescent="0.3">
      <c r="A237" s="217">
        <v>233</v>
      </c>
      <c r="B237" s="217" t="s">
        <v>1579</v>
      </c>
      <c r="C237" s="218">
        <v>46196</v>
      </c>
      <c r="D237" s="219" t="s">
        <v>1580</v>
      </c>
      <c r="E237" s="218">
        <v>46196</v>
      </c>
      <c r="F237" s="219" t="s">
        <v>1581</v>
      </c>
      <c r="G237" s="220" t="s">
        <v>64</v>
      </c>
      <c r="H237" s="221">
        <v>14010</v>
      </c>
      <c r="I237" s="221">
        <v>33350</v>
      </c>
      <c r="J237" s="221">
        <v>19340</v>
      </c>
    </row>
    <row r="238" spans="1:10" x14ac:dyDescent="0.3">
      <c r="A238" s="217">
        <v>234</v>
      </c>
      <c r="B238" s="217" t="s">
        <v>1582</v>
      </c>
      <c r="C238" s="218">
        <v>46196</v>
      </c>
      <c r="D238" s="219" t="s">
        <v>1583</v>
      </c>
      <c r="E238" s="218">
        <v>46196</v>
      </c>
      <c r="F238" s="219" t="s">
        <v>1584</v>
      </c>
      <c r="G238" s="220" t="s">
        <v>845</v>
      </c>
      <c r="H238" s="221">
        <v>13910</v>
      </c>
      <c r="I238" s="221">
        <v>32330</v>
      </c>
      <c r="J238" s="221">
        <v>18420</v>
      </c>
    </row>
    <row r="239" spans="1:10" x14ac:dyDescent="0.3">
      <c r="A239" s="217">
        <v>235</v>
      </c>
      <c r="B239" s="217" t="s">
        <v>1585</v>
      </c>
      <c r="C239" s="218">
        <v>46196</v>
      </c>
      <c r="D239" s="219" t="s">
        <v>1586</v>
      </c>
      <c r="E239" s="218">
        <v>46196</v>
      </c>
      <c r="F239" s="219" t="s">
        <v>1587</v>
      </c>
      <c r="G239" s="220" t="s">
        <v>55</v>
      </c>
      <c r="H239" s="221">
        <v>13960</v>
      </c>
      <c r="I239" s="221">
        <v>31930</v>
      </c>
      <c r="J239" s="221">
        <v>17970</v>
      </c>
    </row>
    <row r="240" spans="1:10" x14ac:dyDescent="0.3">
      <c r="A240" s="217">
        <v>236</v>
      </c>
      <c r="B240" s="217" t="s">
        <v>1588</v>
      </c>
      <c r="C240" s="218">
        <v>46197</v>
      </c>
      <c r="D240" s="219" t="s">
        <v>881</v>
      </c>
      <c r="E240" s="218">
        <v>46197</v>
      </c>
      <c r="F240" s="219" t="s">
        <v>1589</v>
      </c>
      <c r="G240" s="220" t="s">
        <v>76</v>
      </c>
      <c r="H240" s="221">
        <v>14000</v>
      </c>
      <c r="I240" s="221">
        <v>34500</v>
      </c>
      <c r="J240" s="221">
        <v>20500</v>
      </c>
    </row>
    <row r="241" spans="1:10" x14ac:dyDescent="0.3">
      <c r="A241" s="217">
        <v>237</v>
      </c>
      <c r="B241" s="217" t="s">
        <v>1590</v>
      </c>
      <c r="C241" s="218">
        <v>46197</v>
      </c>
      <c r="D241" s="219" t="s">
        <v>1591</v>
      </c>
      <c r="E241" s="218">
        <v>46197</v>
      </c>
      <c r="F241" s="219" t="s">
        <v>1592</v>
      </c>
      <c r="G241" s="220" t="s">
        <v>840</v>
      </c>
      <c r="H241" s="221">
        <v>13880</v>
      </c>
      <c r="I241" s="221">
        <v>32900</v>
      </c>
      <c r="J241" s="221">
        <v>19020</v>
      </c>
    </row>
    <row r="242" spans="1:10" x14ac:dyDescent="0.3">
      <c r="A242" s="217">
        <v>238</v>
      </c>
      <c r="B242" s="217" t="s">
        <v>1593</v>
      </c>
      <c r="C242" s="218">
        <v>46197</v>
      </c>
      <c r="D242" s="219" t="s">
        <v>1594</v>
      </c>
      <c r="E242" s="218">
        <v>46197</v>
      </c>
      <c r="F242" s="219" t="s">
        <v>1595</v>
      </c>
      <c r="G242" s="220" t="s">
        <v>842</v>
      </c>
      <c r="H242" s="221">
        <v>14020</v>
      </c>
      <c r="I242" s="221">
        <v>32170</v>
      </c>
      <c r="J242" s="221">
        <v>18150</v>
      </c>
    </row>
    <row r="243" spans="1:10" x14ac:dyDescent="0.3">
      <c r="A243" s="217">
        <v>239</v>
      </c>
      <c r="B243" s="217" t="s">
        <v>1596</v>
      </c>
      <c r="C243" s="218">
        <v>46197</v>
      </c>
      <c r="D243" s="219" t="s">
        <v>1597</v>
      </c>
      <c r="E243" s="218">
        <v>46197</v>
      </c>
      <c r="F243" s="219" t="s">
        <v>1598</v>
      </c>
      <c r="G243" s="220" t="s">
        <v>337</v>
      </c>
      <c r="H243" s="221">
        <v>13880</v>
      </c>
      <c r="I243" s="221">
        <v>33840</v>
      </c>
      <c r="J243" s="221">
        <v>19960</v>
      </c>
    </row>
    <row r="244" spans="1:10" x14ac:dyDescent="0.3">
      <c r="A244" s="217">
        <v>240</v>
      </c>
      <c r="B244" s="217" t="s">
        <v>1599</v>
      </c>
      <c r="C244" s="218">
        <v>46197</v>
      </c>
      <c r="D244" s="219" t="s">
        <v>1600</v>
      </c>
      <c r="E244" s="218">
        <v>46197</v>
      </c>
      <c r="F244" s="219" t="s">
        <v>1601</v>
      </c>
      <c r="G244" s="220" t="s">
        <v>843</v>
      </c>
      <c r="H244" s="221">
        <v>14140</v>
      </c>
      <c r="I244" s="221">
        <v>34630</v>
      </c>
      <c r="J244" s="221">
        <v>20490</v>
      </c>
    </row>
    <row r="245" spans="1:10" x14ac:dyDescent="0.3">
      <c r="A245" s="217">
        <v>241</v>
      </c>
      <c r="B245" s="217" t="s">
        <v>1602</v>
      </c>
      <c r="C245" s="218">
        <v>46197</v>
      </c>
      <c r="D245" s="219" t="s">
        <v>1603</v>
      </c>
      <c r="E245" s="218">
        <v>46197</v>
      </c>
      <c r="F245" s="219" t="s">
        <v>1604</v>
      </c>
      <c r="G245" s="220" t="s">
        <v>64</v>
      </c>
      <c r="H245" s="221">
        <v>14020</v>
      </c>
      <c r="I245" s="221">
        <v>33630</v>
      </c>
      <c r="J245" s="221">
        <v>19610</v>
      </c>
    </row>
    <row r="246" spans="1:10" x14ac:dyDescent="0.3">
      <c r="A246" s="217">
        <v>242</v>
      </c>
      <c r="B246" s="217" t="s">
        <v>1605</v>
      </c>
      <c r="C246" s="218">
        <v>46197</v>
      </c>
      <c r="D246" s="219" t="s">
        <v>1606</v>
      </c>
      <c r="E246" s="218">
        <v>46197</v>
      </c>
      <c r="F246" s="219" t="s">
        <v>1607</v>
      </c>
      <c r="G246" s="220" t="s">
        <v>80</v>
      </c>
      <c r="H246" s="221">
        <v>13930</v>
      </c>
      <c r="I246" s="221">
        <v>33730</v>
      </c>
      <c r="J246" s="221">
        <v>19800</v>
      </c>
    </row>
    <row r="247" spans="1:10" x14ac:dyDescent="0.3">
      <c r="A247" s="217">
        <v>243</v>
      </c>
      <c r="B247" s="217" t="s">
        <v>1608</v>
      </c>
      <c r="C247" s="218">
        <v>46197</v>
      </c>
      <c r="D247" s="219" t="s">
        <v>1609</v>
      </c>
      <c r="E247" s="218">
        <v>46197</v>
      </c>
      <c r="F247" s="219" t="s">
        <v>1610</v>
      </c>
      <c r="G247" s="220" t="s">
        <v>90</v>
      </c>
      <c r="H247" s="221">
        <v>13780</v>
      </c>
      <c r="I247" s="221">
        <v>33490</v>
      </c>
      <c r="J247" s="221">
        <v>19710</v>
      </c>
    </row>
    <row r="248" spans="1:10" x14ac:dyDescent="0.3">
      <c r="A248" s="217">
        <v>244</v>
      </c>
      <c r="B248" s="217" t="s">
        <v>1611</v>
      </c>
      <c r="C248" s="218">
        <v>46197</v>
      </c>
      <c r="D248" s="219" t="s">
        <v>1612</v>
      </c>
      <c r="E248" s="218">
        <v>46197</v>
      </c>
      <c r="F248" s="219" t="s">
        <v>1613</v>
      </c>
      <c r="G248" s="220" t="s">
        <v>143</v>
      </c>
      <c r="H248" s="221">
        <v>13910</v>
      </c>
      <c r="I248" s="221">
        <v>34190</v>
      </c>
      <c r="J248" s="221">
        <v>20280</v>
      </c>
    </row>
    <row r="249" spans="1:10" x14ac:dyDescent="0.3">
      <c r="A249" s="217">
        <v>245</v>
      </c>
      <c r="B249" s="217" t="s">
        <v>1614</v>
      </c>
      <c r="C249" s="218">
        <v>46197</v>
      </c>
      <c r="D249" s="219" t="s">
        <v>1615</v>
      </c>
      <c r="E249" s="218">
        <v>46197</v>
      </c>
      <c r="F249" s="219" t="s">
        <v>1616</v>
      </c>
      <c r="G249" s="220" t="s">
        <v>335</v>
      </c>
      <c r="H249" s="221">
        <v>13870</v>
      </c>
      <c r="I249" s="221">
        <v>33950</v>
      </c>
      <c r="J249" s="221">
        <v>20080</v>
      </c>
    </row>
    <row r="250" spans="1:10" x14ac:dyDescent="0.3">
      <c r="A250" s="217">
        <v>246</v>
      </c>
      <c r="B250" s="217" t="s">
        <v>1617</v>
      </c>
      <c r="C250" s="218">
        <v>46197</v>
      </c>
      <c r="D250" s="219" t="s">
        <v>1618</v>
      </c>
      <c r="E250" s="218">
        <v>46197</v>
      </c>
      <c r="F250" s="219" t="s">
        <v>1619</v>
      </c>
      <c r="G250" s="220" t="s">
        <v>85</v>
      </c>
      <c r="H250" s="221">
        <v>13870</v>
      </c>
      <c r="I250" s="221">
        <v>34670</v>
      </c>
      <c r="J250" s="221">
        <v>20800</v>
      </c>
    </row>
    <row r="251" spans="1:10" x14ac:dyDescent="0.3">
      <c r="A251" s="217">
        <v>247</v>
      </c>
      <c r="B251" s="217" t="s">
        <v>1620</v>
      </c>
      <c r="C251" s="218">
        <v>46197</v>
      </c>
      <c r="D251" s="219" t="s">
        <v>1621</v>
      </c>
      <c r="E251" s="218">
        <v>46197</v>
      </c>
      <c r="F251" s="219" t="s">
        <v>1622</v>
      </c>
      <c r="G251" s="220" t="s">
        <v>55</v>
      </c>
      <c r="H251" s="221">
        <v>13900</v>
      </c>
      <c r="I251" s="221">
        <v>34570</v>
      </c>
      <c r="J251" s="221">
        <v>20670</v>
      </c>
    </row>
    <row r="252" spans="1:10" x14ac:dyDescent="0.3">
      <c r="A252" s="217">
        <v>248</v>
      </c>
      <c r="B252" s="217" t="s">
        <v>1623</v>
      </c>
      <c r="C252" s="218">
        <v>46197</v>
      </c>
      <c r="D252" s="219" t="s">
        <v>903</v>
      </c>
      <c r="E252" s="218">
        <v>46197</v>
      </c>
      <c r="F252" s="219" t="s">
        <v>1624</v>
      </c>
      <c r="G252" s="220" t="s">
        <v>43</v>
      </c>
      <c r="H252" s="221">
        <v>14030</v>
      </c>
      <c r="I252" s="221">
        <v>34210</v>
      </c>
      <c r="J252" s="221">
        <v>20180</v>
      </c>
    </row>
    <row r="253" spans="1:10" x14ac:dyDescent="0.3">
      <c r="A253" s="217">
        <v>249</v>
      </c>
      <c r="B253" s="217" t="s">
        <v>1625</v>
      </c>
      <c r="C253" s="218">
        <v>46197</v>
      </c>
      <c r="D253" s="219" t="s">
        <v>1626</v>
      </c>
      <c r="E253" s="218">
        <v>46197</v>
      </c>
      <c r="F253" s="219" t="s">
        <v>1627</v>
      </c>
      <c r="G253" s="220" t="s">
        <v>845</v>
      </c>
      <c r="H253" s="221">
        <v>13910</v>
      </c>
      <c r="I253" s="221">
        <v>33480</v>
      </c>
      <c r="J253" s="221">
        <v>19570</v>
      </c>
    </row>
    <row r="254" spans="1:10" x14ac:dyDescent="0.3">
      <c r="A254" s="217">
        <v>250</v>
      </c>
      <c r="B254" s="217" t="s">
        <v>1628</v>
      </c>
      <c r="C254" s="218">
        <v>46197</v>
      </c>
      <c r="D254" s="219" t="s">
        <v>1629</v>
      </c>
      <c r="E254" s="218">
        <v>46197</v>
      </c>
      <c r="F254" s="219" t="s">
        <v>1630</v>
      </c>
      <c r="G254" s="220" t="s">
        <v>336</v>
      </c>
      <c r="H254" s="221">
        <v>13970</v>
      </c>
      <c r="I254" s="221">
        <v>33650</v>
      </c>
      <c r="J254" s="221">
        <v>19680</v>
      </c>
    </row>
    <row r="255" spans="1:10" x14ac:dyDescent="0.3">
      <c r="A255" s="217">
        <v>251</v>
      </c>
      <c r="B255" s="217" t="s">
        <v>1631</v>
      </c>
      <c r="C255" s="218">
        <v>46197</v>
      </c>
      <c r="D255" s="219" t="s">
        <v>1632</v>
      </c>
      <c r="E255" s="218">
        <v>46197</v>
      </c>
      <c r="F255" s="219" t="s">
        <v>1633</v>
      </c>
      <c r="G255" s="220" t="s">
        <v>76</v>
      </c>
      <c r="H255" s="221">
        <v>13980</v>
      </c>
      <c r="I255" s="221">
        <v>33500</v>
      </c>
      <c r="J255" s="221">
        <v>19520</v>
      </c>
    </row>
    <row r="256" spans="1:10" x14ac:dyDescent="0.3">
      <c r="A256" s="217">
        <v>252</v>
      </c>
      <c r="B256" s="217" t="s">
        <v>1634</v>
      </c>
      <c r="C256" s="218">
        <v>46197</v>
      </c>
      <c r="D256" s="219" t="s">
        <v>1635</v>
      </c>
      <c r="E256" s="218">
        <v>46197</v>
      </c>
      <c r="F256" s="219" t="s">
        <v>1636</v>
      </c>
      <c r="G256" s="220" t="s">
        <v>840</v>
      </c>
      <c r="H256" s="221">
        <v>13870</v>
      </c>
      <c r="I256" s="221">
        <v>33030</v>
      </c>
      <c r="J256" s="221">
        <v>19160</v>
      </c>
    </row>
    <row r="257" spans="1:10" x14ac:dyDescent="0.3">
      <c r="A257" s="217">
        <v>253</v>
      </c>
      <c r="B257" s="217" t="s">
        <v>1637</v>
      </c>
      <c r="C257" s="218">
        <v>46197</v>
      </c>
      <c r="D257" s="219" t="s">
        <v>1638</v>
      </c>
      <c r="E257" s="218">
        <v>46197</v>
      </c>
      <c r="F257" s="219" t="s">
        <v>1639</v>
      </c>
      <c r="G257" s="220" t="s">
        <v>842</v>
      </c>
      <c r="H257" s="221">
        <v>14000</v>
      </c>
      <c r="I257" s="221">
        <v>33670</v>
      </c>
      <c r="J257" s="221">
        <v>19670</v>
      </c>
    </row>
    <row r="258" spans="1:10" x14ac:dyDescent="0.3">
      <c r="A258" s="217">
        <v>254</v>
      </c>
      <c r="B258" s="217" t="s">
        <v>1640</v>
      </c>
      <c r="C258" s="218">
        <v>46197</v>
      </c>
      <c r="D258" s="219" t="s">
        <v>1641</v>
      </c>
      <c r="E258" s="218">
        <v>46197</v>
      </c>
      <c r="F258" s="219" t="s">
        <v>855</v>
      </c>
      <c r="G258" s="220" t="s">
        <v>337</v>
      </c>
      <c r="H258" s="221">
        <v>13900</v>
      </c>
      <c r="I258" s="221">
        <v>33100</v>
      </c>
      <c r="J258" s="221">
        <v>19200</v>
      </c>
    </row>
    <row r="259" spans="1:10" x14ac:dyDescent="0.3">
      <c r="A259" s="217">
        <v>255</v>
      </c>
      <c r="B259" s="217" t="s">
        <v>1642</v>
      </c>
      <c r="C259" s="218">
        <v>46197</v>
      </c>
      <c r="D259" s="219" t="s">
        <v>1643</v>
      </c>
      <c r="E259" s="218">
        <v>46197</v>
      </c>
      <c r="F259" s="219" t="s">
        <v>1644</v>
      </c>
      <c r="G259" s="220" t="s">
        <v>843</v>
      </c>
      <c r="H259" s="221">
        <v>14110</v>
      </c>
      <c r="I259" s="221">
        <v>32830</v>
      </c>
      <c r="J259" s="221">
        <v>18720</v>
      </c>
    </row>
    <row r="260" spans="1:10" x14ac:dyDescent="0.3">
      <c r="A260" s="217">
        <v>256</v>
      </c>
      <c r="B260" s="217" t="s">
        <v>1645</v>
      </c>
      <c r="C260" s="218">
        <v>46197</v>
      </c>
      <c r="D260" s="219" t="s">
        <v>1646</v>
      </c>
      <c r="E260" s="218">
        <v>46197</v>
      </c>
      <c r="F260" s="219" t="s">
        <v>1647</v>
      </c>
      <c r="G260" s="220" t="s">
        <v>64</v>
      </c>
      <c r="H260" s="221">
        <v>14010</v>
      </c>
      <c r="I260" s="221">
        <v>33410</v>
      </c>
      <c r="J260" s="221">
        <v>19400</v>
      </c>
    </row>
    <row r="261" spans="1:10" x14ac:dyDescent="0.3">
      <c r="A261" s="217">
        <v>257</v>
      </c>
      <c r="B261" s="217" t="s">
        <v>1648</v>
      </c>
      <c r="C261" s="218">
        <v>46197</v>
      </c>
      <c r="D261" s="219" t="s">
        <v>1649</v>
      </c>
      <c r="E261" s="218">
        <v>46197</v>
      </c>
      <c r="F261" s="219" t="s">
        <v>1650</v>
      </c>
      <c r="G261" s="220" t="s">
        <v>80</v>
      </c>
      <c r="H261" s="221">
        <v>13900</v>
      </c>
      <c r="I261" s="221">
        <v>33760</v>
      </c>
      <c r="J261" s="221">
        <v>19860</v>
      </c>
    </row>
    <row r="262" spans="1:10" x14ac:dyDescent="0.3">
      <c r="A262" s="217">
        <v>258</v>
      </c>
      <c r="B262" s="217" t="s">
        <v>1651</v>
      </c>
      <c r="C262" s="218">
        <v>46197</v>
      </c>
      <c r="D262" s="219" t="s">
        <v>1652</v>
      </c>
      <c r="E262" s="218">
        <v>46197</v>
      </c>
      <c r="F262" s="219" t="s">
        <v>1653</v>
      </c>
      <c r="G262" s="220" t="s">
        <v>90</v>
      </c>
      <c r="H262" s="221">
        <v>13750</v>
      </c>
      <c r="I262" s="221">
        <v>33000</v>
      </c>
      <c r="J262" s="221">
        <v>19250</v>
      </c>
    </row>
    <row r="263" spans="1:10" x14ac:dyDescent="0.3">
      <c r="A263" s="217">
        <v>259</v>
      </c>
      <c r="B263" s="217" t="s">
        <v>1654</v>
      </c>
      <c r="C263" s="218">
        <v>46197</v>
      </c>
      <c r="D263" s="219" t="s">
        <v>1655</v>
      </c>
      <c r="E263" s="218">
        <v>46197</v>
      </c>
      <c r="F263" s="219" t="s">
        <v>1656</v>
      </c>
      <c r="G263" s="220" t="s">
        <v>143</v>
      </c>
      <c r="H263" s="221">
        <v>13870</v>
      </c>
      <c r="I263" s="221">
        <v>33110</v>
      </c>
      <c r="J263" s="221">
        <v>19240</v>
      </c>
    </row>
    <row r="264" spans="1:10" x14ac:dyDescent="0.3">
      <c r="A264" s="217">
        <v>260</v>
      </c>
      <c r="B264" s="217" t="s">
        <v>1657</v>
      </c>
      <c r="C264" s="218">
        <v>46197</v>
      </c>
      <c r="D264" s="219" t="s">
        <v>1658</v>
      </c>
      <c r="E264" s="218">
        <v>46197</v>
      </c>
      <c r="F264" s="219" t="s">
        <v>1659</v>
      </c>
      <c r="G264" s="220" t="s">
        <v>335</v>
      </c>
      <c r="H264" s="221">
        <v>13850</v>
      </c>
      <c r="I264" s="221">
        <v>33830</v>
      </c>
      <c r="J264" s="221">
        <v>19980</v>
      </c>
    </row>
    <row r="265" spans="1:10" x14ac:dyDescent="0.3">
      <c r="A265" s="217">
        <v>261</v>
      </c>
      <c r="B265" s="217" t="s">
        <v>1660</v>
      </c>
      <c r="C265" s="218">
        <v>46197</v>
      </c>
      <c r="D265" s="219" t="s">
        <v>1661</v>
      </c>
      <c r="E265" s="218">
        <v>46197</v>
      </c>
      <c r="F265" s="219" t="s">
        <v>892</v>
      </c>
      <c r="G265" s="220" t="s">
        <v>85</v>
      </c>
      <c r="H265" s="221">
        <v>13880</v>
      </c>
      <c r="I265" s="221">
        <v>33580</v>
      </c>
      <c r="J265" s="221">
        <v>19700</v>
      </c>
    </row>
    <row r="266" spans="1:10" x14ac:dyDescent="0.3">
      <c r="A266" s="217">
        <v>262</v>
      </c>
      <c r="B266" s="217" t="s">
        <v>1662</v>
      </c>
      <c r="C266" s="218">
        <v>46197</v>
      </c>
      <c r="D266" s="219" t="s">
        <v>1663</v>
      </c>
      <c r="E266" s="218">
        <v>46197</v>
      </c>
      <c r="F266" s="219" t="s">
        <v>1664</v>
      </c>
      <c r="G266" s="220" t="s">
        <v>55</v>
      </c>
      <c r="H266" s="221">
        <v>13870</v>
      </c>
      <c r="I266" s="221">
        <v>33550</v>
      </c>
      <c r="J266" s="221">
        <v>19680</v>
      </c>
    </row>
    <row r="267" spans="1:10" x14ac:dyDescent="0.3">
      <c r="A267" s="217">
        <v>263</v>
      </c>
      <c r="B267" s="217" t="s">
        <v>1665</v>
      </c>
      <c r="C267" s="218">
        <v>46197</v>
      </c>
      <c r="D267" s="219" t="s">
        <v>1666</v>
      </c>
      <c r="E267" s="218">
        <v>46197</v>
      </c>
      <c r="F267" s="219" t="s">
        <v>1667</v>
      </c>
      <c r="G267" s="220" t="s">
        <v>43</v>
      </c>
      <c r="H267" s="221">
        <v>14030</v>
      </c>
      <c r="I267" s="221">
        <v>33920</v>
      </c>
      <c r="J267" s="221">
        <v>19890</v>
      </c>
    </row>
    <row r="268" spans="1:10" x14ac:dyDescent="0.3">
      <c r="A268" s="217">
        <v>264</v>
      </c>
      <c r="B268" s="217" t="s">
        <v>1668</v>
      </c>
      <c r="C268" s="218">
        <v>46197</v>
      </c>
      <c r="D268" s="219" t="s">
        <v>1669</v>
      </c>
      <c r="E268" s="218">
        <v>46197</v>
      </c>
      <c r="F268" s="219" t="s">
        <v>1670</v>
      </c>
      <c r="G268" s="220" t="s">
        <v>336</v>
      </c>
      <c r="H268" s="221">
        <v>13950</v>
      </c>
      <c r="I268" s="221">
        <v>33840</v>
      </c>
      <c r="J268" s="221">
        <v>19890</v>
      </c>
    </row>
    <row r="269" spans="1:10" x14ac:dyDescent="0.3">
      <c r="A269" s="217">
        <v>265</v>
      </c>
      <c r="B269" s="217" t="s">
        <v>1671</v>
      </c>
      <c r="C269" s="218">
        <v>46197</v>
      </c>
      <c r="D269" s="219" t="s">
        <v>1672</v>
      </c>
      <c r="E269" s="218">
        <v>46197</v>
      </c>
      <c r="F269" s="219" t="s">
        <v>1673</v>
      </c>
      <c r="G269" s="220" t="s">
        <v>845</v>
      </c>
      <c r="H269" s="221">
        <v>13900</v>
      </c>
      <c r="I269" s="221">
        <v>33370</v>
      </c>
      <c r="J269" s="221">
        <v>19470</v>
      </c>
    </row>
    <row r="270" spans="1:10" x14ac:dyDescent="0.3">
      <c r="A270" s="217">
        <v>266</v>
      </c>
      <c r="B270" s="217" t="s">
        <v>1674</v>
      </c>
      <c r="C270" s="218">
        <v>46197</v>
      </c>
      <c r="D270" s="219" t="s">
        <v>1675</v>
      </c>
      <c r="E270" s="218">
        <v>46197</v>
      </c>
      <c r="F270" s="219" t="s">
        <v>1676</v>
      </c>
      <c r="G270" s="220" t="s">
        <v>76</v>
      </c>
      <c r="H270" s="221">
        <v>13950</v>
      </c>
      <c r="I270" s="221">
        <v>32580</v>
      </c>
      <c r="J270" s="221">
        <v>18630</v>
      </c>
    </row>
    <row r="271" spans="1:10" x14ac:dyDescent="0.3">
      <c r="A271" s="217">
        <v>267</v>
      </c>
      <c r="B271" s="217" t="s">
        <v>1677</v>
      </c>
      <c r="C271" s="218">
        <v>46197</v>
      </c>
      <c r="D271" s="219" t="s">
        <v>1678</v>
      </c>
      <c r="E271" s="218">
        <v>46197</v>
      </c>
      <c r="F271" s="219" t="s">
        <v>1679</v>
      </c>
      <c r="G271" s="220" t="s">
        <v>840</v>
      </c>
      <c r="H271" s="221">
        <v>13800</v>
      </c>
      <c r="I271" s="221">
        <v>32510</v>
      </c>
      <c r="J271" s="221">
        <v>18710</v>
      </c>
    </row>
    <row r="272" spans="1:10" x14ac:dyDescent="0.3">
      <c r="A272" s="217">
        <v>268</v>
      </c>
      <c r="B272" s="217" t="s">
        <v>1680</v>
      </c>
      <c r="C272" s="218">
        <v>46197</v>
      </c>
      <c r="D272" s="219" t="s">
        <v>1681</v>
      </c>
      <c r="E272" s="218">
        <v>46197</v>
      </c>
      <c r="F272" s="219" t="s">
        <v>1682</v>
      </c>
      <c r="G272" s="220" t="s">
        <v>842</v>
      </c>
      <c r="H272" s="221">
        <v>13960</v>
      </c>
      <c r="I272" s="221">
        <v>34670</v>
      </c>
      <c r="J272" s="221">
        <v>20710</v>
      </c>
    </row>
    <row r="273" spans="1:10" x14ac:dyDescent="0.3">
      <c r="A273" s="217">
        <v>269</v>
      </c>
      <c r="B273" s="217" t="s">
        <v>1683</v>
      </c>
      <c r="C273" s="218">
        <v>46197</v>
      </c>
      <c r="D273" s="219" t="s">
        <v>608</v>
      </c>
      <c r="E273" s="218">
        <v>46197</v>
      </c>
      <c r="F273" s="219" t="s">
        <v>1684</v>
      </c>
      <c r="G273" s="220" t="s">
        <v>337</v>
      </c>
      <c r="H273" s="221">
        <v>13850</v>
      </c>
      <c r="I273" s="221">
        <v>33710</v>
      </c>
      <c r="J273" s="221">
        <v>19860</v>
      </c>
    </row>
    <row r="274" spans="1:10" x14ac:dyDescent="0.3">
      <c r="A274" s="217">
        <v>270</v>
      </c>
      <c r="B274" s="217" t="s">
        <v>1685</v>
      </c>
      <c r="C274" s="218">
        <v>46197</v>
      </c>
      <c r="D274" s="219" t="s">
        <v>1686</v>
      </c>
      <c r="E274" s="218">
        <v>46197</v>
      </c>
      <c r="F274" s="219" t="s">
        <v>1687</v>
      </c>
      <c r="G274" s="220" t="s">
        <v>843</v>
      </c>
      <c r="H274" s="221">
        <v>14090</v>
      </c>
      <c r="I274" s="221">
        <v>33370</v>
      </c>
      <c r="J274" s="221">
        <v>19280</v>
      </c>
    </row>
    <row r="275" spans="1:10" x14ac:dyDescent="0.3">
      <c r="A275" s="217">
        <v>271</v>
      </c>
      <c r="B275" s="217" t="s">
        <v>1688</v>
      </c>
      <c r="C275" s="218">
        <v>46197</v>
      </c>
      <c r="D275" s="219" t="s">
        <v>1689</v>
      </c>
      <c r="E275" s="218">
        <v>46197</v>
      </c>
      <c r="F275" s="219" t="s">
        <v>1690</v>
      </c>
      <c r="G275" s="220" t="s">
        <v>80</v>
      </c>
      <c r="H275" s="221">
        <v>13870</v>
      </c>
      <c r="I275" s="221">
        <v>29340</v>
      </c>
      <c r="J275" s="221">
        <v>15470</v>
      </c>
    </row>
    <row r="276" spans="1:10" x14ac:dyDescent="0.3">
      <c r="A276" s="217">
        <v>272</v>
      </c>
      <c r="B276" s="217" t="s">
        <v>1691</v>
      </c>
      <c r="C276" s="218">
        <v>46197</v>
      </c>
      <c r="D276" s="219" t="s">
        <v>1692</v>
      </c>
      <c r="E276" s="218">
        <v>46197</v>
      </c>
      <c r="F276" s="219" t="s">
        <v>1693</v>
      </c>
      <c r="G276" s="220" t="s">
        <v>64</v>
      </c>
      <c r="H276" s="221">
        <v>13970</v>
      </c>
      <c r="I276" s="221">
        <v>30430</v>
      </c>
      <c r="J276" s="221">
        <v>16460</v>
      </c>
    </row>
    <row r="277" spans="1:10" x14ac:dyDescent="0.3">
      <c r="A277" s="217">
        <v>273</v>
      </c>
      <c r="B277" s="217" t="s">
        <v>1694</v>
      </c>
      <c r="C277" s="218">
        <v>46197</v>
      </c>
      <c r="D277" s="219" t="s">
        <v>1695</v>
      </c>
      <c r="E277" s="218">
        <v>46197</v>
      </c>
      <c r="F277" s="219" t="s">
        <v>1696</v>
      </c>
      <c r="G277" s="220" t="s">
        <v>90</v>
      </c>
      <c r="H277" s="221">
        <v>13720</v>
      </c>
      <c r="I277" s="221">
        <v>29860</v>
      </c>
      <c r="J277" s="221">
        <v>16140</v>
      </c>
    </row>
    <row r="278" spans="1:10" x14ac:dyDescent="0.3">
      <c r="A278" s="217">
        <v>274</v>
      </c>
      <c r="B278" s="217" t="s">
        <v>1697</v>
      </c>
      <c r="C278" s="218">
        <v>46197</v>
      </c>
      <c r="D278" s="219" t="s">
        <v>1698</v>
      </c>
      <c r="E278" s="218">
        <v>46197</v>
      </c>
      <c r="F278" s="219" t="s">
        <v>1699</v>
      </c>
      <c r="G278" s="220" t="s">
        <v>85</v>
      </c>
      <c r="H278" s="221">
        <v>13820</v>
      </c>
      <c r="I278" s="221">
        <v>31920</v>
      </c>
      <c r="J278" s="221">
        <v>18100</v>
      </c>
    </row>
    <row r="279" spans="1:10" x14ac:dyDescent="0.3">
      <c r="A279" s="217">
        <v>275</v>
      </c>
      <c r="B279" s="217" t="s">
        <v>1700</v>
      </c>
      <c r="C279" s="218">
        <v>46197</v>
      </c>
      <c r="D279" s="219" t="s">
        <v>1701</v>
      </c>
      <c r="E279" s="218">
        <v>46197</v>
      </c>
      <c r="F279" s="219" t="s">
        <v>1702</v>
      </c>
      <c r="G279" s="220" t="s">
        <v>43</v>
      </c>
      <c r="H279" s="221">
        <v>14010</v>
      </c>
      <c r="I279" s="221">
        <v>30760</v>
      </c>
      <c r="J279" s="221">
        <v>16750</v>
      </c>
    </row>
    <row r="280" spans="1:10" x14ac:dyDescent="0.3">
      <c r="A280" s="217">
        <v>276</v>
      </c>
      <c r="B280" s="217" t="s">
        <v>1703</v>
      </c>
      <c r="C280" s="218">
        <v>46197</v>
      </c>
      <c r="D280" s="219" t="s">
        <v>1704</v>
      </c>
      <c r="E280" s="218">
        <v>46197</v>
      </c>
      <c r="F280" s="219" t="s">
        <v>864</v>
      </c>
      <c r="G280" s="220" t="s">
        <v>55</v>
      </c>
      <c r="H280" s="221">
        <v>13820</v>
      </c>
      <c r="I280" s="221">
        <v>29420</v>
      </c>
      <c r="J280" s="221">
        <v>15600</v>
      </c>
    </row>
    <row r="281" spans="1:10" x14ac:dyDescent="0.3">
      <c r="A281" s="217">
        <v>277</v>
      </c>
      <c r="B281" s="217" t="s">
        <v>1705</v>
      </c>
      <c r="C281" s="218">
        <v>46197</v>
      </c>
      <c r="D281" s="219" t="s">
        <v>1706</v>
      </c>
      <c r="E281" s="218">
        <v>46197</v>
      </c>
      <c r="F281" s="219" t="s">
        <v>1707</v>
      </c>
      <c r="G281" s="220" t="s">
        <v>336</v>
      </c>
      <c r="H281" s="221">
        <v>14010</v>
      </c>
      <c r="I281" s="221">
        <v>30070</v>
      </c>
      <c r="J281" s="221">
        <v>16060</v>
      </c>
    </row>
    <row r="282" spans="1:10" x14ac:dyDescent="0.3">
      <c r="A282" s="217">
        <v>278</v>
      </c>
      <c r="B282" s="217" t="s">
        <v>1708</v>
      </c>
      <c r="C282" s="218">
        <v>46197</v>
      </c>
      <c r="D282" s="219" t="s">
        <v>1709</v>
      </c>
      <c r="E282" s="218">
        <v>46197</v>
      </c>
      <c r="F282" s="219" t="s">
        <v>1710</v>
      </c>
      <c r="G282" s="220" t="s">
        <v>845</v>
      </c>
      <c r="H282" s="221">
        <v>13860</v>
      </c>
      <c r="I282" s="221">
        <v>31500</v>
      </c>
      <c r="J282" s="221">
        <v>17640</v>
      </c>
    </row>
    <row r="283" spans="1:10" x14ac:dyDescent="0.3">
      <c r="A283" s="217">
        <v>279</v>
      </c>
      <c r="B283" s="217" t="s">
        <v>1711</v>
      </c>
      <c r="C283" s="218">
        <v>46197</v>
      </c>
      <c r="D283" s="219" t="s">
        <v>1712</v>
      </c>
      <c r="E283" s="218">
        <v>46197</v>
      </c>
      <c r="F283" s="219" t="s">
        <v>1713</v>
      </c>
      <c r="G283" s="220" t="s">
        <v>76</v>
      </c>
      <c r="H283" s="221">
        <v>13920</v>
      </c>
      <c r="I283" s="221">
        <v>31460</v>
      </c>
      <c r="J283" s="221">
        <v>17540</v>
      </c>
    </row>
    <row r="284" spans="1:10" x14ac:dyDescent="0.3">
      <c r="A284" s="217">
        <v>280</v>
      </c>
      <c r="B284" s="217" t="s">
        <v>1714</v>
      </c>
      <c r="C284" s="218">
        <v>46197</v>
      </c>
      <c r="D284" s="219" t="s">
        <v>1715</v>
      </c>
      <c r="E284" s="218">
        <v>46197</v>
      </c>
      <c r="F284" s="219" t="s">
        <v>1716</v>
      </c>
      <c r="G284" s="220" t="s">
        <v>840</v>
      </c>
      <c r="H284" s="221">
        <v>13780</v>
      </c>
      <c r="I284" s="221">
        <v>31470</v>
      </c>
      <c r="J284" s="221">
        <v>17690</v>
      </c>
    </row>
    <row r="285" spans="1:10" x14ac:dyDescent="0.3">
      <c r="A285" s="217">
        <v>281</v>
      </c>
      <c r="B285" s="217" t="s">
        <v>1717</v>
      </c>
      <c r="C285" s="218">
        <v>46197</v>
      </c>
      <c r="D285" s="219" t="s">
        <v>1718</v>
      </c>
      <c r="E285" s="218">
        <v>46197</v>
      </c>
      <c r="F285" s="219" t="s">
        <v>1719</v>
      </c>
      <c r="G285" s="220" t="s">
        <v>337</v>
      </c>
      <c r="H285" s="221">
        <v>13830</v>
      </c>
      <c r="I285" s="221">
        <v>30760</v>
      </c>
      <c r="J285" s="221">
        <v>16930</v>
      </c>
    </row>
    <row r="286" spans="1:10" x14ac:dyDescent="0.3">
      <c r="A286" s="217">
        <v>282</v>
      </c>
      <c r="B286" s="217" t="s">
        <v>1720</v>
      </c>
      <c r="C286" s="218">
        <v>46197</v>
      </c>
      <c r="D286" s="219" t="s">
        <v>1721</v>
      </c>
      <c r="E286" s="218">
        <v>46197</v>
      </c>
      <c r="F286" s="219" t="s">
        <v>1722</v>
      </c>
      <c r="G286" s="220" t="s">
        <v>842</v>
      </c>
      <c r="H286" s="221">
        <v>13930</v>
      </c>
      <c r="I286" s="221">
        <v>31620</v>
      </c>
      <c r="J286" s="221">
        <v>17690</v>
      </c>
    </row>
    <row r="287" spans="1:10" x14ac:dyDescent="0.3">
      <c r="A287" s="217">
        <v>283</v>
      </c>
      <c r="B287" s="217" t="s">
        <v>1723</v>
      </c>
      <c r="C287" s="218">
        <v>46197</v>
      </c>
      <c r="D287" s="219" t="s">
        <v>851</v>
      </c>
      <c r="E287" s="218">
        <v>46197</v>
      </c>
      <c r="F287" s="219" t="s">
        <v>1724</v>
      </c>
      <c r="G287" s="220" t="s">
        <v>843</v>
      </c>
      <c r="H287" s="221">
        <v>14060</v>
      </c>
      <c r="I287" s="221">
        <v>30730</v>
      </c>
      <c r="J287" s="221">
        <v>16670</v>
      </c>
    </row>
    <row r="288" spans="1:10" x14ac:dyDescent="0.3">
      <c r="A288" s="217">
        <v>284</v>
      </c>
      <c r="B288" s="217" t="s">
        <v>1725</v>
      </c>
      <c r="C288" s="218">
        <v>46197</v>
      </c>
      <c r="D288" s="219" t="s">
        <v>1726</v>
      </c>
      <c r="E288" s="218">
        <v>46197</v>
      </c>
      <c r="F288" s="219" t="s">
        <v>1727</v>
      </c>
      <c r="G288" s="220" t="s">
        <v>80</v>
      </c>
      <c r="H288" s="221">
        <v>13850</v>
      </c>
      <c r="I288" s="221">
        <v>31390</v>
      </c>
      <c r="J288" s="221">
        <v>17540</v>
      </c>
    </row>
    <row r="289" spans="1:10" x14ac:dyDescent="0.3">
      <c r="A289" s="217">
        <v>285</v>
      </c>
      <c r="B289" s="217" t="s">
        <v>1728</v>
      </c>
      <c r="C289" s="218">
        <v>46197</v>
      </c>
      <c r="D289" s="219" t="s">
        <v>1729</v>
      </c>
      <c r="E289" s="218">
        <v>46197</v>
      </c>
      <c r="F289" s="219" t="s">
        <v>1730</v>
      </c>
      <c r="G289" s="220" t="s">
        <v>64</v>
      </c>
      <c r="H289" s="221">
        <v>13930</v>
      </c>
      <c r="I289" s="221">
        <v>30340</v>
      </c>
      <c r="J289" s="221">
        <v>16410</v>
      </c>
    </row>
    <row r="290" spans="1:10" x14ac:dyDescent="0.3">
      <c r="A290" s="217">
        <v>286</v>
      </c>
      <c r="B290" s="217" t="s">
        <v>1731</v>
      </c>
      <c r="C290" s="218">
        <v>46197</v>
      </c>
      <c r="D290" s="219" t="s">
        <v>1732</v>
      </c>
      <c r="E290" s="218">
        <v>46197</v>
      </c>
      <c r="F290" s="219" t="s">
        <v>869</v>
      </c>
      <c r="G290" s="220" t="s">
        <v>143</v>
      </c>
      <c r="H290" s="221">
        <v>14100</v>
      </c>
      <c r="I290" s="221">
        <v>32110</v>
      </c>
      <c r="J290" s="221">
        <v>18010</v>
      </c>
    </row>
    <row r="291" spans="1:10" x14ac:dyDescent="0.3">
      <c r="A291" s="217">
        <v>287</v>
      </c>
      <c r="B291" s="217" t="s">
        <v>1733</v>
      </c>
      <c r="C291" s="218">
        <v>46197</v>
      </c>
      <c r="D291" s="219" t="s">
        <v>1734</v>
      </c>
      <c r="E291" s="218">
        <v>46197</v>
      </c>
      <c r="F291" s="219" t="s">
        <v>1735</v>
      </c>
      <c r="G291" s="220" t="s">
        <v>335</v>
      </c>
      <c r="H291" s="221">
        <v>13820</v>
      </c>
      <c r="I291" s="221">
        <v>31850</v>
      </c>
      <c r="J291" s="221">
        <v>18030</v>
      </c>
    </row>
    <row r="292" spans="1:10" x14ac:dyDescent="0.3">
      <c r="A292" s="217">
        <v>288</v>
      </c>
      <c r="B292" s="217" t="s">
        <v>1736</v>
      </c>
      <c r="C292" s="218">
        <v>46197</v>
      </c>
      <c r="D292" s="219" t="s">
        <v>1737</v>
      </c>
      <c r="E292" s="218">
        <v>46197</v>
      </c>
      <c r="F292" s="219" t="s">
        <v>1738</v>
      </c>
      <c r="G292" s="220" t="s">
        <v>85</v>
      </c>
      <c r="H292" s="221">
        <v>13770</v>
      </c>
      <c r="I292" s="221">
        <v>33120</v>
      </c>
      <c r="J292" s="221">
        <v>19350</v>
      </c>
    </row>
    <row r="293" spans="1:10" x14ac:dyDescent="0.3">
      <c r="A293" s="217">
        <v>289</v>
      </c>
      <c r="B293" s="217" t="s">
        <v>1739</v>
      </c>
      <c r="C293" s="218">
        <v>46197</v>
      </c>
      <c r="D293" s="219" t="s">
        <v>1740</v>
      </c>
      <c r="E293" s="218">
        <v>46197</v>
      </c>
      <c r="F293" s="219" t="s">
        <v>1741</v>
      </c>
      <c r="G293" s="220" t="s">
        <v>90</v>
      </c>
      <c r="H293" s="221">
        <v>13940</v>
      </c>
      <c r="I293" s="221">
        <v>32750</v>
      </c>
      <c r="J293" s="221">
        <v>18810</v>
      </c>
    </row>
    <row r="294" spans="1:10" x14ac:dyDescent="0.3">
      <c r="A294" s="217">
        <v>290</v>
      </c>
      <c r="B294" s="217" t="s">
        <v>1742</v>
      </c>
      <c r="C294" s="218">
        <v>46197</v>
      </c>
      <c r="D294" s="219" t="s">
        <v>1743</v>
      </c>
      <c r="E294" s="218">
        <v>46197</v>
      </c>
      <c r="F294" s="219" t="s">
        <v>1744</v>
      </c>
      <c r="G294" s="220" t="s">
        <v>43</v>
      </c>
      <c r="H294" s="221">
        <v>14080</v>
      </c>
      <c r="I294" s="221">
        <v>33180</v>
      </c>
      <c r="J294" s="221">
        <v>19100</v>
      </c>
    </row>
    <row r="295" spans="1:10" x14ac:dyDescent="0.3">
      <c r="A295" s="217">
        <v>291</v>
      </c>
      <c r="B295" s="217" t="s">
        <v>1745</v>
      </c>
      <c r="C295" s="218">
        <v>46197</v>
      </c>
      <c r="D295" s="219" t="s">
        <v>1746</v>
      </c>
      <c r="E295" s="218">
        <v>46197</v>
      </c>
      <c r="F295" s="219" t="s">
        <v>1747</v>
      </c>
      <c r="G295" s="220" t="s">
        <v>55</v>
      </c>
      <c r="H295" s="221">
        <v>13800</v>
      </c>
      <c r="I295" s="221">
        <v>32250</v>
      </c>
      <c r="J295" s="221">
        <v>18450</v>
      </c>
    </row>
    <row r="296" spans="1:10" x14ac:dyDescent="0.3">
      <c r="A296" s="217">
        <v>292</v>
      </c>
      <c r="B296" s="217" t="s">
        <v>1748</v>
      </c>
      <c r="C296" s="218">
        <v>46197</v>
      </c>
      <c r="D296" s="219" t="s">
        <v>1749</v>
      </c>
      <c r="E296" s="218">
        <v>46197</v>
      </c>
      <c r="F296" s="219" t="s">
        <v>1750</v>
      </c>
      <c r="G296" s="220" t="s">
        <v>336</v>
      </c>
      <c r="H296" s="221">
        <v>13990</v>
      </c>
      <c r="I296" s="221">
        <v>32550</v>
      </c>
      <c r="J296" s="221">
        <v>18560</v>
      </c>
    </row>
    <row r="297" spans="1:10" x14ac:dyDescent="0.3">
      <c r="A297" s="217">
        <v>293</v>
      </c>
      <c r="B297" s="217" t="s">
        <v>1751</v>
      </c>
      <c r="C297" s="218">
        <v>46197</v>
      </c>
      <c r="D297" s="219" t="s">
        <v>857</v>
      </c>
      <c r="E297" s="218">
        <v>46197</v>
      </c>
      <c r="F297" s="219" t="s">
        <v>1752</v>
      </c>
      <c r="G297" s="220" t="s">
        <v>76</v>
      </c>
      <c r="H297" s="221">
        <v>13880</v>
      </c>
      <c r="I297" s="221">
        <v>34450</v>
      </c>
      <c r="J297" s="221">
        <v>20570</v>
      </c>
    </row>
    <row r="298" spans="1:10" x14ac:dyDescent="0.3">
      <c r="A298" s="217">
        <v>294</v>
      </c>
      <c r="B298" s="217" t="s">
        <v>1753</v>
      </c>
      <c r="C298" s="218">
        <v>46197</v>
      </c>
      <c r="D298" s="219" t="s">
        <v>1754</v>
      </c>
      <c r="E298" s="218">
        <v>46197</v>
      </c>
      <c r="F298" s="219" t="s">
        <v>1755</v>
      </c>
      <c r="G298" s="220" t="s">
        <v>845</v>
      </c>
      <c r="H298" s="221">
        <v>13830</v>
      </c>
      <c r="I298" s="221">
        <v>34080</v>
      </c>
      <c r="J298" s="221">
        <v>20250</v>
      </c>
    </row>
    <row r="299" spans="1:10" x14ac:dyDescent="0.3">
      <c r="A299" s="217">
        <v>295</v>
      </c>
      <c r="B299" s="217" t="s">
        <v>1756</v>
      </c>
      <c r="C299" s="218">
        <v>46197</v>
      </c>
      <c r="D299" s="219" t="s">
        <v>1757</v>
      </c>
      <c r="E299" s="218">
        <v>46197</v>
      </c>
      <c r="F299" s="219" t="s">
        <v>1758</v>
      </c>
      <c r="G299" s="220" t="s">
        <v>840</v>
      </c>
      <c r="H299" s="221">
        <v>13760</v>
      </c>
      <c r="I299" s="221">
        <v>33910</v>
      </c>
      <c r="J299" s="221">
        <v>20150</v>
      </c>
    </row>
    <row r="300" spans="1:10" x14ac:dyDescent="0.3">
      <c r="A300" s="217">
        <v>296</v>
      </c>
      <c r="B300" s="217" t="s">
        <v>1759</v>
      </c>
      <c r="C300" s="218">
        <v>46197</v>
      </c>
      <c r="D300" s="219" t="s">
        <v>1760</v>
      </c>
      <c r="E300" s="218">
        <v>46197</v>
      </c>
      <c r="F300" s="219" t="s">
        <v>1761</v>
      </c>
      <c r="G300" s="220" t="s">
        <v>337</v>
      </c>
      <c r="H300" s="221">
        <v>13790</v>
      </c>
      <c r="I300" s="221">
        <v>33380</v>
      </c>
      <c r="J300" s="221">
        <v>19590</v>
      </c>
    </row>
    <row r="301" spans="1:10" x14ac:dyDescent="0.3">
      <c r="A301" s="217">
        <v>297</v>
      </c>
      <c r="B301" s="217" t="s">
        <v>1762</v>
      </c>
      <c r="C301" s="218">
        <v>46197</v>
      </c>
      <c r="D301" s="219" t="s">
        <v>1763</v>
      </c>
      <c r="E301" s="218">
        <v>46197</v>
      </c>
      <c r="F301" s="219" t="s">
        <v>1764</v>
      </c>
      <c r="G301" s="220" t="s">
        <v>842</v>
      </c>
      <c r="H301" s="221">
        <v>13910</v>
      </c>
      <c r="I301" s="221">
        <v>33610</v>
      </c>
      <c r="J301" s="221">
        <v>19700</v>
      </c>
    </row>
    <row r="302" spans="1:10" x14ac:dyDescent="0.3">
      <c r="A302" s="217">
        <v>298</v>
      </c>
      <c r="B302" s="217" t="s">
        <v>1765</v>
      </c>
      <c r="C302" s="218">
        <v>46197</v>
      </c>
      <c r="D302" s="219" t="s">
        <v>1055</v>
      </c>
      <c r="E302" s="218">
        <v>46197</v>
      </c>
      <c r="F302" s="219" t="s">
        <v>1766</v>
      </c>
      <c r="G302" s="220" t="s">
        <v>843</v>
      </c>
      <c r="H302" s="221">
        <v>14030</v>
      </c>
      <c r="I302" s="221">
        <v>32910</v>
      </c>
      <c r="J302" s="221">
        <v>18880</v>
      </c>
    </row>
    <row r="303" spans="1:10" x14ac:dyDescent="0.3">
      <c r="A303" s="217">
        <v>299</v>
      </c>
      <c r="B303" s="217" t="s">
        <v>1767</v>
      </c>
      <c r="C303" s="218">
        <v>46197</v>
      </c>
      <c r="D303" s="219" t="s">
        <v>1768</v>
      </c>
      <c r="E303" s="218">
        <v>46197</v>
      </c>
      <c r="F303" s="219" t="s">
        <v>1769</v>
      </c>
      <c r="G303" s="220" t="s">
        <v>80</v>
      </c>
      <c r="H303" s="221">
        <v>13820</v>
      </c>
      <c r="I303" s="221">
        <v>33640</v>
      </c>
      <c r="J303" s="221">
        <v>19820</v>
      </c>
    </row>
    <row r="304" spans="1:10" x14ac:dyDescent="0.3">
      <c r="A304" s="217">
        <v>300</v>
      </c>
      <c r="B304" s="217" t="s">
        <v>1770</v>
      </c>
      <c r="C304" s="218">
        <v>46197</v>
      </c>
      <c r="D304" s="219" t="s">
        <v>387</v>
      </c>
      <c r="E304" s="218">
        <v>46197</v>
      </c>
      <c r="F304" s="219" t="s">
        <v>1771</v>
      </c>
      <c r="G304" s="220" t="s">
        <v>64</v>
      </c>
      <c r="H304" s="221">
        <v>13910</v>
      </c>
      <c r="I304" s="221">
        <v>33050</v>
      </c>
      <c r="J304" s="221">
        <v>19140</v>
      </c>
    </row>
    <row r="305" spans="1:10" x14ac:dyDescent="0.3">
      <c r="A305" s="217">
        <v>301</v>
      </c>
      <c r="B305" s="217" t="s">
        <v>1772</v>
      </c>
      <c r="C305" s="218">
        <v>46197</v>
      </c>
      <c r="D305" s="219" t="s">
        <v>1773</v>
      </c>
      <c r="E305" s="218">
        <v>46197</v>
      </c>
      <c r="F305" s="219" t="s">
        <v>1774</v>
      </c>
      <c r="G305" s="220" t="s">
        <v>143</v>
      </c>
      <c r="H305" s="221">
        <v>13810</v>
      </c>
      <c r="I305" s="221">
        <v>33420</v>
      </c>
      <c r="J305" s="221">
        <v>19610</v>
      </c>
    </row>
    <row r="306" spans="1:10" x14ac:dyDescent="0.3">
      <c r="A306" s="217">
        <v>302</v>
      </c>
      <c r="B306" s="217" t="s">
        <v>1775</v>
      </c>
      <c r="C306" s="218">
        <v>46197</v>
      </c>
      <c r="D306" s="219" t="s">
        <v>1776</v>
      </c>
      <c r="E306" s="218">
        <v>46197</v>
      </c>
      <c r="F306" s="219" t="s">
        <v>1777</v>
      </c>
      <c r="G306" s="220" t="s">
        <v>335</v>
      </c>
      <c r="H306" s="221">
        <v>13780</v>
      </c>
      <c r="I306" s="221">
        <v>33700</v>
      </c>
      <c r="J306" s="221">
        <v>19920</v>
      </c>
    </row>
    <row r="307" spans="1:10" x14ac:dyDescent="0.3">
      <c r="A307" s="217">
        <v>303</v>
      </c>
      <c r="B307" s="217" t="s">
        <v>1778</v>
      </c>
      <c r="C307" s="218">
        <v>46197</v>
      </c>
      <c r="D307" s="219" t="s">
        <v>1779</v>
      </c>
      <c r="E307" s="218">
        <v>46197</v>
      </c>
      <c r="F307" s="219" t="s">
        <v>1780</v>
      </c>
      <c r="G307" s="220" t="s">
        <v>85</v>
      </c>
      <c r="H307" s="221">
        <v>13810</v>
      </c>
      <c r="I307" s="221">
        <v>32790</v>
      </c>
      <c r="J307" s="221">
        <v>18980</v>
      </c>
    </row>
    <row r="308" spans="1:10" x14ac:dyDescent="0.3">
      <c r="A308" s="217">
        <v>304</v>
      </c>
      <c r="B308" s="217" t="s">
        <v>1781</v>
      </c>
      <c r="C308" s="218">
        <v>46197</v>
      </c>
      <c r="D308" s="219" t="s">
        <v>1782</v>
      </c>
      <c r="E308" s="218">
        <v>46197</v>
      </c>
      <c r="F308" s="219" t="s">
        <v>1783</v>
      </c>
      <c r="G308" s="220" t="s">
        <v>43</v>
      </c>
      <c r="H308" s="221">
        <v>13960</v>
      </c>
      <c r="I308" s="221">
        <v>33600</v>
      </c>
      <c r="J308" s="221">
        <v>19640</v>
      </c>
    </row>
    <row r="309" spans="1:10" x14ac:dyDescent="0.3">
      <c r="A309" s="217">
        <v>305</v>
      </c>
      <c r="B309" s="217" t="s">
        <v>1784</v>
      </c>
      <c r="C309" s="218">
        <v>46197</v>
      </c>
      <c r="D309" s="219" t="s">
        <v>1785</v>
      </c>
      <c r="E309" s="218">
        <v>46197</v>
      </c>
      <c r="F309" s="219" t="s">
        <v>1786</v>
      </c>
      <c r="G309" s="220" t="s">
        <v>55</v>
      </c>
      <c r="H309" s="221">
        <v>13780</v>
      </c>
      <c r="I309" s="221">
        <v>33480</v>
      </c>
      <c r="J309" s="221">
        <v>19700</v>
      </c>
    </row>
    <row r="310" spans="1:10" x14ac:dyDescent="0.3">
      <c r="A310" s="217">
        <v>306</v>
      </c>
      <c r="B310" s="217" t="s">
        <v>1787</v>
      </c>
      <c r="C310" s="218">
        <v>46197</v>
      </c>
      <c r="D310" s="219" t="s">
        <v>1788</v>
      </c>
      <c r="E310" s="218">
        <v>46197</v>
      </c>
      <c r="F310" s="219" t="s">
        <v>1789</v>
      </c>
      <c r="G310" s="220" t="s">
        <v>90</v>
      </c>
      <c r="H310" s="221">
        <v>13910</v>
      </c>
      <c r="I310" s="221">
        <v>32740</v>
      </c>
      <c r="J310" s="221">
        <v>18830</v>
      </c>
    </row>
    <row r="311" spans="1:10" x14ac:dyDescent="0.3">
      <c r="A311" s="217">
        <v>307</v>
      </c>
      <c r="B311" s="217" t="s">
        <v>1790</v>
      </c>
      <c r="C311" s="218">
        <v>46197</v>
      </c>
      <c r="D311" s="219" t="s">
        <v>1791</v>
      </c>
      <c r="E311" s="218">
        <v>46197</v>
      </c>
      <c r="F311" s="219" t="s">
        <v>1792</v>
      </c>
      <c r="G311" s="220" t="s">
        <v>76</v>
      </c>
      <c r="H311" s="221">
        <v>13860</v>
      </c>
      <c r="I311" s="221">
        <v>33410</v>
      </c>
      <c r="J311" s="221">
        <v>19550</v>
      </c>
    </row>
    <row r="312" spans="1:10" x14ac:dyDescent="0.3">
      <c r="A312" s="217">
        <v>308</v>
      </c>
      <c r="B312" s="217" t="s">
        <v>1793</v>
      </c>
      <c r="C312" s="218">
        <v>46197</v>
      </c>
      <c r="D312" s="219" t="s">
        <v>1794</v>
      </c>
      <c r="E312" s="218">
        <v>46197</v>
      </c>
      <c r="F312" s="219" t="s">
        <v>1795</v>
      </c>
      <c r="G312" s="220" t="s">
        <v>845</v>
      </c>
      <c r="H312" s="221">
        <v>13840</v>
      </c>
      <c r="I312" s="221">
        <v>33550</v>
      </c>
      <c r="J312" s="221">
        <v>19710</v>
      </c>
    </row>
    <row r="313" spans="1:10" x14ac:dyDescent="0.3">
      <c r="A313" s="217">
        <v>309</v>
      </c>
      <c r="B313" s="217" t="s">
        <v>1796</v>
      </c>
      <c r="C313" s="218">
        <v>46197</v>
      </c>
      <c r="D313" s="219" t="s">
        <v>889</v>
      </c>
      <c r="E313" s="218">
        <v>46197</v>
      </c>
      <c r="F313" s="219" t="s">
        <v>1797</v>
      </c>
      <c r="G313" s="220" t="s">
        <v>840</v>
      </c>
      <c r="H313" s="221">
        <v>14060</v>
      </c>
      <c r="I313" s="221">
        <v>33950</v>
      </c>
      <c r="J313" s="221">
        <v>19890</v>
      </c>
    </row>
    <row r="314" spans="1:10" x14ac:dyDescent="0.3">
      <c r="A314" s="217">
        <v>310</v>
      </c>
      <c r="B314" s="217" t="s">
        <v>1798</v>
      </c>
      <c r="C314" s="218">
        <v>46197</v>
      </c>
      <c r="D314" s="219" t="s">
        <v>1799</v>
      </c>
      <c r="E314" s="218">
        <v>46197</v>
      </c>
      <c r="F314" s="219" t="s">
        <v>1800</v>
      </c>
      <c r="G314" s="220" t="s">
        <v>337</v>
      </c>
      <c r="H314" s="221">
        <v>13770</v>
      </c>
      <c r="I314" s="221">
        <v>32710</v>
      </c>
      <c r="J314" s="221">
        <v>18940</v>
      </c>
    </row>
    <row r="315" spans="1:10" x14ac:dyDescent="0.3">
      <c r="A315" s="217">
        <v>311</v>
      </c>
      <c r="B315" s="217" t="s">
        <v>1801</v>
      </c>
      <c r="C315" s="218">
        <v>46197</v>
      </c>
      <c r="D315" s="219" t="s">
        <v>1802</v>
      </c>
      <c r="E315" s="218">
        <v>46197</v>
      </c>
      <c r="F315" s="219" t="s">
        <v>1803</v>
      </c>
      <c r="G315" s="220" t="s">
        <v>842</v>
      </c>
      <c r="H315" s="221">
        <v>13890</v>
      </c>
      <c r="I315" s="221">
        <v>33770</v>
      </c>
      <c r="J315" s="221">
        <v>19880</v>
      </c>
    </row>
    <row r="316" spans="1:10" x14ac:dyDescent="0.3">
      <c r="A316" s="217">
        <v>312</v>
      </c>
      <c r="B316" s="217" t="s">
        <v>1804</v>
      </c>
      <c r="C316" s="218">
        <v>46197</v>
      </c>
      <c r="D316" s="219" t="s">
        <v>1805</v>
      </c>
      <c r="E316" s="218">
        <v>46197</v>
      </c>
      <c r="F316" s="219" t="s">
        <v>1806</v>
      </c>
      <c r="G316" s="220" t="s">
        <v>336</v>
      </c>
      <c r="H316" s="221">
        <v>13850</v>
      </c>
      <c r="I316" s="221">
        <v>32730</v>
      </c>
      <c r="J316" s="221">
        <v>18880</v>
      </c>
    </row>
    <row r="317" spans="1:10" x14ac:dyDescent="0.3">
      <c r="A317" s="217">
        <v>313</v>
      </c>
      <c r="B317" s="217" t="s">
        <v>1807</v>
      </c>
      <c r="C317" s="218">
        <v>46197</v>
      </c>
      <c r="D317" s="219" t="s">
        <v>1808</v>
      </c>
      <c r="E317" s="218">
        <v>46197</v>
      </c>
      <c r="F317" s="219" t="s">
        <v>1809</v>
      </c>
      <c r="G317" s="220" t="s">
        <v>64</v>
      </c>
      <c r="H317" s="221">
        <v>13910</v>
      </c>
      <c r="I317" s="221">
        <v>33820</v>
      </c>
      <c r="J317" s="221">
        <v>19910</v>
      </c>
    </row>
    <row r="318" spans="1:10" x14ac:dyDescent="0.3">
      <c r="A318" s="217">
        <v>314</v>
      </c>
      <c r="B318" s="217" t="s">
        <v>1810</v>
      </c>
      <c r="C318" s="218">
        <v>46197</v>
      </c>
      <c r="D318" s="219" t="s">
        <v>1811</v>
      </c>
      <c r="E318" s="218">
        <v>46197</v>
      </c>
      <c r="F318" s="219" t="s">
        <v>1812</v>
      </c>
      <c r="G318" s="220" t="s">
        <v>143</v>
      </c>
      <c r="H318" s="221">
        <v>13780</v>
      </c>
      <c r="I318" s="221">
        <v>32770</v>
      </c>
      <c r="J318" s="221">
        <v>18990</v>
      </c>
    </row>
    <row r="319" spans="1:10" x14ac:dyDescent="0.3">
      <c r="A319" s="217">
        <v>315</v>
      </c>
      <c r="B319" s="217" t="s">
        <v>1813</v>
      </c>
      <c r="C319" s="218">
        <v>46197</v>
      </c>
      <c r="D319" s="219" t="s">
        <v>1814</v>
      </c>
      <c r="E319" s="218">
        <v>46197</v>
      </c>
      <c r="F319" s="219" t="s">
        <v>1815</v>
      </c>
      <c r="G319" s="220" t="s">
        <v>335</v>
      </c>
      <c r="H319" s="221">
        <v>13790</v>
      </c>
      <c r="I319" s="221">
        <v>32980</v>
      </c>
      <c r="J319" s="221">
        <v>19190</v>
      </c>
    </row>
    <row r="320" spans="1:10" x14ac:dyDescent="0.3">
      <c r="A320" s="217">
        <v>316</v>
      </c>
      <c r="B320" s="217" t="s">
        <v>1816</v>
      </c>
      <c r="C320" s="218">
        <v>46197</v>
      </c>
      <c r="D320" s="219" t="s">
        <v>1817</v>
      </c>
      <c r="E320" s="218">
        <v>46197</v>
      </c>
      <c r="F320" s="219" t="s">
        <v>1818</v>
      </c>
      <c r="G320" s="220" t="s">
        <v>80</v>
      </c>
      <c r="H320" s="221">
        <v>14180</v>
      </c>
      <c r="I320" s="221">
        <v>33100</v>
      </c>
      <c r="J320" s="221">
        <v>18920</v>
      </c>
    </row>
    <row r="321" spans="1:10" x14ac:dyDescent="0.3">
      <c r="A321" s="217">
        <v>317</v>
      </c>
      <c r="B321" s="217" t="s">
        <v>1819</v>
      </c>
      <c r="C321" s="218">
        <v>46197</v>
      </c>
      <c r="D321" s="219" t="s">
        <v>1820</v>
      </c>
      <c r="E321" s="218">
        <v>46197</v>
      </c>
      <c r="F321" s="219" t="s">
        <v>1821</v>
      </c>
      <c r="G321" s="220" t="s">
        <v>85</v>
      </c>
      <c r="H321" s="221">
        <v>14000</v>
      </c>
      <c r="I321" s="221">
        <v>34050</v>
      </c>
      <c r="J321" s="221">
        <v>20050</v>
      </c>
    </row>
    <row r="322" spans="1:10" x14ac:dyDescent="0.3">
      <c r="A322" s="217">
        <v>318</v>
      </c>
      <c r="B322" s="217" t="s">
        <v>1822</v>
      </c>
      <c r="C322" s="218">
        <v>46197</v>
      </c>
      <c r="D322" s="219" t="s">
        <v>1823</v>
      </c>
      <c r="E322" s="218">
        <v>46197</v>
      </c>
      <c r="F322" s="219" t="s">
        <v>1824</v>
      </c>
      <c r="G322" s="220" t="s">
        <v>43</v>
      </c>
      <c r="H322" s="221">
        <v>13940</v>
      </c>
      <c r="I322" s="221">
        <v>33310</v>
      </c>
      <c r="J322" s="221">
        <v>19370</v>
      </c>
    </row>
    <row r="323" spans="1:10" x14ac:dyDescent="0.3">
      <c r="A323" s="217">
        <v>319</v>
      </c>
      <c r="B323" s="217" t="s">
        <v>1825</v>
      </c>
      <c r="C323" s="218">
        <v>46197</v>
      </c>
      <c r="D323" s="219" t="s">
        <v>1826</v>
      </c>
      <c r="E323" s="218">
        <v>46197</v>
      </c>
      <c r="F323" s="219" t="s">
        <v>1827</v>
      </c>
      <c r="G323" s="220" t="s">
        <v>90</v>
      </c>
      <c r="H323" s="221">
        <v>13890</v>
      </c>
      <c r="I323" s="221">
        <v>31890</v>
      </c>
      <c r="J323" s="221">
        <v>18000</v>
      </c>
    </row>
    <row r="324" spans="1:10" x14ac:dyDescent="0.3">
      <c r="A324" s="217">
        <v>320</v>
      </c>
      <c r="B324" s="217" t="s">
        <v>1828</v>
      </c>
      <c r="C324" s="218">
        <v>46197</v>
      </c>
      <c r="D324" s="219" t="s">
        <v>1829</v>
      </c>
      <c r="E324" s="218">
        <v>46197</v>
      </c>
      <c r="F324" s="219" t="s">
        <v>1830</v>
      </c>
      <c r="G324" s="220" t="s">
        <v>845</v>
      </c>
      <c r="H324" s="221">
        <v>13950</v>
      </c>
      <c r="I324" s="221">
        <v>34080</v>
      </c>
      <c r="J324" s="221">
        <v>20130</v>
      </c>
    </row>
    <row r="325" spans="1:10" x14ac:dyDescent="0.3">
      <c r="A325" s="217">
        <v>321</v>
      </c>
      <c r="B325" s="217" t="s">
        <v>1831</v>
      </c>
      <c r="C325" s="218">
        <v>46198</v>
      </c>
      <c r="D325" s="219" t="s">
        <v>1832</v>
      </c>
      <c r="E325" s="218">
        <v>46198</v>
      </c>
      <c r="F325" s="219" t="s">
        <v>1833</v>
      </c>
      <c r="G325" s="220" t="s">
        <v>76</v>
      </c>
      <c r="H325" s="221">
        <v>13830</v>
      </c>
      <c r="I325" s="221">
        <v>33440</v>
      </c>
      <c r="J325" s="221">
        <v>19610</v>
      </c>
    </row>
    <row r="326" spans="1:10" x14ac:dyDescent="0.3">
      <c r="A326" s="217">
        <v>322</v>
      </c>
      <c r="B326" s="217" t="s">
        <v>1834</v>
      </c>
      <c r="C326" s="218">
        <v>46198</v>
      </c>
      <c r="D326" s="219" t="s">
        <v>1835</v>
      </c>
      <c r="E326" s="218">
        <v>46198</v>
      </c>
      <c r="F326" s="219" t="s">
        <v>1836</v>
      </c>
      <c r="G326" s="220" t="s">
        <v>840</v>
      </c>
      <c r="H326" s="221">
        <v>14030</v>
      </c>
      <c r="I326" s="221">
        <v>33730</v>
      </c>
      <c r="J326" s="221">
        <v>19700</v>
      </c>
    </row>
    <row r="327" spans="1:10" x14ac:dyDescent="0.3">
      <c r="A327" s="217">
        <v>323</v>
      </c>
      <c r="B327" s="217" t="s">
        <v>1837</v>
      </c>
      <c r="C327" s="218">
        <v>46198</v>
      </c>
      <c r="D327" s="219" t="s">
        <v>1838</v>
      </c>
      <c r="E327" s="218">
        <v>46198</v>
      </c>
      <c r="F327" s="219" t="s">
        <v>1839</v>
      </c>
      <c r="G327" s="220" t="s">
        <v>842</v>
      </c>
      <c r="H327" s="221">
        <v>13850</v>
      </c>
      <c r="I327" s="221">
        <v>32840</v>
      </c>
      <c r="J327" s="221">
        <v>18990</v>
      </c>
    </row>
    <row r="328" spans="1:10" x14ac:dyDescent="0.3">
      <c r="A328" s="217">
        <v>324</v>
      </c>
      <c r="B328" s="217" t="s">
        <v>1840</v>
      </c>
      <c r="C328" s="218">
        <v>46198</v>
      </c>
      <c r="D328" s="219" t="s">
        <v>1841</v>
      </c>
      <c r="E328" s="218">
        <v>46198</v>
      </c>
      <c r="F328" s="219" t="s">
        <v>1842</v>
      </c>
      <c r="G328" s="220" t="s">
        <v>80</v>
      </c>
      <c r="H328" s="221">
        <v>14140</v>
      </c>
      <c r="I328" s="221">
        <v>33310</v>
      </c>
      <c r="J328" s="221">
        <v>19170</v>
      </c>
    </row>
    <row r="329" spans="1:10" x14ac:dyDescent="0.3">
      <c r="A329" s="217">
        <v>325</v>
      </c>
      <c r="B329" s="217" t="s">
        <v>1843</v>
      </c>
      <c r="C329" s="218">
        <v>46198</v>
      </c>
      <c r="D329" s="219" t="s">
        <v>882</v>
      </c>
      <c r="E329" s="218">
        <v>46198</v>
      </c>
      <c r="F329" s="219" t="s">
        <v>1844</v>
      </c>
      <c r="G329" s="220" t="s">
        <v>43</v>
      </c>
      <c r="H329" s="221">
        <v>13910</v>
      </c>
      <c r="I329" s="221">
        <v>34350</v>
      </c>
      <c r="J329" s="221">
        <v>20440</v>
      </c>
    </row>
    <row r="330" spans="1:10" x14ac:dyDescent="0.3">
      <c r="A330" s="217">
        <v>326</v>
      </c>
      <c r="B330" s="217" t="s">
        <v>1845</v>
      </c>
      <c r="C330" s="218">
        <v>46198</v>
      </c>
      <c r="D330" s="219" t="s">
        <v>1846</v>
      </c>
      <c r="E330" s="218">
        <v>46198</v>
      </c>
      <c r="F330" s="219" t="s">
        <v>1847</v>
      </c>
      <c r="G330" s="220" t="s">
        <v>85</v>
      </c>
      <c r="H330" s="221">
        <v>13910</v>
      </c>
      <c r="I330" s="221">
        <v>32310</v>
      </c>
      <c r="J330" s="221">
        <v>18400</v>
      </c>
    </row>
    <row r="331" spans="1:10" x14ac:dyDescent="0.3">
      <c r="A331" s="217">
        <v>327</v>
      </c>
      <c r="B331" s="217" t="s">
        <v>1848</v>
      </c>
      <c r="C331" s="218">
        <v>46198</v>
      </c>
      <c r="D331" s="219" t="s">
        <v>1849</v>
      </c>
      <c r="E331" s="218">
        <v>46198</v>
      </c>
      <c r="F331" s="219" t="s">
        <v>1850</v>
      </c>
      <c r="G331" s="220" t="s">
        <v>335</v>
      </c>
      <c r="H331" s="221">
        <v>13720</v>
      </c>
      <c r="I331" s="221">
        <v>33220</v>
      </c>
      <c r="J331" s="221">
        <v>19500</v>
      </c>
    </row>
    <row r="332" spans="1:10" x14ac:dyDescent="0.3">
      <c r="A332" s="217">
        <v>328</v>
      </c>
      <c r="B332" s="217" t="s">
        <v>1851</v>
      </c>
      <c r="C332" s="218">
        <v>46198</v>
      </c>
      <c r="D332" s="219" t="s">
        <v>1852</v>
      </c>
      <c r="E332" s="218">
        <v>46198</v>
      </c>
      <c r="F332" s="219" t="s">
        <v>1853</v>
      </c>
      <c r="G332" s="220" t="s">
        <v>843</v>
      </c>
      <c r="H332" s="221">
        <v>13970</v>
      </c>
      <c r="I332" s="221">
        <v>32990</v>
      </c>
      <c r="J332" s="221">
        <v>19020</v>
      </c>
    </row>
    <row r="333" spans="1:10" x14ac:dyDescent="0.3">
      <c r="A333" s="217">
        <v>329</v>
      </c>
      <c r="B333" s="217" t="s">
        <v>1854</v>
      </c>
      <c r="C333" s="218">
        <v>46198</v>
      </c>
      <c r="D333" s="219" t="s">
        <v>1855</v>
      </c>
      <c r="E333" s="218">
        <v>46198</v>
      </c>
      <c r="F333" s="219" t="s">
        <v>1856</v>
      </c>
      <c r="G333" s="220" t="s">
        <v>64</v>
      </c>
      <c r="H333" s="221">
        <v>13820</v>
      </c>
      <c r="I333" s="221">
        <v>33590</v>
      </c>
      <c r="J333" s="221">
        <v>19770</v>
      </c>
    </row>
    <row r="334" spans="1:10" x14ac:dyDescent="0.3">
      <c r="A334" s="217">
        <v>330</v>
      </c>
      <c r="B334" s="217" t="s">
        <v>1857</v>
      </c>
      <c r="C334" s="218">
        <v>46198</v>
      </c>
      <c r="D334" s="219" t="s">
        <v>1858</v>
      </c>
      <c r="E334" s="218">
        <v>46198</v>
      </c>
      <c r="F334" s="219" t="s">
        <v>1859</v>
      </c>
      <c r="G334" s="220" t="s">
        <v>336</v>
      </c>
      <c r="H334" s="221">
        <v>13770</v>
      </c>
      <c r="I334" s="221">
        <v>33240</v>
      </c>
      <c r="J334" s="221">
        <v>19470</v>
      </c>
    </row>
    <row r="335" spans="1:10" x14ac:dyDescent="0.3">
      <c r="A335" s="217">
        <v>331</v>
      </c>
      <c r="B335" s="217" t="s">
        <v>1860</v>
      </c>
      <c r="C335" s="218">
        <v>46198</v>
      </c>
      <c r="D335" s="219" t="s">
        <v>1861</v>
      </c>
      <c r="E335" s="218">
        <v>46198</v>
      </c>
      <c r="F335" s="219" t="s">
        <v>672</v>
      </c>
      <c r="G335" s="220" t="s">
        <v>90</v>
      </c>
      <c r="H335" s="221">
        <v>13820</v>
      </c>
      <c r="I335" s="221">
        <v>34190</v>
      </c>
      <c r="J335" s="221">
        <v>20370</v>
      </c>
    </row>
    <row r="336" spans="1:10" x14ac:dyDescent="0.3">
      <c r="A336" s="217">
        <v>332</v>
      </c>
      <c r="B336" s="217" t="s">
        <v>1862</v>
      </c>
      <c r="C336" s="218">
        <v>46198</v>
      </c>
      <c r="D336" s="219" t="s">
        <v>1863</v>
      </c>
      <c r="E336" s="218">
        <v>46198</v>
      </c>
      <c r="F336" s="219" t="s">
        <v>1864</v>
      </c>
      <c r="G336" s="220" t="s">
        <v>55</v>
      </c>
      <c r="H336" s="221">
        <v>13740</v>
      </c>
      <c r="I336" s="221">
        <v>33340</v>
      </c>
      <c r="J336" s="221">
        <v>19600</v>
      </c>
    </row>
    <row r="337" spans="1:10" x14ac:dyDescent="0.3">
      <c r="A337" s="217">
        <v>333</v>
      </c>
      <c r="B337" s="217" t="s">
        <v>1865</v>
      </c>
      <c r="C337" s="218">
        <v>46198</v>
      </c>
      <c r="D337" s="219" t="s">
        <v>1866</v>
      </c>
      <c r="E337" s="218">
        <v>46198</v>
      </c>
      <c r="F337" s="219" t="s">
        <v>1867</v>
      </c>
      <c r="G337" s="220" t="s">
        <v>337</v>
      </c>
      <c r="H337" s="221">
        <v>13830</v>
      </c>
      <c r="I337" s="221">
        <v>33400</v>
      </c>
      <c r="J337" s="221">
        <v>19570</v>
      </c>
    </row>
    <row r="338" spans="1:10" x14ac:dyDescent="0.3">
      <c r="A338" s="217">
        <v>334</v>
      </c>
      <c r="B338" s="217" t="s">
        <v>1868</v>
      </c>
      <c r="C338" s="218">
        <v>46198</v>
      </c>
      <c r="D338" s="219" t="s">
        <v>1869</v>
      </c>
      <c r="E338" s="218">
        <v>46198</v>
      </c>
      <c r="F338" s="219" t="s">
        <v>1870</v>
      </c>
      <c r="G338" s="220" t="s">
        <v>845</v>
      </c>
      <c r="H338" s="221">
        <v>13950</v>
      </c>
      <c r="I338" s="221">
        <v>33780</v>
      </c>
      <c r="J338" s="221">
        <v>19830</v>
      </c>
    </row>
    <row r="339" spans="1:10" x14ac:dyDescent="0.3">
      <c r="A339" s="217">
        <v>335</v>
      </c>
      <c r="B339" s="217" t="s">
        <v>1871</v>
      </c>
      <c r="C339" s="218">
        <v>46198</v>
      </c>
      <c r="D339" s="219" t="s">
        <v>1872</v>
      </c>
      <c r="E339" s="218">
        <v>46198</v>
      </c>
      <c r="F339" s="219" t="s">
        <v>1873</v>
      </c>
      <c r="G339" s="220" t="s">
        <v>143</v>
      </c>
      <c r="H339" s="221">
        <v>13720</v>
      </c>
      <c r="I339" s="221">
        <v>33470</v>
      </c>
      <c r="J339" s="221">
        <v>19750</v>
      </c>
    </row>
    <row r="340" spans="1:10" x14ac:dyDescent="0.3">
      <c r="A340" s="217">
        <v>336</v>
      </c>
      <c r="B340" s="217" t="s">
        <v>1874</v>
      </c>
      <c r="C340" s="218">
        <v>46198</v>
      </c>
      <c r="D340" s="219" t="s">
        <v>1875</v>
      </c>
      <c r="E340" s="218">
        <v>46198</v>
      </c>
      <c r="F340" s="219" t="s">
        <v>867</v>
      </c>
      <c r="G340" s="220" t="s">
        <v>76</v>
      </c>
      <c r="H340" s="221">
        <v>13790</v>
      </c>
      <c r="I340" s="221">
        <v>34220</v>
      </c>
      <c r="J340" s="221">
        <v>20430</v>
      </c>
    </row>
    <row r="341" spans="1:10" x14ac:dyDescent="0.3">
      <c r="A341" s="217">
        <v>337</v>
      </c>
      <c r="B341" s="217" t="s">
        <v>1876</v>
      </c>
      <c r="C341" s="218">
        <v>46198</v>
      </c>
      <c r="D341" s="219" t="s">
        <v>1877</v>
      </c>
      <c r="E341" s="218">
        <v>46198</v>
      </c>
      <c r="F341" s="219" t="s">
        <v>1878</v>
      </c>
      <c r="G341" s="220" t="s">
        <v>840</v>
      </c>
      <c r="H341" s="221">
        <v>13990</v>
      </c>
      <c r="I341" s="221">
        <v>34270</v>
      </c>
      <c r="J341" s="221">
        <v>20280</v>
      </c>
    </row>
    <row r="342" spans="1:10" x14ac:dyDescent="0.3">
      <c r="A342" s="217">
        <v>338</v>
      </c>
      <c r="B342" s="217" t="s">
        <v>1879</v>
      </c>
      <c r="C342" s="218">
        <v>46198</v>
      </c>
      <c r="D342" s="219" t="s">
        <v>1880</v>
      </c>
      <c r="E342" s="218">
        <v>46198</v>
      </c>
      <c r="F342" s="219" t="s">
        <v>1881</v>
      </c>
      <c r="G342" s="220" t="s">
        <v>842</v>
      </c>
      <c r="H342" s="221">
        <v>13890</v>
      </c>
      <c r="I342" s="221">
        <v>33080</v>
      </c>
      <c r="J342" s="221">
        <v>19190</v>
      </c>
    </row>
    <row r="343" spans="1:10" x14ac:dyDescent="0.3">
      <c r="A343" s="217">
        <v>339</v>
      </c>
      <c r="B343" s="217" t="s">
        <v>1882</v>
      </c>
      <c r="C343" s="218">
        <v>46198</v>
      </c>
      <c r="D343" s="219" t="s">
        <v>1883</v>
      </c>
      <c r="E343" s="218">
        <v>46198</v>
      </c>
      <c r="F343" s="219" t="s">
        <v>1884</v>
      </c>
      <c r="G343" s="220" t="s">
        <v>80</v>
      </c>
      <c r="H343" s="221">
        <v>14110</v>
      </c>
      <c r="I343" s="221">
        <v>32860</v>
      </c>
      <c r="J343" s="221">
        <v>18750</v>
      </c>
    </row>
    <row r="344" spans="1:10" x14ac:dyDescent="0.3">
      <c r="A344" s="217">
        <v>340</v>
      </c>
      <c r="B344" s="217" t="s">
        <v>1885</v>
      </c>
      <c r="C344" s="218">
        <v>46198</v>
      </c>
      <c r="D344" s="219" t="s">
        <v>1886</v>
      </c>
      <c r="E344" s="218">
        <v>46198</v>
      </c>
      <c r="F344" s="219" t="s">
        <v>1887</v>
      </c>
      <c r="G344" s="220" t="s">
        <v>43</v>
      </c>
      <c r="H344" s="221">
        <v>13810</v>
      </c>
      <c r="I344" s="221">
        <v>32590</v>
      </c>
      <c r="J344" s="221">
        <v>18780</v>
      </c>
    </row>
    <row r="345" spans="1:10" x14ac:dyDescent="0.3">
      <c r="A345" s="217">
        <v>341</v>
      </c>
      <c r="B345" s="217" t="s">
        <v>1888</v>
      </c>
      <c r="C345" s="218">
        <v>46198</v>
      </c>
      <c r="D345" s="219" t="s">
        <v>1889</v>
      </c>
      <c r="E345" s="218">
        <v>46198</v>
      </c>
      <c r="F345" s="219" t="s">
        <v>859</v>
      </c>
      <c r="G345" s="220" t="s">
        <v>336</v>
      </c>
      <c r="H345" s="221">
        <v>13750</v>
      </c>
      <c r="I345" s="221">
        <v>33660</v>
      </c>
      <c r="J345" s="221">
        <v>19910</v>
      </c>
    </row>
    <row r="346" spans="1:10" x14ac:dyDescent="0.3">
      <c r="A346" s="217">
        <v>342</v>
      </c>
      <c r="B346" s="217" t="s">
        <v>1890</v>
      </c>
      <c r="C346" s="218">
        <v>46198</v>
      </c>
      <c r="D346" s="219" t="s">
        <v>1891</v>
      </c>
      <c r="E346" s="218">
        <v>46198</v>
      </c>
      <c r="F346" s="219" t="s">
        <v>1892</v>
      </c>
      <c r="G346" s="220" t="s">
        <v>85</v>
      </c>
      <c r="H346" s="221">
        <v>13920</v>
      </c>
      <c r="I346" s="221">
        <v>33640</v>
      </c>
      <c r="J346" s="221">
        <v>19720</v>
      </c>
    </row>
    <row r="347" spans="1:10" x14ac:dyDescent="0.3">
      <c r="A347" s="217">
        <v>343</v>
      </c>
      <c r="B347" s="217" t="s">
        <v>1893</v>
      </c>
      <c r="C347" s="218">
        <v>46198</v>
      </c>
      <c r="D347" s="219" t="s">
        <v>1894</v>
      </c>
      <c r="E347" s="218">
        <v>46198</v>
      </c>
      <c r="F347" s="219" t="s">
        <v>1895</v>
      </c>
      <c r="G347" s="220" t="s">
        <v>64</v>
      </c>
      <c r="H347" s="221">
        <v>13800</v>
      </c>
      <c r="I347" s="221">
        <v>32260</v>
      </c>
      <c r="J347" s="221">
        <v>18460</v>
      </c>
    </row>
    <row r="348" spans="1:10" x14ac:dyDescent="0.3">
      <c r="A348" s="217">
        <v>344</v>
      </c>
      <c r="B348" s="217" t="s">
        <v>1896</v>
      </c>
      <c r="C348" s="218">
        <v>46198</v>
      </c>
      <c r="D348" s="219" t="s">
        <v>1897</v>
      </c>
      <c r="E348" s="218">
        <v>46198</v>
      </c>
      <c r="F348" s="219" t="s">
        <v>1898</v>
      </c>
      <c r="G348" s="220" t="s">
        <v>843</v>
      </c>
      <c r="H348" s="221">
        <v>13910</v>
      </c>
      <c r="I348" s="221">
        <v>33350</v>
      </c>
      <c r="J348" s="221">
        <v>19440</v>
      </c>
    </row>
    <row r="349" spans="1:10" x14ac:dyDescent="0.3">
      <c r="A349" s="217">
        <v>345</v>
      </c>
      <c r="B349" s="217" t="s">
        <v>1899</v>
      </c>
      <c r="C349" s="218">
        <v>46198</v>
      </c>
      <c r="D349" s="219" t="s">
        <v>1900</v>
      </c>
      <c r="E349" s="218">
        <v>46198</v>
      </c>
      <c r="F349" s="219" t="s">
        <v>1901</v>
      </c>
      <c r="G349" s="220" t="s">
        <v>335</v>
      </c>
      <c r="H349" s="221">
        <v>13840</v>
      </c>
      <c r="I349" s="221">
        <v>32490</v>
      </c>
      <c r="J349" s="221">
        <v>18650</v>
      </c>
    </row>
    <row r="350" spans="1:10" x14ac:dyDescent="0.3">
      <c r="A350" s="217">
        <v>346</v>
      </c>
      <c r="B350" s="217" t="s">
        <v>1902</v>
      </c>
      <c r="C350" s="218">
        <v>46198</v>
      </c>
      <c r="D350" s="219" t="s">
        <v>1903</v>
      </c>
      <c r="E350" s="218">
        <v>46198</v>
      </c>
      <c r="F350" s="219" t="s">
        <v>1904</v>
      </c>
      <c r="G350" s="220" t="s">
        <v>337</v>
      </c>
      <c r="H350" s="221">
        <v>13660</v>
      </c>
      <c r="I350" s="221">
        <v>31670</v>
      </c>
      <c r="J350" s="221">
        <v>18010</v>
      </c>
    </row>
    <row r="351" spans="1:10" x14ac:dyDescent="0.3">
      <c r="A351" s="217">
        <v>347</v>
      </c>
      <c r="B351" s="217" t="s">
        <v>1905</v>
      </c>
      <c r="C351" s="218">
        <v>46198</v>
      </c>
      <c r="D351" s="219" t="s">
        <v>1906</v>
      </c>
      <c r="E351" s="218">
        <v>46198</v>
      </c>
      <c r="F351" s="219" t="s">
        <v>1907</v>
      </c>
      <c r="G351" s="220" t="s">
        <v>55</v>
      </c>
      <c r="H351" s="221">
        <v>13710</v>
      </c>
      <c r="I351" s="221">
        <v>31940</v>
      </c>
      <c r="J351" s="221">
        <v>18230</v>
      </c>
    </row>
    <row r="352" spans="1:10" x14ac:dyDescent="0.3">
      <c r="A352" s="217">
        <v>348</v>
      </c>
      <c r="B352" s="217" t="s">
        <v>1908</v>
      </c>
      <c r="C352" s="218">
        <v>46198</v>
      </c>
      <c r="D352" s="219" t="s">
        <v>1909</v>
      </c>
      <c r="E352" s="218">
        <v>46198</v>
      </c>
      <c r="F352" s="219" t="s">
        <v>1910</v>
      </c>
      <c r="G352" s="220" t="s">
        <v>845</v>
      </c>
      <c r="H352" s="221">
        <v>13860</v>
      </c>
      <c r="I352" s="221">
        <v>31010</v>
      </c>
      <c r="J352" s="221">
        <v>17150</v>
      </c>
    </row>
    <row r="353" spans="1:10" x14ac:dyDescent="0.3">
      <c r="A353" s="217">
        <v>349</v>
      </c>
      <c r="B353" s="217" t="s">
        <v>1911</v>
      </c>
      <c r="C353" s="218">
        <v>46198</v>
      </c>
      <c r="D353" s="219" t="s">
        <v>1912</v>
      </c>
      <c r="E353" s="218">
        <v>46198</v>
      </c>
      <c r="F353" s="219" t="s">
        <v>1913</v>
      </c>
      <c r="G353" s="220" t="s">
        <v>143</v>
      </c>
      <c r="H353" s="221">
        <v>13750</v>
      </c>
      <c r="I353" s="221">
        <v>31200</v>
      </c>
      <c r="J353" s="221">
        <v>17450</v>
      </c>
    </row>
    <row r="354" spans="1:10" x14ac:dyDescent="0.3">
      <c r="A354" s="217">
        <v>350</v>
      </c>
      <c r="B354" s="217" t="s">
        <v>1914</v>
      </c>
      <c r="C354" s="218">
        <v>46198</v>
      </c>
      <c r="D354" s="219" t="s">
        <v>1915</v>
      </c>
      <c r="E354" s="218">
        <v>46198</v>
      </c>
      <c r="F354" s="219" t="s">
        <v>1916</v>
      </c>
      <c r="G354" s="220" t="s">
        <v>76</v>
      </c>
      <c r="H354" s="221">
        <v>13760</v>
      </c>
      <c r="I354" s="221">
        <v>31240</v>
      </c>
      <c r="J354" s="221">
        <v>17480</v>
      </c>
    </row>
    <row r="355" spans="1:10" x14ac:dyDescent="0.3">
      <c r="A355" s="217">
        <v>351</v>
      </c>
      <c r="B355" s="217" t="s">
        <v>1917</v>
      </c>
      <c r="C355" s="218">
        <v>46198</v>
      </c>
      <c r="D355" s="219" t="s">
        <v>1918</v>
      </c>
      <c r="E355" s="218">
        <v>46198</v>
      </c>
      <c r="F355" s="219" t="s">
        <v>1919</v>
      </c>
      <c r="G355" s="220" t="s">
        <v>840</v>
      </c>
      <c r="H355" s="221">
        <v>13960</v>
      </c>
      <c r="I355" s="221">
        <v>30690</v>
      </c>
      <c r="J355" s="221">
        <v>16730</v>
      </c>
    </row>
    <row r="356" spans="1:10" x14ac:dyDescent="0.3">
      <c r="A356" s="217">
        <v>352</v>
      </c>
      <c r="B356" s="217" t="s">
        <v>1920</v>
      </c>
      <c r="C356" s="218">
        <v>46198</v>
      </c>
      <c r="D356" s="219" t="s">
        <v>1921</v>
      </c>
      <c r="E356" s="218">
        <v>46198</v>
      </c>
      <c r="F356" s="219" t="s">
        <v>1922</v>
      </c>
      <c r="G356" s="220" t="s">
        <v>842</v>
      </c>
      <c r="H356" s="221">
        <v>13790</v>
      </c>
      <c r="I356" s="221">
        <v>33680</v>
      </c>
      <c r="J356" s="221">
        <v>19890</v>
      </c>
    </row>
    <row r="357" spans="1:10" x14ac:dyDescent="0.3">
      <c r="A357" s="217">
        <v>353</v>
      </c>
      <c r="B357" s="217" t="s">
        <v>1923</v>
      </c>
      <c r="C357" s="218">
        <v>46198</v>
      </c>
      <c r="D357" s="219" t="s">
        <v>1924</v>
      </c>
      <c r="E357" s="218">
        <v>46198</v>
      </c>
      <c r="F357" s="219" t="s">
        <v>863</v>
      </c>
      <c r="G357" s="220" t="s">
        <v>80</v>
      </c>
      <c r="H357" s="221">
        <v>14000</v>
      </c>
      <c r="I357" s="221">
        <v>33580</v>
      </c>
      <c r="J357" s="221">
        <v>19580</v>
      </c>
    </row>
    <row r="358" spans="1:10" x14ac:dyDescent="0.3">
      <c r="A358" s="217">
        <v>354</v>
      </c>
      <c r="B358" s="217" t="s">
        <v>1925</v>
      </c>
      <c r="C358" s="218">
        <v>46198</v>
      </c>
      <c r="D358" s="219" t="s">
        <v>1926</v>
      </c>
      <c r="E358" s="218">
        <v>46198</v>
      </c>
      <c r="F358" s="219" t="s">
        <v>1927</v>
      </c>
      <c r="G358" s="220" t="s">
        <v>43</v>
      </c>
      <c r="H358" s="221">
        <v>13860</v>
      </c>
      <c r="I358" s="221">
        <v>33300</v>
      </c>
      <c r="J358" s="221">
        <v>19440</v>
      </c>
    </row>
    <row r="359" spans="1:10" x14ac:dyDescent="0.3">
      <c r="A359" s="217">
        <v>355</v>
      </c>
      <c r="B359" s="217" t="s">
        <v>1928</v>
      </c>
      <c r="C359" s="218">
        <v>46198</v>
      </c>
      <c r="D359" s="219" t="s">
        <v>1929</v>
      </c>
      <c r="E359" s="218">
        <v>46198</v>
      </c>
      <c r="F359" s="219" t="s">
        <v>1930</v>
      </c>
      <c r="G359" s="220" t="s">
        <v>90</v>
      </c>
      <c r="H359" s="221">
        <v>13810</v>
      </c>
      <c r="I359" s="221">
        <v>33240</v>
      </c>
      <c r="J359" s="221">
        <v>19430</v>
      </c>
    </row>
    <row r="360" spans="1:10" x14ac:dyDescent="0.3">
      <c r="A360" s="217">
        <v>356</v>
      </c>
      <c r="B360" s="217" t="s">
        <v>1931</v>
      </c>
      <c r="C360" s="218">
        <v>46198</v>
      </c>
      <c r="D360" s="219" t="s">
        <v>1932</v>
      </c>
      <c r="E360" s="218">
        <v>46198</v>
      </c>
      <c r="F360" s="219" t="s">
        <v>1933</v>
      </c>
      <c r="G360" s="220" t="s">
        <v>336</v>
      </c>
      <c r="H360" s="221">
        <v>13710</v>
      </c>
      <c r="I360" s="221">
        <v>29870</v>
      </c>
      <c r="J360" s="221">
        <v>16160</v>
      </c>
    </row>
    <row r="361" spans="1:10" x14ac:dyDescent="0.3">
      <c r="A361" s="217">
        <v>357</v>
      </c>
      <c r="B361" s="217" t="s">
        <v>1934</v>
      </c>
      <c r="C361" s="218">
        <v>46198</v>
      </c>
      <c r="D361" s="219" t="s">
        <v>1935</v>
      </c>
      <c r="E361" s="218">
        <v>46198</v>
      </c>
      <c r="F361" s="219" t="s">
        <v>900</v>
      </c>
      <c r="G361" s="220" t="s">
        <v>85</v>
      </c>
      <c r="H361" s="221">
        <v>13860</v>
      </c>
      <c r="I361" s="221">
        <v>31500</v>
      </c>
      <c r="J361" s="221">
        <v>17640</v>
      </c>
    </row>
    <row r="362" spans="1:10" x14ac:dyDescent="0.3">
      <c r="A362" s="217">
        <v>358</v>
      </c>
      <c r="B362" s="217" t="s">
        <v>1936</v>
      </c>
      <c r="C362" s="218">
        <v>46198</v>
      </c>
      <c r="D362" s="219" t="s">
        <v>1462</v>
      </c>
      <c r="E362" s="218">
        <v>46198</v>
      </c>
      <c r="F362" s="219" t="s">
        <v>1937</v>
      </c>
      <c r="G362" s="220" t="s">
        <v>64</v>
      </c>
      <c r="H362" s="221">
        <v>13750</v>
      </c>
      <c r="I362" s="221">
        <v>30660</v>
      </c>
      <c r="J362" s="221">
        <v>16910</v>
      </c>
    </row>
    <row r="363" spans="1:10" x14ac:dyDescent="0.3">
      <c r="A363" s="217">
        <v>359</v>
      </c>
      <c r="B363" s="217" t="s">
        <v>1938</v>
      </c>
      <c r="C363" s="218">
        <v>46198</v>
      </c>
      <c r="D363" s="219" t="s">
        <v>1939</v>
      </c>
      <c r="E363" s="218">
        <v>46198</v>
      </c>
      <c r="F363" s="219" t="s">
        <v>1940</v>
      </c>
      <c r="G363" s="220" t="s">
        <v>843</v>
      </c>
      <c r="H363" s="221">
        <v>13930</v>
      </c>
      <c r="I363" s="221">
        <v>31600</v>
      </c>
      <c r="J363" s="221">
        <v>17670</v>
      </c>
    </row>
    <row r="364" spans="1:10" x14ac:dyDescent="0.3">
      <c r="A364" s="217">
        <v>360</v>
      </c>
      <c r="B364" s="217" t="s">
        <v>1941</v>
      </c>
      <c r="C364" s="218">
        <v>46198</v>
      </c>
      <c r="D364" s="219" t="s">
        <v>1942</v>
      </c>
      <c r="E364" s="218">
        <v>46198</v>
      </c>
      <c r="F364" s="219" t="s">
        <v>1943</v>
      </c>
      <c r="G364" s="220" t="s">
        <v>335</v>
      </c>
      <c r="H364" s="221">
        <v>13670</v>
      </c>
      <c r="I364" s="221">
        <v>32060</v>
      </c>
      <c r="J364" s="221">
        <v>18390</v>
      </c>
    </row>
    <row r="365" spans="1:10" x14ac:dyDescent="0.3">
      <c r="A365" s="217">
        <v>361</v>
      </c>
      <c r="B365" s="217" t="s">
        <v>1944</v>
      </c>
      <c r="C365" s="218">
        <v>46198</v>
      </c>
      <c r="D365" s="219" t="s">
        <v>1945</v>
      </c>
      <c r="E365" s="218">
        <v>46198</v>
      </c>
      <c r="F365" s="219" t="s">
        <v>846</v>
      </c>
      <c r="G365" s="220" t="s">
        <v>143</v>
      </c>
      <c r="H365" s="221">
        <v>13690</v>
      </c>
      <c r="I365" s="221">
        <v>33340</v>
      </c>
      <c r="J365" s="221">
        <v>19650</v>
      </c>
    </row>
    <row r="366" spans="1:10" x14ac:dyDescent="0.3">
      <c r="A366" s="217">
        <v>362</v>
      </c>
      <c r="B366" s="217" t="s">
        <v>1946</v>
      </c>
      <c r="C366" s="218">
        <v>46198</v>
      </c>
      <c r="D366" s="219" t="s">
        <v>1947</v>
      </c>
      <c r="E366" s="218">
        <v>46198</v>
      </c>
      <c r="F366" s="219" t="s">
        <v>1948</v>
      </c>
      <c r="G366" s="220" t="s">
        <v>845</v>
      </c>
      <c r="H366" s="221">
        <v>13920</v>
      </c>
      <c r="I366" s="221">
        <v>30470</v>
      </c>
      <c r="J366" s="221">
        <v>16550</v>
      </c>
    </row>
    <row r="367" spans="1:10" x14ac:dyDescent="0.3">
      <c r="A367" s="217">
        <v>363</v>
      </c>
      <c r="B367" s="217" t="s">
        <v>1949</v>
      </c>
      <c r="C367" s="218">
        <v>46198</v>
      </c>
      <c r="D367" s="219" t="s">
        <v>1950</v>
      </c>
      <c r="E367" s="218">
        <v>46198</v>
      </c>
      <c r="F367" s="219" t="s">
        <v>1951</v>
      </c>
      <c r="G367" s="220" t="s">
        <v>337</v>
      </c>
      <c r="H367" s="221">
        <v>13680</v>
      </c>
      <c r="I367" s="221">
        <v>28170</v>
      </c>
      <c r="J367" s="221">
        <v>14490</v>
      </c>
    </row>
    <row r="368" spans="1:10" x14ac:dyDescent="0.3">
      <c r="A368" s="217">
        <v>364</v>
      </c>
      <c r="B368" s="217" t="s">
        <v>1952</v>
      </c>
      <c r="C368" s="218">
        <v>46198</v>
      </c>
      <c r="D368" s="219" t="s">
        <v>1953</v>
      </c>
      <c r="E368" s="218">
        <v>46198</v>
      </c>
      <c r="F368" s="219" t="s">
        <v>1954</v>
      </c>
      <c r="G368" s="220" t="s">
        <v>76</v>
      </c>
      <c r="H368" s="221">
        <v>13730</v>
      </c>
      <c r="I368" s="221">
        <v>29540</v>
      </c>
      <c r="J368" s="221">
        <v>15810</v>
      </c>
    </row>
    <row r="369" spans="1:10" x14ac:dyDescent="0.3">
      <c r="A369" s="217">
        <v>365</v>
      </c>
      <c r="B369" s="217" t="s">
        <v>1955</v>
      </c>
      <c r="C369" s="218">
        <v>46198</v>
      </c>
      <c r="D369" s="219" t="s">
        <v>1956</v>
      </c>
      <c r="E369" s="218">
        <v>46198</v>
      </c>
      <c r="F369" s="219" t="s">
        <v>1957</v>
      </c>
      <c r="G369" s="220" t="s">
        <v>842</v>
      </c>
      <c r="H369" s="221">
        <v>13750</v>
      </c>
      <c r="I369" s="221">
        <v>31490</v>
      </c>
      <c r="J369" s="221">
        <v>17740</v>
      </c>
    </row>
    <row r="370" spans="1:10" x14ac:dyDescent="0.3">
      <c r="A370" s="217">
        <v>366</v>
      </c>
      <c r="B370" s="217" t="s">
        <v>1958</v>
      </c>
      <c r="C370" s="218">
        <v>46198</v>
      </c>
      <c r="D370" s="219" t="s">
        <v>1959</v>
      </c>
      <c r="E370" s="218">
        <v>46198</v>
      </c>
      <c r="F370" s="219" t="s">
        <v>1960</v>
      </c>
      <c r="G370" s="220" t="s">
        <v>55</v>
      </c>
      <c r="H370" s="221">
        <v>13760</v>
      </c>
      <c r="I370" s="221">
        <v>33760</v>
      </c>
      <c r="J370" s="221">
        <v>20000</v>
      </c>
    </row>
    <row r="371" spans="1:10" x14ac:dyDescent="0.3">
      <c r="A371" s="217">
        <v>367</v>
      </c>
      <c r="B371" s="217" t="s">
        <v>1961</v>
      </c>
      <c r="C371" s="218">
        <v>46198</v>
      </c>
      <c r="D371" s="219" t="s">
        <v>847</v>
      </c>
      <c r="E371" s="218">
        <v>46198</v>
      </c>
      <c r="F371" s="219" t="s">
        <v>1962</v>
      </c>
      <c r="G371" s="220" t="s">
        <v>840</v>
      </c>
      <c r="H371" s="221">
        <v>13940</v>
      </c>
      <c r="I371" s="221">
        <v>32430</v>
      </c>
      <c r="J371" s="221">
        <v>18490</v>
      </c>
    </row>
    <row r="372" spans="1:10" x14ac:dyDescent="0.3">
      <c r="A372" s="217">
        <v>368</v>
      </c>
      <c r="B372" s="217" t="s">
        <v>1963</v>
      </c>
      <c r="C372" s="218">
        <v>46198</v>
      </c>
      <c r="D372" s="219" t="s">
        <v>1964</v>
      </c>
      <c r="E372" s="218">
        <v>46198</v>
      </c>
      <c r="F372" s="219" t="s">
        <v>1965</v>
      </c>
      <c r="G372" s="220" t="s">
        <v>43</v>
      </c>
      <c r="H372" s="221">
        <v>13750</v>
      </c>
      <c r="I372" s="221">
        <v>33260</v>
      </c>
      <c r="J372" s="221">
        <v>19510</v>
      </c>
    </row>
    <row r="373" spans="1:10" x14ac:dyDescent="0.3">
      <c r="A373" s="217">
        <v>369</v>
      </c>
      <c r="B373" s="217" t="s">
        <v>1966</v>
      </c>
      <c r="C373" s="218">
        <v>46198</v>
      </c>
      <c r="D373" s="219" t="s">
        <v>1967</v>
      </c>
      <c r="E373" s="218">
        <v>46198</v>
      </c>
      <c r="F373" s="219" t="s">
        <v>1968</v>
      </c>
      <c r="G373" s="220" t="s">
        <v>90</v>
      </c>
      <c r="H373" s="221">
        <v>13840</v>
      </c>
      <c r="I373" s="221">
        <v>32340</v>
      </c>
      <c r="J373" s="221">
        <v>18500</v>
      </c>
    </row>
    <row r="374" spans="1:10" x14ac:dyDescent="0.3">
      <c r="A374" s="217">
        <v>370</v>
      </c>
      <c r="B374" s="217" t="s">
        <v>1969</v>
      </c>
      <c r="C374" s="218">
        <v>46198</v>
      </c>
      <c r="D374" s="219" t="s">
        <v>1970</v>
      </c>
      <c r="E374" s="218">
        <v>46198</v>
      </c>
      <c r="F374" s="219" t="s">
        <v>1971</v>
      </c>
      <c r="G374" s="220" t="s">
        <v>80</v>
      </c>
      <c r="H374" s="221">
        <v>14890</v>
      </c>
      <c r="I374" s="221">
        <v>33440</v>
      </c>
      <c r="J374" s="221">
        <v>18550</v>
      </c>
    </row>
    <row r="375" spans="1:10" x14ac:dyDescent="0.3">
      <c r="A375" s="217">
        <v>371</v>
      </c>
      <c r="B375" s="217" t="s">
        <v>1972</v>
      </c>
      <c r="C375" s="218">
        <v>46198</v>
      </c>
      <c r="D375" s="219" t="s">
        <v>1973</v>
      </c>
      <c r="E375" s="218">
        <v>46198</v>
      </c>
      <c r="F375" s="219" t="s">
        <v>1974</v>
      </c>
      <c r="G375" s="220" t="s">
        <v>85</v>
      </c>
      <c r="H375" s="221">
        <v>13810</v>
      </c>
      <c r="I375" s="221">
        <v>33060</v>
      </c>
      <c r="J375" s="221">
        <v>19250</v>
      </c>
    </row>
    <row r="376" spans="1:10" x14ac:dyDescent="0.3">
      <c r="A376" s="217">
        <v>372</v>
      </c>
      <c r="B376" s="217" t="s">
        <v>1975</v>
      </c>
      <c r="C376" s="218">
        <v>46198</v>
      </c>
      <c r="D376" s="219" t="s">
        <v>1976</v>
      </c>
      <c r="E376" s="218">
        <v>46198</v>
      </c>
      <c r="F376" s="219" t="s">
        <v>1977</v>
      </c>
      <c r="G376" s="220" t="s">
        <v>336</v>
      </c>
      <c r="H376" s="221">
        <v>13670</v>
      </c>
      <c r="I376" s="221">
        <v>33020</v>
      </c>
      <c r="J376" s="221">
        <v>19350</v>
      </c>
    </row>
    <row r="377" spans="1:10" x14ac:dyDescent="0.3">
      <c r="A377" s="217">
        <v>373</v>
      </c>
      <c r="B377" s="217" t="s">
        <v>1978</v>
      </c>
      <c r="C377" s="218">
        <v>46198</v>
      </c>
      <c r="D377" s="219" t="s">
        <v>1979</v>
      </c>
      <c r="E377" s="218">
        <v>46198</v>
      </c>
      <c r="F377" s="219" t="s">
        <v>1980</v>
      </c>
      <c r="G377" s="220" t="s">
        <v>64</v>
      </c>
      <c r="H377" s="221">
        <v>13730</v>
      </c>
      <c r="I377" s="221">
        <v>33330</v>
      </c>
      <c r="J377" s="221">
        <v>19600</v>
      </c>
    </row>
    <row r="378" spans="1:10" x14ac:dyDescent="0.3">
      <c r="A378" s="217">
        <v>374</v>
      </c>
      <c r="B378" s="217" t="s">
        <v>1981</v>
      </c>
      <c r="C378" s="218">
        <v>46198</v>
      </c>
      <c r="D378" s="219" t="s">
        <v>1982</v>
      </c>
      <c r="E378" s="218">
        <v>46198</v>
      </c>
      <c r="F378" s="219" t="s">
        <v>1983</v>
      </c>
      <c r="G378" s="220" t="s">
        <v>843</v>
      </c>
      <c r="H378" s="221">
        <v>13900</v>
      </c>
      <c r="I378" s="221">
        <v>33680</v>
      </c>
      <c r="J378" s="221">
        <v>19780</v>
      </c>
    </row>
    <row r="379" spans="1:10" x14ac:dyDescent="0.3">
      <c r="A379" s="217">
        <v>375</v>
      </c>
      <c r="B379" s="217" t="s">
        <v>1984</v>
      </c>
      <c r="C379" s="218">
        <v>46198</v>
      </c>
      <c r="D379" s="219" t="s">
        <v>1985</v>
      </c>
      <c r="E379" s="218">
        <v>46198</v>
      </c>
      <c r="F379" s="219" t="s">
        <v>1986</v>
      </c>
      <c r="G379" s="220" t="s">
        <v>335</v>
      </c>
      <c r="H379" s="221">
        <v>13890</v>
      </c>
      <c r="I379" s="221">
        <v>33430</v>
      </c>
      <c r="J379" s="221">
        <v>19540</v>
      </c>
    </row>
    <row r="380" spans="1:10" x14ac:dyDescent="0.3">
      <c r="A380" s="217">
        <v>376</v>
      </c>
      <c r="B380" s="217" t="s">
        <v>1987</v>
      </c>
      <c r="C380" s="218">
        <v>46198</v>
      </c>
      <c r="D380" s="219" t="s">
        <v>1988</v>
      </c>
      <c r="E380" s="218">
        <v>46198</v>
      </c>
      <c r="F380" s="219" t="s">
        <v>1989</v>
      </c>
      <c r="G380" s="220" t="s">
        <v>143</v>
      </c>
      <c r="H380" s="221">
        <v>13670</v>
      </c>
      <c r="I380" s="221">
        <v>32820</v>
      </c>
      <c r="J380" s="221">
        <v>19150</v>
      </c>
    </row>
    <row r="381" spans="1:10" x14ac:dyDescent="0.3">
      <c r="A381" s="217">
        <v>377</v>
      </c>
      <c r="B381" s="217" t="s">
        <v>1990</v>
      </c>
      <c r="C381" s="218">
        <v>46198</v>
      </c>
      <c r="D381" s="219" t="s">
        <v>1991</v>
      </c>
      <c r="E381" s="218">
        <v>46198</v>
      </c>
      <c r="F381" s="219" t="s">
        <v>1992</v>
      </c>
      <c r="G381" s="220" t="s">
        <v>845</v>
      </c>
      <c r="H381" s="221">
        <v>13870</v>
      </c>
      <c r="I381" s="221">
        <v>31690</v>
      </c>
      <c r="J381" s="221">
        <v>17820</v>
      </c>
    </row>
    <row r="382" spans="1:10" x14ac:dyDescent="0.3">
      <c r="A382" s="217">
        <v>378</v>
      </c>
      <c r="B382" s="217" t="s">
        <v>1993</v>
      </c>
      <c r="C382" s="218">
        <v>46198</v>
      </c>
      <c r="D382" s="219" t="s">
        <v>1994</v>
      </c>
      <c r="E382" s="218">
        <v>46198</v>
      </c>
      <c r="F382" s="219" t="s">
        <v>1995</v>
      </c>
      <c r="G382" s="220" t="s">
        <v>337</v>
      </c>
      <c r="H382" s="221">
        <v>14010</v>
      </c>
      <c r="I382" s="221">
        <v>32940</v>
      </c>
      <c r="J382" s="221">
        <v>18930</v>
      </c>
    </row>
    <row r="383" spans="1:10" x14ac:dyDescent="0.3">
      <c r="A383" s="217">
        <v>379</v>
      </c>
      <c r="B383" s="217" t="s">
        <v>1996</v>
      </c>
      <c r="C383" s="218">
        <v>46198</v>
      </c>
      <c r="D383" s="219" t="s">
        <v>1997</v>
      </c>
      <c r="E383" s="218">
        <v>46198</v>
      </c>
      <c r="F383" s="219" t="s">
        <v>810</v>
      </c>
      <c r="G383" s="220" t="s">
        <v>55</v>
      </c>
      <c r="H383" s="221">
        <v>13650</v>
      </c>
      <c r="I383" s="221">
        <v>32780</v>
      </c>
      <c r="J383" s="221">
        <v>19130</v>
      </c>
    </row>
    <row r="384" spans="1:10" x14ac:dyDescent="0.3">
      <c r="A384" s="217">
        <v>380</v>
      </c>
      <c r="B384" s="217" t="s">
        <v>1998</v>
      </c>
      <c r="C384" s="218">
        <v>46198</v>
      </c>
      <c r="D384" s="219" t="s">
        <v>1999</v>
      </c>
      <c r="E384" s="218">
        <v>46198</v>
      </c>
      <c r="F384" s="219" t="s">
        <v>2000</v>
      </c>
      <c r="G384" s="220" t="s">
        <v>80</v>
      </c>
      <c r="H384" s="221">
        <v>14020</v>
      </c>
      <c r="I384" s="221">
        <v>34160</v>
      </c>
      <c r="J384" s="221">
        <v>20140</v>
      </c>
    </row>
    <row r="385" spans="1:10" x14ac:dyDescent="0.3">
      <c r="A385" s="217">
        <v>381</v>
      </c>
      <c r="B385" s="217" t="s">
        <v>2001</v>
      </c>
      <c r="C385" s="218">
        <v>46198</v>
      </c>
      <c r="D385" s="219" t="s">
        <v>2002</v>
      </c>
      <c r="E385" s="218">
        <v>46198</v>
      </c>
      <c r="F385" s="219" t="s">
        <v>2003</v>
      </c>
      <c r="G385" s="220" t="s">
        <v>90</v>
      </c>
      <c r="H385" s="221">
        <v>13750</v>
      </c>
      <c r="I385" s="221">
        <v>33890</v>
      </c>
      <c r="J385" s="221">
        <v>20140</v>
      </c>
    </row>
    <row r="386" spans="1:10" x14ac:dyDescent="0.3">
      <c r="A386" s="217">
        <v>382</v>
      </c>
      <c r="B386" s="217" t="s">
        <v>2004</v>
      </c>
      <c r="C386" s="218">
        <v>46198</v>
      </c>
      <c r="D386" s="219" t="s">
        <v>2005</v>
      </c>
      <c r="E386" s="218">
        <v>46198</v>
      </c>
      <c r="F386" s="219" t="s">
        <v>2006</v>
      </c>
      <c r="G386" s="220" t="s">
        <v>85</v>
      </c>
      <c r="H386" s="221">
        <v>13810</v>
      </c>
      <c r="I386" s="221">
        <v>33440</v>
      </c>
      <c r="J386" s="221">
        <v>19630</v>
      </c>
    </row>
    <row r="387" spans="1:10" x14ac:dyDescent="0.3">
      <c r="A387" s="217">
        <v>383</v>
      </c>
      <c r="B387" s="217" t="s">
        <v>2007</v>
      </c>
      <c r="C387" s="218">
        <v>46198</v>
      </c>
      <c r="D387" s="219" t="s">
        <v>2008</v>
      </c>
      <c r="E387" s="218">
        <v>46198</v>
      </c>
      <c r="F387" s="219" t="s">
        <v>2009</v>
      </c>
      <c r="G387" s="220" t="s">
        <v>64</v>
      </c>
      <c r="H387" s="221">
        <v>13700</v>
      </c>
      <c r="I387" s="221">
        <v>33150</v>
      </c>
      <c r="J387" s="221">
        <v>19450</v>
      </c>
    </row>
    <row r="388" spans="1:10" x14ac:dyDescent="0.3">
      <c r="A388" s="217">
        <v>384</v>
      </c>
      <c r="B388" s="217" t="s">
        <v>2010</v>
      </c>
      <c r="C388" s="218">
        <v>46198</v>
      </c>
      <c r="D388" s="219" t="s">
        <v>2011</v>
      </c>
      <c r="E388" s="218">
        <v>46198</v>
      </c>
      <c r="F388" s="219" t="s">
        <v>2012</v>
      </c>
      <c r="G388" s="220" t="s">
        <v>335</v>
      </c>
      <c r="H388" s="221">
        <v>13860</v>
      </c>
      <c r="I388" s="221">
        <v>32110</v>
      </c>
      <c r="J388" s="221">
        <v>18250</v>
      </c>
    </row>
    <row r="389" spans="1:10" x14ac:dyDescent="0.3">
      <c r="A389" s="217">
        <v>385</v>
      </c>
      <c r="B389" s="217" t="s">
        <v>2013</v>
      </c>
      <c r="C389" s="218">
        <v>46198</v>
      </c>
      <c r="D389" s="219" t="s">
        <v>2014</v>
      </c>
      <c r="E389" s="218">
        <v>46198</v>
      </c>
      <c r="F389" s="219" t="s">
        <v>2015</v>
      </c>
      <c r="G389" s="220" t="s">
        <v>143</v>
      </c>
      <c r="H389" s="221">
        <v>14010</v>
      </c>
      <c r="I389" s="221">
        <v>33410</v>
      </c>
      <c r="J389" s="221">
        <v>19400</v>
      </c>
    </row>
    <row r="390" spans="1:10" x14ac:dyDescent="0.3">
      <c r="A390" s="217">
        <v>386</v>
      </c>
      <c r="B390" s="217" t="s">
        <v>2016</v>
      </c>
      <c r="C390" s="218">
        <v>46199</v>
      </c>
      <c r="D390" s="219" t="s">
        <v>2017</v>
      </c>
      <c r="E390" s="218">
        <v>46199</v>
      </c>
      <c r="F390" s="219" t="s">
        <v>2018</v>
      </c>
      <c r="G390" s="220" t="s">
        <v>840</v>
      </c>
      <c r="H390" s="221">
        <v>13880</v>
      </c>
      <c r="I390" s="221">
        <v>33840</v>
      </c>
      <c r="J390" s="221">
        <v>19960</v>
      </c>
    </row>
    <row r="391" spans="1:10" x14ac:dyDescent="0.3">
      <c r="A391" s="217">
        <v>387</v>
      </c>
      <c r="B391" s="217" t="s">
        <v>2019</v>
      </c>
      <c r="C391" s="218">
        <v>46199</v>
      </c>
      <c r="D391" s="219" t="s">
        <v>2020</v>
      </c>
      <c r="E391" s="218">
        <v>46199</v>
      </c>
      <c r="F391" s="219" t="s">
        <v>1411</v>
      </c>
      <c r="G391" s="220" t="s">
        <v>85</v>
      </c>
      <c r="H391" s="221">
        <v>13960</v>
      </c>
      <c r="I391" s="221">
        <v>32120</v>
      </c>
      <c r="J391" s="221">
        <v>18160</v>
      </c>
    </row>
    <row r="392" spans="1:10" x14ac:dyDescent="0.3">
      <c r="A392" s="217">
        <v>388</v>
      </c>
      <c r="B392" s="217" t="s">
        <v>2021</v>
      </c>
      <c r="C392" s="218">
        <v>46199</v>
      </c>
      <c r="D392" s="219" t="s">
        <v>2022</v>
      </c>
      <c r="E392" s="218">
        <v>46199</v>
      </c>
      <c r="F392" s="219" t="s">
        <v>2023</v>
      </c>
      <c r="G392" s="220" t="s">
        <v>842</v>
      </c>
      <c r="H392" s="221">
        <v>14000</v>
      </c>
      <c r="I392" s="221">
        <v>32340</v>
      </c>
      <c r="J392" s="221">
        <v>18340</v>
      </c>
    </row>
    <row r="393" spans="1:10" x14ac:dyDescent="0.3">
      <c r="A393" s="217">
        <v>389</v>
      </c>
      <c r="B393" s="217" t="s">
        <v>2024</v>
      </c>
      <c r="C393" s="218">
        <v>46199</v>
      </c>
      <c r="D393" s="219" t="s">
        <v>2025</v>
      </c>
      <c r="E393" s="218">
        <v>46199</v>
      </c>
      <c r="F393" s="219" t="s">
        <v>2026</v>
      </c>
      <c r="G393" s="220" t="s">
        <v>43</v>
      </c>
      <c r="H393" s="221">
        <v>14030</v>
      </c>
      <c r="I393" s="221">
        <v>32880</v>
      </c>
      <c r="J393" s="221">
        <v>18850</v>
      </c>
    </row>
    <row r="394" spans="1:10" x14ac:dyDescent="0.3">
      <c r="A394" s="217">
        <v>390</v>
      </c>
      <c r="B394" s="217" t="s">
        <v>2027</v>
      </c>
      <c r="C394" s="218">
        <v>46199</v>
      </c>
      <c r="D394" s="219" t="s">
        <v>2028</v>
      </c>
      <c r="E394" s="218">
        <v>46199</v>
      </c>
      <c r="F394" s="219" t="s">
        <v>2029</v>
      </c>
      <c r="G394" s="220" t="s">
        <v>843</v>
      </c>
      <c r="H394" s="221">
        <v>14110</v>
      </c>
      <c r="I394" s="221">
        <v>33230</v>
      </c>
      <c r="J394" s="221">
        <v>19120</v>
      </c>
    </row>
    <row r="395" spans="1:10" x14ac:dyDescent="0.3">
      <c r="A395" s="217">
        <v>391</v>
      </c>
      <c r="B395" s="217" t="s">
        <v>2030</v>
      </c>
      <c r="C395" s="218">
        <v>46199</v>
      </c>
      <c r="D395" s="219" t="s">
        <v>2031</v>
      </c>
      <c r="E395" s="218">
        <v>46199</v>
      </c>
      <c r="F395" s="219" t="s">
        <v>2032</v>
      </c>
      <c r="G395" s="220" t="s">
        <v>76</v>
      </c>
      <c r="H395" s="221">
        <v>14040</v>
      </c>
      <c r="I395" s="221">
        <v>32550</v>
      </c>
      <c r="J395" s="221">
        <v>18510</v>
      </c>
    </row>
    <row r="396" spans="1:10" x14ac:dyDescent="0.3">
      <c r="A396" s="217">
        <v>392</v>
      </c>
      <c r="B396" s="217" t="s">
        <v>2033</v>
      </c>
      <c r="C396" s="218">
        <v>46199</v>
      </c>
      <c r="D396" s="219" t="s">
        <v>2034</v>
      </c>
      <c r="E396" s="218">
        <v>46199</v>
      </c>
      <c r="F396" s="219" t="s">
        <v>2035</v>
      </c>
      <c r="G396" s="220" t="s">
        <v>336</v>
      </c>
      <c r="H396" s="221">
        <v>13940</v>
      </c>
      <c r="I396" s="221">
        <v>31910</v>
      </c>
      <c r="J396" s="221">
        <v>17970</v>
      </c>
    </row>
    <row r="397" spans="1:10" x14ac:dyDescent="0.3">
      <c r="A397" s="217">
        <v>393</v>
      </c>
      <c r="B397" s="217" t="s">
        <v>2036</v>
      </c>
      <c r="C397" s="218">
        <v>46199</v>
      </c>
      <c r="D397" s="219" t="s">
        <v>2037</v>
      </c>
      <c r="E397" s="218">
        <v>46199</v>
      </c>
      <c r="F397" s="219" t="s">
        <v>1423</v>
      </c>
      <c r="G397" s="220" t="s">
        <v>55</v>
      </c>
      <c r="H397" s="221">
        <v>13890</v>
      </c>
      <c r="I397" s="221">
        <v>32830</v>
      </c>
      <c r="J397" s="221">
        <v>18940</v>
      </c>
    </row>
    <row r="398" spans="1:10" x14ac:dyDescent="0.3">
      <c r="A398" s="217">
        <v>394</v>
      </c>
      <c r="B398" s="217" t="s">
        <v>2038</v>
      </c>
      <c r="C398" s="218">
        <v>46199</v>
      </c>
      <c r="D398" s="219" t="s">
        <v>2039</v>
      </c>
      <c r="E398" s="218">
        <v>46199</v>
      </c>
      <c r="F398" s="219" t="s">
        <v>2040</v>
      </c>
      <c r="G398" s="220" t="s">
        <v>337</v>
      </c>
      <c r="H398" s="221">
        <v>13900</v>
      </c>
      <c r="I398" s="221">
        <v>32400</v>
      </c>
      <c r="J398" s="221">
        <v>18500</v>
      </c>
    </row>
    <row r="399" spans="1:10" x14ac:dyDescent="0.3">
      <c r="A399" s="217">
        <v>395</v>
      </c>
      <c r="B399" s="217" t="s">
        <v>2041</v>
      </c>
      <c r="C399" s="218">
        <v>46199</v>
      </c>
      <c r="D399" s="219" t="s">
        <v>2042</v>
      </c>
      <c r="E399" s="218">
        <v>46199</v>
      </c>
      <c r="F399" s="219" t="s">
        <v>2043</v>
      </c>
      <c r="G399" s="220" t="s">
        <v>64</v>
      </c>
      <c r="H399" s="221">
        <v>14000</v>
      </c>
      <c r="I399" s="221">
        <v>34410</v>
      </c>
      <c r="J399" s="221">
        <v>20410</v>
      </c>
    </row>
    <row r="400" spans="1:10" x14ac:dyDescent="0.3">
      <c r="A400" s="217">
        <v>396</v>
      </c>
      <c r="B400" s="217" t="s">
        <v>2044</v>
      </c>
      <c r="C400" s="218">
        <v>46199</v>
      </c>
      <c r="D400" s="219" t="s">
        <v>2045</v>
      </c>
      <c r="E400" s="218">
        <v>46199</v>
      </c>
      <c r="F400" s="219" t="s">
        <v>2046</v>
      </c>
      <c r="G400" s="220" t="s">
        <v>80</v>
      </c>
      <c r="H400" s="221">
        <v>13900</v>
      </c>
      <c r="I400" s="221">
        <v>33190</v>
      </c>
      <c r="J400" s="221">
        <v>19290</v>
      </c>
    </row>
    <row r="401" spans="1:10" x14ac:dyDescent="0.3">
      <c r="A401" s="217">
        <v>397</v>
      </c>
      <c r="B401" s="217" t="s">
        <v>2047</v>
      </c>
      <c r="C401" s="218">
        <v>46199</v>
      </c>
      <c r="D401" s="219" t="s">
        <v>2048</v>
      </c>
      <c r="E401" s="218">
        <v>46199</v>
      </c>
      <c r="F401" s="219" t="s">
        <v>2049</v>
      </c>
      <c r="G401" s="220" t="s">
        <v>143</v>
      </c>
      <c r="H401" s="221">
        <v>13920</v>
      </c>
      <c r="I401" s="221">
        <v>32410</v>
      </c>
      <c r="J401" s="221">
        <v>18490</v>
      </c>
    </row>
    <row r="402" spans="1:10" x14ac:dyDescent="0.3">
      <c r="A402" s="217">
        <v>398</v>
      </c>
      <c r="B402" s="217" t="s">
        <v>2050</v>
      </c>
      <c r="C402" s="218">
        <v>46199</v>
      </c>
      <c r="D402" s="219" t="s">
        <v>2051</v>
      </c>
      <c r="E402" s="218">
        <v>46199</v>
      </c>
      <c r="F402" s="219" t="s">
        <v>2052</v>
      </c>
      <c r="G402" s="220" t="s">
        <v>845</v>
      </c>
      <c r="H402" s="221">
        <v>13780</v>
      </c>
      <c r="I402" s="221">
        <v>34430</v>
      </c>
      <c r="J402" s="221">
        <v>20650</v>
      </c>
    </row>
    <row r="403" spans="1:10" x14ac:dyDescent="0.3">
      <c r="A403" s="217">
        <v>399</v>
      </c>
      <c r="B403" s="217" t="s">
        <v>2053</v>
      </c>
      <c r="C403" s="218">
        <v>46199</v>
      </c>
      <c r="D403" s="219" t="s">
        <v>2054</v>
      </c>
      <c r="E403" s="218">
        <v>46199</v>
      </c>
      <c r="F403" s="219" t="s">
        <v>2055</v>
      </c>
      <c r="G403" s="220" t="s">
        <v>335</v>
      </c>
      <c r="H403" s="221">
        <v>13780</v>
      </c>
      <c r="I403" s="221">
        <v>34230</v>
      </c>
      <c r="J403" s="221">
        <v>20450</v>
      </c>
    </row>
    <row r="404" spans="1:10" x14ac:dyDescent="0.3">
      <c r="A404" s="217">
        <v>400</v>
      </c>
      <c r="B404" s="217" t="s">
        <v>2056</v>
      </c>
      <c r="C404" s="218">
        <v>46199</v>
      </c>
      <c r="D404" s="219" t="s">
        <v>2057</v>
      </c>
      <c r="E404" s="218">
        <v>46199</v>
      </c>
      <c r="F404" s="219" t="s">
        <v>2058</v>
      </c>
      <c r="G404" s="220" t="s">
        <v>90</v>
      </c>
      <c r="H404" s="221">
        <v>13680</v>
      </c>
      <c r="I404" s="221">
        <v>32150</v>
      </c>
      <c r="J404" s="221">
        <v>18470</v>
      </c>
    </row>
    <row r="405" spans="1:10" x14ac:dyDescent="0.3">
      <c r="A405" s="217">
        <v>401</v>
      </c>
      <c r="B405" s="217" t="s">
        <v>2059</v>
      </c>
      <c r="C405" s="218">
        <v>46199</v>
      </c>
      <c r="D405" s="219" t="s">
        <v>2060</v>
      </c>
      <c r="E405" s="218">
        <v>46199</v>
      </c>
      <c r="F405" s="219" t="s">
        <v>2061</v>
      </c>
      <c r="G405" s="220" t="s">
        <v>840</v>
      </c>
      <c r="H405" s="221">
        <v>13820</v>
      </c>
      <c r="I405" s="221">
        <v>33650</v>
      </c>
      <c r="J405" s="221">
        <v>19830</v>
      </c>
    </row>
    <row r="406" spans="1:10" x14ac:dyDescent="0.3">
      <c r="A406" s="217">
        <v>402</v>
      </c>
      <c r="B406" s="217" t="s">
        <v>2062</v>
      </c>
      <c r="C406" s="218">
        <v>46199</v>
      </c>
      <c r="D406" s="219" t="s">
        <v>2063</v>
      </c>
      <c r="E406" s="218">
        <v>46199</v>
      </c>
      <c r="F406" s="219" t="s">
        <v>2064</v>
      </c>
      <c r="G406" s="220" t="s">
        <v>85</v>
      </c>
      <c r="H406" s="221">
        <v>13880</v>
      </c>
      <c r="I406" s="221">
        <v>34090</v>
      </c>
      <c r="J406" s="221">
        <v>20210</v>
      </c>
    </row>
    <row r="407" spans="1:10" x14ac:dyDescent="0.3">
      <c r="A407" s="217">
        <v>403</v>
      </c>
      <c r="B407" s="217" t="s">
        <v>2065</v>
      </c>
      <c r="C407" s="218">
        <v>46199</v>
      </c>
      <c r="D407" s="219" t="s">
        <v>2066</v>
      </c>
      <c r="E407" s="218">
        <v>46199</v>
      </c>
      <c r="F407" s="219" t="s">
        <v>2067</v>
      </c>
      <c r="G407" s="220" t="s">
        <v>842</v>
      </c>
      <c r="H407" s="221">
        <v>14330</v>
      </c>
      <c r="I407" s="221">
        <v>34120</v>
      </c>
      <c r="J407" s="221">
        <v>19790</v>
      </c>
    </row>
    <row r="408" spans="1:10" x14ac:dyDescent="0.3">
      <c r="A408" s="217">
        <v>404</v>
      </c>
      <c r="B408" s="217" t="s">
        <v>2068</v>
      </c>
      <c r="C408" s="218">
        <v>46199</v>
      </c>
      <c r="D408" s="219" t="s">
        <v>2069</v>
      </c>
      <c r="E408" s="218">
        <v>46199</v>
      </c>
      <c r="F408" s="219" t="s">
        <v>2070</v>
      </c>
      <c r="G408" s="220" t="s">
        <v>43</v>
      </c>
      <c r="H408" s="221">
        <v>13950</v>
      </c>
      <c r="I408" s="221">
        <v>32150</v>
      </c>
      <c r="J408" s="221">
        <v>18200</v>
      </c>
    </row>
    <row r="409" spans="1:10" x14ac:dyDescent="0.3">
      <c r="A409" s="217">
        <v>405</v>
      </c>
      <c r="B409" s="217" t="s">
        <v>2071</v>
      </c>
      <c r="C409" s="218">
        <v>46199</v>
      </c>
      <c r="D409" s="219" t="s">
        <v>2072</v>
      </c>
      <c r="E409" s="218">
        <v>46199</v>
      </c>
      <c r="F409" s="219" t="s">
        <v>2073</v>
      </c>
      <c r="G409" s="220" t="s">
        <v>76</v>
      </c>
      <c r="H409" s="221">
        <v>14020</v>
      </c>
      <c r="I409" s="221">
        <v>33790</v>
      </c>
      <c r="J409" s="221">
        <v>19770</v>
      </c>
    </row>
    <row r="410" spans="1:10" x14ac:dyDescent="0.3">
      <c r="A410" s="217">
        <v>406</v>
      </c>
      <c r="B410" s="217" t="s">
        <v>2074</v>
      </c>
      <c r="C410" s="218">
        <v>46199</v>
      </c>
      <c r="D410" s="219" t="s">
        <v>2075</v>
      </c>
      <c r="E410" s="218">
        <v>46199</v>
      </c>
      <c r="F410" s="219" t="s">
        <v>2076</v>
      </c>
      <c r="G410" s="220" t="s">
        <v>843</v>
      </c>
      <c r="H410" s="221">
        <v>14110</v>
      </c>
      <c r="I410" s="221">
        <v>30920</v>
      </c>
      <c r="J410" s="221">
        <v>16810</v>
      </c>
    </row>
    <row r="411" spans="1:10" x14ac:dyDescent="0.3">
      <c r="A411" s="217">
        <v>407</v>
      </c>
      <c r="B411" s="217" t="s">
        <v>2077</v>
      </c>
      <c r="C411" s="218">
        <v>46199</v>
      </c>
      <c r="D411" s="219" t="s">
        <v>2078</v>
      </c>
      <c r="E411" s="218">
        <v>46199</v>
      </c>
      <c r="F411" s="219" t="s">
        <v>2079</v>
      </c>
      <c r="G411" s="220" t="s">
        <v>336</v>
      </c>
      <c r="H411" s="221">
        <v>13910</v>
      </c>
      <c r="I411" s="221">
        <v>32410</v>
      </c>
      <c r="J411" s="221">
        <v>18500</v>
      </c>
    </row>
    <row r="412" spans="1:10" x14ac:dyDescent="0.3">
      <c r="A412" s="217">
        <v>408</v>
      </c>
      <c r="B412" s="217" t="s">
        <v>2080</v>
      </c>
      <c r="C412" s="218">
        <v>46199</v>
      </c>
      <c r="D412" s="219" t="s">
        <v>2081</v>
      </c>
      <c r="E412" s="218">
        <v>46199</v>
      </c>
      <c r="F412" s="219" t="s">
        <v>2082</v>
      </c>
      <c r="G412" s="220" t="s">
        <v>64</v>
      </c>
      <c r="H412" s="221">
        <v>13970</v>
      </c>
      <c r="I412" s="221">
        <v>30810</v>
      </c>
      <c r="J412" s="221">
        <v>16840</v>
      </c>
    </row>
    <row r="413" spans="1:10" x14ac:dyDescent="0.3">
      <c r="A413" s="217">
        <v>409</v>
      </c>
      <c r="B413" s="217" t="s">
        <v>2083</v>
      </c>
      <c r="C413" s="218">
        <v>46199</v>
      </c>
      <c r="D413" s="219" t="s">
        <v>2084</v>
      </c>
      <c r="E413" s="218">
        <v>46199</v>
      </c>
      <c r="F413" s="219" t="s">
        <v>2085</v>
      </c>
      <c r="G413" s="220" t="s">
        <v>55</v>
      </c>
      <c r="H413" s="221">
        <v>13860</v>
      </c>
      <c r="I413" s="221">
        <v>31320</v>
      </c>
      <c r="J413" s="221">
        <v>17460</v>
      </c>
    </row>
    <row r="414" spans="1:10" x14ac:dyDescent="0.3">
      <c r="A414" s="217">
        <v>410</v>
      </c>
      <c r="B414" s="217" t="s">
        <v>2086</v>
      </c>
      <c r="C414" s="218">
        <v>46199</v>
      </c>
      <c r="D414" s="219" t="s">
        <v>2087</v>
      </c>
      <c r="E414" s="218">
        <v>46199</v>
      </c>
      <c r="F414" s="219" t="s">
        <v>2088</v>
      </c>
      <c r="G414" s="220" t="s">
        <v>80</v>
      </c>
      <c r="H414" s="221">
        <v>13870</v>
      </c>
      <c r="I414" s="221">
        <v>32710</v>
      </c>
      <c r="J414" s="221">
        <v>18840</v>
      </c>
    </row>
    <row r="415" spans="1:10" x14ac:dyDescent="0.3">
      <c r="A415" s="217">
        <v>411</v>
      </c>
      <c r="B415" s="217" t="s">
        <v>2089</v>
      </c>
      <c r="C415" s="218">
        <v>46199</v>
      </c>
      <c r="D415" s="219" t="s">
        <v>875</v>
      </c>
      <c r="E415" s="218">
        <v>46199</v>
      </c>
      <c r="F415" s="219" t="s">
        <v>2090</v>
      </c>
      <c r="G415" s="220" t="s">
        <v>143</v>
      </c>
      <c r="H415" s="221">
        <v>13870</v>
      </c>
      <c r="I415" s="221">
        <v>32870</v>
      </c>
      <c r="J415" s="221">
        <v>19000</v>
      </c>
    </row>
    <row r="416" spans="1:10" x14ac:dyDescent="0.3">
      <c r="A416" s="217">
        <v>412</v>
      </c>
      <c r="B416" s="217" t="s">
        <v>2091</v>
      </c>
      <c r="C416" s="218">
        <v>46199</v>
      </c>
      <c r="D416" s="219" t="s">
        <v>2092</v>
      </c>
      <c r="E416" s="218">
        <v>46199</v>
      </c>
      <c r="F416" s="219" t="s">
        <v>2093</v>
      </c>
      <c r="G416" s="220" t="s">
        <v>337</v>
      </c>
      <c r="H416" s="221">
        <v>13840</v>
      </c>
      <c r="I416" s="221">
        <v>29080</v>
      </c>
      <c r="J416" s="221">
        <v>15240</v>
      </c>
    </row>
    <row r="417" spans="1:10" x14ac:dyDescent="0.3">
      <c r="A417" s="217">
        <v>413</v>
      </c>
      <c r="B417" s="217" t="s">
        <v>2094</v>
      </c>
      <c r="C417" s="218">
        <v>46199</v>
      </c>
      <c r="D417" s="219" t="s">
        <v>2095</v>
      </c>
      <c r="E417" s="218">
        <v>46199</v>
      </c>
      <c r="F417" s="219" t="s">
        <v>2096</v>
      </c>
      <c r="G417" s="220" t="s">
        <v>335</v>
      </c>
      <c r="H417" s="221">
        <v>13750</v>
      </c>
      <c r="I417" s="221">
        <v>29910</v>
      </c>
      <c r="J417" s="221">
        <v>16160</v>
      </c>
    </row>
    <row r="418" spans="1:10" x14ac:dyDescent="0.3">
      <c r="A418" s="217">
        <v>414</v>
      </c>
      <c r="B418" s="217" t="s">
        <v>2097</v>
      </c>
      <c r="C418" s="218">
        <v>46199</v>
      </c>
      <c r="D418" s="219" t="s">
        <v>2098</v>
      </c>
      <c r="E418" s="218">
        <v>46199</v>
      </c>
      <c r="F418" s="219" t="s">
        <v>2099</v>
      </c>
      <c r="G418" s="220" t="s">
        <v>90</v>
      </c>
      <c r="H418" s="221">
        <v>14000</v>
      </c>
      <c r="I418" s="221">
        <v>28810</v>
      </c>
      <c r="J418" s="221">
        <v>14810</v>
      </c>
    </row>
    <row r="419" spans="1:10" x14ac:dyDescent="0.3">
      <c r="A419" s="217">
        <v>415</v>
      </c>
      <c r="B419" s="217" t="s">
        <v>2100</v>
      </c>
      <c r="C419" s="218">
        <v>46199</v>
      </c>
      <c r="D419" s="219" t="s">
        <v>2101</v>
      </c>
      <c r="E419" s="218">
        <v>46199</v>
      </c>
      <c r="F419" s="219" t="s">
        <v>2102</v>
      </c>
      <c r="G419" s="220" t="s">
        <v>845</v>
      </c>
      <c r="H419" s="221">
        <v>13980</v>
      </c>
      <c r="I419" s="221">
        <v>33490</v>
      </c>
      <c r="J419" s="221">
        <v>19510</v>
      </c>
    </row>
    <row r="420" spans="1:10" x14ac:dyDescent="0.3">
      <c r="A420" s="217">
        <v>416</v>
      </c>
      <c r="B420" s="217" t="s">
        <v>2103</v>
      </c>
      <c r="C420" s="218">
        <v>46199</v>
      </c>
      <c r="D420" s="219" t="s">
        <v>2104</v>
      </c>
      <c r="E420" s="218">
        <v>46199</v>
      </c>
      <c r="F420" s="219" t="s">
        <v>2105</v>
      </c>
      <c r="G420" s="220" t="s">
        <v>840</v>
      </c>
      <c r="H420" s="221">
        <v>13790</v>
      </c>
      <c r="I420" s="221">
        <v>32220</v>
      </c>
      <c r="J420" s="221">
        <v>18430</v>
      </c>
    </row>
    <row r="421" spans="1:10" x14ac:dyDescent="0.3">
      <c r="A421" s="217">
        <v>417</v>
      </c>
      <c r="B421" s="217" t="s">
        <v>2106</v>
      </c>
      <c r="C421" s="218">
        <v>46199</v>
      </c>
      <c r="D421" s="219" t="s">
        <v>2107</v>
      </c>
      <c r="E421" s="218">
        <v>46199</v>
      </c>
      <c r="F421" s="219" t="s">
        <v>2108</v>
      </c>
      <c r="G421" s="220" t="s">
        <v>85</v>
      </c>
      <c r="H421" s="221">
        <v>13850</v>
      </c>
      <c r="I421" s="221">
        <v>32420</v>
      </c>
      <c r="J421" s="221">
        <v>18570</v>
      </c>
    </row>
    <row r="422" spans="1:10" x14ac:dyDescent="0.3">
      <c r="A422" s="217">
        <v>418</v>
      </c>
      <c r="B422" s="217" t="s">
        <v>2109</v>
      </c>
      <c r="C422" s="218">
        <v>46199</v>
      </c>
      <c r="D422" s="219" t="s">
        <v>1962</v>
      </c>
      <c r="E422" s="218">
        <v>46199</v>
      </c>
      <c r="F422" s="219" t="s">
        <v>2110</v>
      </c>
      <c r="G422" s="220" t="s">
        <v>43</v>
      </c>
      <c r="H422" s="221">
        <v>13930</v>
      </c>
      <c r="I422" s="221">
        <v>33080</v>
      </c>
      <c r="J422" s="221">
        <v>19150</v>
      </c>
    </row>
    <row r="423" spans="1:10" x14ac:dyDescent="0.3">
      <c r="A423" s="217">
        <v>419</v>
      </c>
      <c r="B423" s="217" t="s">
        <v>2111</v>
      </c>
      <c r="C423" s="218">
        <v>46199</v>
      </c>
      <c r="D423" s="219" t="s">
        <v>2112</v>
      </c>
      <c r="E423" s="218">
        <v>46199</v>
      </c>
      <c r="F423" s="219" t="s">
        <v>865</v>
      </c>
      <c r="G423" s="220" t="s">
        <v>842</v>
      </c>
      <c r="H423" s="221">
        <v>13980</v>
      </c>
      <c r="I423" s="221">
        <v>34200</v>
      </c>
      <c r="J423" s="221">
        <v>20220</v>
      </c>
    </row>
    <row r="424" spans="1:10" x14ac:dyDescent="0.3">
      <c r="A424" s="217">
        <v>420</v>
      </c>
      <c r="B424" s="217" t="s">
        <v>2113</v>
      </c>
      <c r="C424" s="218">
        <v>46199</v>
      </c>
      <c r="D424" s="219" t="s">
        <v>2114</v>
      </c>
      <c r="E424" s="218">
        <v>46199</v>
      </c>
      <c r="F424" s="219" t="s">
        <v>2115</v>
      </c>
      <c r="G424" s="220" t="s">
        <v>76</v>
      </c>
      <c r="H424" s="221">
        <v>13960</v>
      </c>
      <c r="I424" s="221">
        <v>32320</v>
      </c>
      <c r="J424" s="221">
        <v>18360</v>
      </c>
    </row>
    <row r="425" spans="1:10" x14ac:dyDescent="0.3">
      <c r="A425" s="217">
        <v>421</v>
      </c>
      <c r="B425" s="217" t="s">
        <v>2116</v>
      </c>
      <c r="C425" s="218">
        <v>46199</v>
      </c>
      <c r="D425" s="219" t="s">
        <v>2117</v>
      </c>
      <c r="E425" s="218">
        <v>46199</v>
      </c>
      <c r="F425" s="219" t="s">
        <v>2118</v>
      </c>
      <c r="G425" s="220" t="s">
        <v>843</v>
      </c>
      <c r="H425" s="221">
        <v>14070</v>
      </c>
      <c r="I425" s="221">
        <v>33310</v>
      </c>
      <c r="J425" s="221">
        <v>19240</v>
      </c>
    </row>
    <row r="426" spans="1:10" x14ac:dyDescent="0.3">
      <c r="A426" s="217">
        <v>422</v>
      </c>
      <c r="B426" s="217" t="s">
        <v>2119</v>
      </c>
      <c r="C426" s="218">
        <v>46199</v>
      </c>
      <c r="D426" s="219" t="s">
        <v>2120</v>
      </c>
      <c r="E426" s="218">
        <v>46199</v>
      </c>
      <c r="F426" s="219" t="s">
        <v>2121</v>
      </c>
      <c r="G426" s="220" t="s">
        <v>336</v>
      </c>
      <c r="H426" s="221">
        <v>13950</v>
      </c>
      <c r="I426" s="221">
        <v>32090</v>
      </c>
      <c r="J426" s="221">
        <v>18140</v>
      </c>
    </row>
    <row r="427" spans="1:10" x14ac:dyDescent="0.3">
      <c r="A427" s="217">
        <v>423</v>
      </c>
      <c r="B427" s="217" t="s">
        <v>2122</v>
      </c>
      <c r="C427" s="218">
        <v>46199</v>
      </c>
      <c r="D427" s="219" t="s">
        <v>2123</v>
      </c>
      <c r="E427" s="218">
        <v>46199</v>
      </c>
      <c r="F427" s="219" t="s">
        <v>2124</v>
      </c>
      <c r="G427" s="220" t="s">
        <v>55</v>
      </c>
      <c r="H427" s="221">
        <v>13840</v>
      </c>
      <c r="I427" s="221">
        <v>33930</v>
      </c>
      <c r="J427" s="221">
        <v>20090</v>
      </c>
    </row>
    <row r="428" spans="1:10" x14ac:dyDescent="0.3">
      <c r="A428" s="217">
        <v>424</v>
      </c>
      <c r="B428" s="217" t="s">
        <v>2125</v>
      </c>
      <c r="C428" s="218">
        <v>46199</v>
      </c>
      <c r="D428" s="219" t="s">
        <v>2126</v>
      </c>
      <c r="E428" s="218">
        <v>46199</v>
      </c>
      <c r="F428" s="219" t="s">
        <v>2127</v>
      </c>
      <c r="G428" s="220" t="s">
        <v>64</v>
      </c>
      <c r="H428" s="221">
        <v>13930</v>
      </c>
      <c r="I428" s="221">
        <v>33630</v>
      </c>
      <c r="J428" s="221">
        <v>19700</v>
      </c>
    </row>
    <row r="429" spans="1:10" x14ac:dyDescent="0.3">
      <c r="A429" s="217">
        <v>425</v>
      </c>
      <c r="B429" s="217" t="s">
        <v>2128</v>
      </c>
      <c r="C429" s="218">
        <v>46199</v>
      </c>
      <c r="D429" s="219" t="s">
        <v>2129</v>
      </c>
      <c r="E429" s="218">
        <v>46199</v>
      </c>
      <c r="F429" s="219" t="s">
        <v>2130</v>
      </c>
      <c r="G429" s="220" t="s">
        <v>80</v>
      </c>
      <c r="H429" s="221">
        <v>13830</v>
      </c>
      <c r="I429" s="221">
        <v>33290</v>
      </c>
      <c r="J429" s="221">
        <v>19460</v>
      </c>
    </row>
    <row r="430" spans="1:10" x14ac:dyDescent="0.3">
      <c r="A430" s="217">
        <v>426</v>
      </c>
      <c r="B430" s="217" t="s">
        <v>2131</v>
      </c>
      <c r="C430" s="218">
        <v>46199</v>
      </c>
      <c r="D430" s="219" t="s">
        <v>2132</v>
      </c>
      <c r="E430" s="218">
        <v>46199</v>
      </c>
      <c r="F430" s="219" t="s">
        <v>2133</v>
      </c>
      <c r="G430" s="220" t="s">
        <v>143</v>
      </c>
      <c r="H430" s="221">
        <v>13850</v>
      </c>
      <c r="I430" s="221">
        <v>34300</v>
      </c>
      <c r="J430" s="221">
        <v>20450</v>
      </c>
    </row>
    <row r="431" spans="1:10" x14ac:dyDescent="0.3">
      <c r="A431" s="217">
        <v>427</v>
      </c>
      <c r="B431" s="217" t="s">
        <v>2134</v>
      </c>
      <c r="C431" s="218">
        <v>46199</v>
      </c>
      <c r="D431" s="219" t="s">
        <v>2135</v>
      </c>
      <c r="E431" s="218">
        <v>46199</v>
      </c>
      <c r="F431" s="219" t="s">
        <v>2136</v>
      </c>
      <c r="G431" s="220" t="s">
        <v>337</v>
      </c>
      <c r="H431" s="221">
        <v>13800</v>
      </c>
      <c r="I431" s="221">
        <v>33010</v>
      </c>
      <c r="J431" s="221">
        <v>19210</v>
      </c>
    </row>
    <row r="432" spans="1:10" x14ac:dyDescent="0.3">
      <c r="A432" s="217">
        <v>428</v>
      </c>
      <c r="B432" s="217" t="s">
        <v>2137</v>
      </c>
      <c r="C432" s="218">
        <v>46199</v>
      </c>
      <c r="D432" s="219" t="s">
        <v>2138</v>
      </c>
      <c r="E432" s="218">
        <v>46199</v>
      </c>
      <c r="F432" s="219" t="s">
        <v>2139</v>
      </c>
      <c r="G432" s="220" t="s">
        <v>335</v>
      </c>
      <c r="H432" s="221">
        <v>13720</v>
      </c>
      <c r="I432" s="221">
        <v>33720</v>
      </c>
      <c r="J432" s="221">
        <v>20000</v>
      </c>
    </row>
    <row r="433" spans="1:10" x14ac:dyDescent="0.3">
      <c r="A433" s="217">
        <v>429</v>
      </c>
      <c r="B433" s="217" t="s">
        <v>2140</v>
      </c>
      <c r="C433" s="218">
        <v>46199</v>
      </c>
      <c r="D433" s="219" t="s">
        <v>2141</v>
      </c>
      <c r="E433" s="218">
        <v>46199</v>
      </c>
      <c r="F433" s="219" t="s">
        <v>2142</v>
      </c>
      <c r="G433" s="220" t="s">
        <v>90</v>
      </c>
      <c r="H433" s="221">
        <v>13960</v>
      </c>
      <c r="I433" s="221">
        <v>33360</v>
      </c>
      <c r="J433" s="221">
        <v>19400</v>
      </c>
    </row>
    <row r="434" spans="1:10" x14ac:dyDescent="0.3">
      <c r="A434" s="217">
        <v>430</v>
      </c>
      <c r="B434" s="217" t="s">
        <v>2143</v>
      </c>
      <c r="C434" s="218">
        <v>46199</v>
      </c>
      <c r="D434" s="219" t="s">
        <v>2144</v>
      </c>
      <c r="E434" s="218">
        <v>46199</v>
      </c>
      <c r="F434" s="219" t="s">
        <v>2145</v>
      </c>
      <c r="G434" s="220" t="s">
        <v>845</v>
      </c>
      <c r="H434" s="221">
        <v>13970</v>
      </c>
      <c r="I434" s="221">
        <v>33350</v>
      </c>
      <c r="J434" s="221">
        <v>19380</v>
      </c>
    </row>
    <row r="435" spans="1:10" x14ac:dyDescent="0.3">
      <c r="A435" s="217">
        <v>431</v>
      </c>
      <c r="B435" s="217" t="s">
        <v>2146</v>
      </c>
      <c r="C435" s="218">
        <v>46199</v>
      </c>
      <c r="D435" s="219" t="s">
        <v>2147</v>
      </c>
      <c r="E435" s="218">
        <v>46199</v>
      </c>
      <c r="F435" s="219" t="s">
        <v>2148</v>
      </c>
      <c r="G435" s="220" t="s">
        <v>840</v>
      </c>
      <c r="H435" s="221">
        <v>14050</v>
      </c>
      <c r="I435" s="221">
        <v>32890</v>
      </c>
      <c r="J435" s="221">
        <v>18840</v>
      </c>
    </row>
    <row r="436" spans="1:10" x14ac:dyDescent="0.3">
      <c r="A436" s="217">
        <v>432</v>
      </c>
      <c r="B436" s="217" t="s">
        <v>2149</v>
      </c>
      <c r="C436" s="218">
        <v>46199</v>
      </c>
      <c r="D436" s="219" t="s">
        <v>2150</v>
      </c>
      <c r="E436" s="218">
        <v>46199</v>
      </c>
      <c r="F436" s="219" t="s">
        <v>2151</v>
      </c>
      <c r="G436" s="220" t="s">
        <v>85</v>
      </c>
      <c r="H436" s="221">
        <v>13820</v>
      </c>
      <c r="I436" s="221">
        <v>34420</v>
      </c>
      <c r="J436" s="221">
        <v>20600</v>
      </c>
    </row>
    <row r="437" spans="1:10" x14ac:dyDescent="0.3">
      <c r="A437" s="217">
        <v>433</v>
      </c>
      <c r="B437" s="217" t="s">
        <v>2152</v>
      </c>
      <c r="C437" s="218">
        <v>46199</v>
      </c>
      <c r="D437" s="219" t="s">
        <v>2153</v>
      </c>
      <c r="E437" s="218">
        <v>46199</v>
      </c>
      <c r="F437" s="219" t="s">
        <v>2154</v>
      </c>
      <c r="G437" s="220" t="s">
        <v>43</v>
      </c>
      <c r="H437" s="221">
        <v>13900</v>
      </c>
      <c r="I437" s="221">
        <v>33950</v>
      </c>
      <c r="J437" s="221">
        <v>20050</v>
      </c>
    </row>
    <row r="438" spans="1:10" x14ac:dyDescent="0.3">
      <c r="A438" s="217">
        <v>434</v>
      </c>
      <c r="B438" s="217" t="s">
        <v>2155</v>
      </c>
      <c r="C438" s="218">
        <v>46199</v>
      </c>
      <c r="D438" s="219" t="s">
        <v>2156</v>
      </c>
      <c r="E438" s="218">
        <v>46199</v>
      </c>
      <c r="F438" s="219" t="s">
        <v>2157</v>
      </c>
      <c r="G438" s="220" t="s">
        <v>842</v>
      </c>
      <c r="H438" s="221">
        <v>13930</v>
      </c>
      <c r="I438" s="221">
        <v>33540</v>
      </c>
      <c r="J438" s="221">
        <v>19610</v>
      </c>
    </row>
    <row r="439" spans="1:10" x14ac:dyDescent="0.3">
      <c r="A439" s="217">
        <v>435</v>
      </c>
      <c r="B439" s="217" t="s">
        <v>2158</v>
      </c>
      <c r="C439" s="218">
        <v>46199</v>
      </c>
      <c r="D439" s="219" t="s">
        <v>2159</v>
      </c>
      <c r="E439" s="218">
        <v>46199</v>
      </c>
      <c r="F439" s="219" t="s">
        <v>902</v>
      </c>
      <c r="G439" s="220" t="s">
        <v>336</v>
      </c>
      <c r="H439" s="221">
        <v>13930</v>
      </c>
      <c r="I439" s="221">
        <v>33760</v>
      </c>
      <c r="J439" s="221">
        <v>19830</v>
      </c>
    </row>
    <row r="440" spans="1:10" x14ac:dyDescent="0.3">
      <c r="A440" s="217">
        <v>436</v>
      </c>
      <c r="B440" s="217" t="s">
        <v>2160</v>
      </c>
      <c r="C440" s="218">
        <v>46199</v>
      </c>
      <c r="D440" s="219" t="s">
        <v>2161</v>
      </c>
      <c r="E440" s="218">
        <v>46199</v>
      </c>
      <c r="F440" s="219" t="s">
        <v>2162</v>
      </c>
      <c r="G440" s="220" t="s">
        <v>80</v>
      </c>
      <c r="H440" s="221">
        <v>13830</v>
      </c>
      <c r="I440" s="221">
        <v>33910</v>
      </c>
      <c r="J440" s="221">
        <v>20080</v>
      </c>
    </row>
    <row r="441" spans="1:10" x14ac:dyDescent="0.3">
      <c r="A441" s="217">
        <v>437</v>
      </c>
      <c r="B441" s="217" t="s">
        <v>2163</v>
      </c>
      <c r="C441" s="218">
        <v>46199</v>
      </c>
      <c r="D441" s="219" t="s">
        <v>2164</v>
      </c>
      <c r="E441" s="218">
        <v>46199</v>
      </c>
      <c r="F441" s="219" t="s">
        <v>2165</v>
      </c>
      <c r="G441" s="220" t="s">
        <v>143</v>
      </c>
      <c r="H441" s="221">
        <v>13880</v>
      </c>
      <c r="I441" s="221">
        <v>33690</v>
      </c>
      <c r="J441" s="221">
        <v>19810</v>
      </c>
    </row>
    <row r="442" spans="1:10" x14ac:dyDescent="0.3">
      <c r="A442" s="217">
        <v>438</v>
      </c>
      <c r="B442" s="217" t="s">
        <v>2166</v>
      </c>
      <c r="C442" s="218">
        <v>46199</v>
      </c>
      <c r="D442" s="219" t="s">
        <v>2167</v>
      </c>
      <c r="E442" s="218">
        <v>46199</v>
      </c>
      <c r="F442" s="219" t="s">
        <v>2168</v>
      </c>
      <c r="G442" s="220" t="s">
        <v>337</v>
      </c>
      <c r="H442" s="221">
        <v>13780</v>
      </c>
      <c r="I442" s="221">
        <v>31200</v>
      </c>
      <c r="J442" s="221">
        <v>17420</v>
      </c>
    </row>
    <row r="443" spans="1:10" x14ac:dyDescent="0.3">
      <c r="A443" s="217">
        <v>439</v>
      </c>
      <c r="B443" s="217" t="s">
        <v>2169</v>
      </c>
      <c r="C443" s="218">
        <v>46199</v>
      </c>
      <c r="D443" s="219" t="s">
        <v>2170</v>
      </c>
      <c r="E443" s="218">
        <v>46199</v>
      </c>
      <c r="F443" s="219" t="s">
        <v>2171</v>
      </c>
      <c r="G443" s="220" t="s">
        <v>335</v>
      </c>
      <c r="H443" s="221">
        <v>13690</v>
      </c>
      <c r="I443" s="221">
        <v>33030</v>
      </c>
      <c r="J443" s="221">
        <v>19340</v>
      </c>
    </row>
    <row r="444" spans="1:10" x14ac:dyDescent="0.3">
      <c r="A444" s="217">
        <v>440</v>
      </c>
      <c r="B444" s="217" t="s">
        <v>2172</v>
      </c>
      <c r="C444" s="218">
        <v>46200</v>
      </c>
      <c r="D444" s="219" t="s">
        <v>698</v>
      </c>
      <c r="E444" s="218">
        <v>46200</v>
      </c>
      <c r="F444" s="219" t="s">
        <v>922</v>
      </c>
      <c r="G444" s="220" t="s">
        <v>840</v>
      </c>
      <c r="H444" s="221">
        <v>14020</v>
      </c>
      <c r="I444" s="221">
        <v>31210</v>
      </c>
      <c r="J444" s="221">
        <v>17190</v>
      </c>
    </row>
    <row r="445" spans="1:10" x14ac:dyDescent="0.3">
      <c r="A445" s="217">
        <v>441</v>
      </c>
      <c r="B445" s="217" t="s">
        <v>2173</v>
      </c>
      <c r="C445" s="218">
        <v>46200</v>
      </c>
      <c r="D445" s="219" t="s">
        <v>841</v>
      </c>
      <c r="E445" s="218">
        <v>46200</v>
      </c>
      <c r="F445" s="219" t="s">
        <v>2174</v>
      </c>
      <c r="G445" s="220" t="s">
        <v>336</v>
      </c>
      <c r="H445" s="221">
        <v>13770</v>
      </c>
      <c r="I445" s="221">
        <v>32800</v>
      </c>
      <c r="J445" s="221">
        <v>19030</v>
      </c>
    </row>
    <row r="446" spans="1:10" x14ac:dyDescent="0.3">
      <c r="A446" s="217">
        <v>442</v>
      </c>
      <c r="B446" s="217" t="s">
        <v>2175</v>
      </c>
      <c r="C446" s="218">
        <v>46200</v>
      </c>
      <c r="D446" s="219" t="s">
        <v>2176</v>
      </c>
      <c r="E446" s="218">
        <v>46200</v>
      </c>
      <c r="F446" s="219" t="s">
        <v>2177</v>
      </c>
      <c r="G446" s="220" t="s">
        <v>43</v>
      </c>
      <c r="H446" s="221">
        <v>13800</v>
      </c>
      <c r="I446" s="221">
        <v>32220</v>
      </c>
      <c r="J446" s="221">
        <v>18420</v>
      </c>
    </row>
    <row r="447" spans="1:10" x14ac:dyDescent="0.3">
      <c r="A447" s="217">
        <v>443</v>
      </c>
      <c r="B447" s="217" t="s">
        <v>2178</v>
      </c>
      <c r="C447" s="218">
        <v>46200</v>
      </c>
      <c r="D447" s="219" t="s">
        <v>1841</v>
      </c>
      <c r="E447" s="218">
        <v>46200</v>
      </c>
      <c r="F447" s="219" t="s">
        <v>2179</v>
      </c>
      <c r="G447" s="220" t="s">
        <v>71</v>
      </c>
      <c r="H447" s="221">
        <v>13800</v>
      </c>
      <c r="I447" s="221">
        <v>32620</v>
      </c>
      <c r="J447" s="221">
        <v>18820</v>
      </c>
    </row>
    <row r="448" spans="1:10" x14ac:dyDescent="0.3">
      <c r="A448" s="217">
        <v>444</v>
      </c>
      <c r="B448" s="217" t="s">
        <v>2180</v>
      </c>
      <c r="C448" s="218">
        <v>46200</v>
      </c>
      <c r="D448" s="219" t="s">
        <v>2181</v>
      </c>
      <c r="E448" s="218">
        <v>46200</v>
      </c>
      <c r="F448" s="219" t="s">
        <v>890</v>
      </c>
      <c r="G448" s="220" t="s">
        <v>80</v>
      </c>
      <c r="H448" s="221">
        <v>14160</v>
      </c>
      <c r="I448" s="221">
        <v>31640</v>
      </c>
      <c r="J448" s="221">
        <v>17480</v>
      </c>
    </row>
    <row r="449" spans="1:10" x14ac:dyDescent="0.3">
      <c r="A449" s="217">
        <v>445</v>
      </c>
      <c r="B449" s="217" t="s">
        <v>2182</v>
      </c>
      <c r="C449" s="218">
        <v>46200</v>
      </c>
      <c r="D449" s="219" t="s">
        <v>2183</v>
      </c>
      <c r="E449" s="218">
        <v>46200</v>
      </c>
      <c r="F449" s="219" t="s">
        <v>2184</v>
      </c>
      <c r="G449" s="220" t="s">
        <v>537</v>
      </c>
      <c r="H449" s="221">
        <v>13860</v>
      </c>
      <c r="I449" s="221">
        <v>32950</v>
      </c>
      <c r="J449" s="221">
        <v>19090</v>
      </c>
    </row>
    <row r="450" spans="1:10" x14ac:dyDescent="0.3">
      <c r="A450" s="217">
        <v>446</v>
      </c>
      <c r="B450" s="217" t="s">
        <v>2185</v>
      </c>
      <c r="C450" s="218">
        <v>46200</v>
      </c>
      <c r="D450" s="219" t="s">
        <v>873</v>
      </c>
      <c r="E450" s="218">
        <v>46200</v>
      </c>
      <c r="F450" s="219" t="s">
        <v>2186</v>
      </c>
      <c r="G450" s="220" t="s">
        <v>55</v>
      </c>
      <c r="H450" s="221">
        <v>13790</v>
      </c>
      <c r="I450" s="221">
        <v>32530</v>
      </c>
      <c r="J450" s="221">
        <v>18740</v>
      </c>
    </row>
    <row r="451" spans="1:10" x14ac:dyDescent="0.3">
      <c r="A451" s="217">
        <v>447</v>
      </c>
      <c r="B451" s="217" t="s">
        <v>2187</v>
      </c>
      <c r="C451" s="218">
        <v>46200</v>
      </c>
      <c r="D451" s="219" t="s">
        <v>2188</v>
      </c>
      <c r="E451" s="218">
        <v>46200</v>
      </c>
      <c r="F451" s="219" t="s">
        <v>2189</v>
      </c>
      <c r="G451" s="220" t="s">
        <v>64</v>
      </c>
      <c r="H451" s="221">
        <v>13870</v>
      </c>
      <c r="I451" s="221">
        <v>32930</v>
      </c>
      <c r="J451" s="221">
        <v>19060</v>
      </c>
    </row>
    <row r="452" spans="1:10" x14ac:dyDescent="0.3">
      <c r="A452" s="217">
        <v>448</v>
      </c>
      <c r="B452" s="217" t="s">
        <v>2190</v>
      </c>
      <c r="C452" s="218">
        <v>46200</v>
      </c>
      <c r="D452" s="219" t="s">
        <v>880</v>
      </c>
      <c r="E452" s="218">
        <v>46200</v>
      </c>
      <c r="F452" s="219" t="s">
        <v>2191</v>
      </c>
      <c r="G452" s="220" t="s">
        <v>843</v>
      </c>
      <c r="H452" s="221">
        <v>14040</v>
      </c>
      <c r="I452" s="221">
        <v>33740</v>
      </c>
      <c r="J452" s="221">
        <v>19700</v>
      </c>
    </row>
    <row r="453" spans="1:10" x14ac:dyDescent="0.3">
      <c r="A453" s="217">
        <v>449</v>
      </c>
      <c r="B453" s="217" t="s">
        <v>2192</v>
      </c>
      <c r="C453" s="218">
        <v>46200</v>
      </c>
      <c r="D453" s="219" t="s">
        <v>2193</v>
      </c>
      <c r="E453" s="218">
        <v>46200</v>
      </c>
      <c r="F453" s="219" t="s">
        <v>2194</v>
      </c>
      <c r="G453" s="220" t="s">
        <v>90</v>
      </c>
      <c r="H453" s="221">
        <v>13840</v>
      </c>
      <c r="I453" s="221">
        <v>30680</v>
      </c>
      <c r="J453" s="221">
        <v>16840</v>
      </c>
    </row>
    <row r="454" spans="1:10" x14ac:dyDescent="0.3">
      <c r="A454" s="217">
        <v>450</v>
      </c>
      <c r="B454" s="217" t="s">
        <v>2195</v>
      </c>
      <c r="C454" s="218">
        <v>46200</v>
      </c>
      <c r="D454" s="219" t="s">
        <v>2196</v>
      </c>
      <c r="E454" s="218">
        <v>46200</v>
      </c>
      <c r="F454" s="219" t="s">
        <v>2197</v>
      </c>
      <c r="G454" s="220" t="s">
        <v>337</v>
      </c>
      <c r="H454" s="221">
        <v>13720</v>
      </c>
      <c r="I454" s="221">
        <v>32510</v>
      </c>
      <c r="J454" s="221">
        <v>18790</v>
      </c>
    </row>
    <row r="455" spans="1:10" x14ac:dyDescent="0.3">
      <c r="A455" s="217">
        <v>451</v>
      </c>
      <c r="B455" s="217" t="s">
        <v>2198</v>
      </c>
      <c r="C455" s="218">
        <v>46200</v>
      </c>
      <c r="D455" s="219" t="s">
        <v>2199</v>
      </c>
      <c r="E455" s="218">
        <v>46200</v>
      </c>
      <c r="F455" s="219" t="s">
        <v>2200</v>
      </c>
      <c r="G455" s="220" t="s">
        <v>85</v>
      </c>
      <c r="H455" s="221">
        <v>13770</v>
      </c>
      <c r="I455" s="221">
        <v>32810</v>
      </c>
      <c r="J455" s="221">
        <v>19040</v>
      </c>
    </row>
    <row r="456" spans="1:10" x14ac:dyDescent="0.3">
      <c r="A456" s="217">
        <v>452</v>
      </c>
      <c r="B456" s="217" t="s">
        <v>2201</v>
      </c>
      <c r="C456" s="218">
        <v>46200</v>
      </c>
      <c r="D456" s="219" t="s">
        <v>2202</v>
      </c>
      <c r="E456" s="218">
        <v>46200</v>
      </c>
      <c r="F456" s="219" t="s">
        <v>2203</v>
      </c>
      <c r="G456" s="220" t="s">
        <v>335</v>
      </c>
      <c r="H456" s="221">
        <v>13710</v>
      </c>
      <c r="I456" s="221">
        <v>31960</v>
      </c>
      <c r="J456" s="221">
        <v>18250</v>
      </c>
    </row>
    <row r="457" spans="1:10" x14ac:dyDescent="0.3">
      <c r="A457" s="217">
        <v>453</v>
      </c>
      <c r="B457" s="217" t="s">
        <v>2204</v>
      </c>
      <c r="C457" s="218">
        <v>46200</v>
      </c>
      <c r="D457" s="219" t="s">
        <v>2205</v>
      </c>
      <c r="E457" s="218">
        <v>46200</v>
      </c>
      <c r="F457" s="219" t="s">
        <v>844</v>
      </c>
      <c r="G457" s="220" t="s">
        <v>845</v>
      </c>
      <c r="H457" s="221">
        <v>13860</v>
      </c>
      <c r="I457" s="221">
        <v>34050</v>
      </c>
      <c r="J457" s="221">
        <v>20190</v>
      </c>
    </row>
    <row r="458" spans="1:10" x14ac:dyDescent="0.3">
      <c r="A458" s="217">
        <v>454</v>
      </c>
      <c r="B458" s="217" t="s">
        <v>2206</v>
      </c>
      <c r="C458" s="218">
        <v>46200</v>
      </c>
      <c r="D458" s="219" t="s">
        <v>2207</v>
      </c>
      <c r="E458" s="218">
        <v>46200</v>
      </c>
      <c r="F458" s="219" t="s">
        <v>2208</v>
      </c>
      <c r="G458" s="220" t="s">
        <v>143</v>
      </c>
      <c r="H458" s="221">
        <v>13770</v>
      </c>
      <c r="I458" s="221">
        <v>33890</v>
      </c>
      <c r="J458" s="221">
        <v>20120</v>
      </c>
    </row>
    <row r="459" spans="1:10" x14ac:dyDescent="0.3">
      <c r="A459" s="217">
        <v>455</v>
      </c>
      <c r="B459" s="217" t="s">
        <v>2209</v>
      </c>
      <c r="C459" s="218">
        <v>46200</v>
      </c>
      <c r="D459" s="219" t="s">
        <v>2210</v>
      </c>
      <c r="E459" s="218">
        <v>46200</v>
      </c>
      <c r="F459" s="219" t="s">
        <v>2211</v>
      </c>
      <c r="G459" s="220" t="s">
        <v>840</v>
      </c>
      <c r="H459" s="221">
        <v>13970</v>
      </c>
      <c r="I459" s="221">
        <v>33280</v>
      </c>
      <c r="J459" s="221">
        <v>19310</v>
      </c>
    </row>
    <row r="460" spans="1:10" x14ac:dyDescent="0.3">
      <c r="A460" s="217">
        <v>456</v>
      </c>
      <c r="B460" s="217" t="s">
        <v>2212</v>
      </c>
      <c r="C460" s="218">
        <v>46200</v>
      </c>
      <c r="D460" s="219" t="s">
        <v>2213</v>
      </c>
      <c r="E460" s="218">
        <v>46200</v>
      </c>
      <c r="F460" s="219" t="s">
        <v>2214</v>
      </c>
      <c r="G460" s="220" t="s">
        <v>336</v>
      </c>
      <c r="H460" s="221">
        <v>13670</v>
      </c>
      <c r="I460" s="221">
        <v>34040</v>
      </c>
      <c r="J460" s="221">
        <v>20370</v>
      </c>
    </row>
    <row r="461" spans="1:10" x14ac:dyDescent="0.3">
      <c r="A461" s="217">
        <v>457</v>
      </c>
      <c r="B461" s="217" t="s">
        <v>2215</v>
      </c>
      <c r="C461" s="218">
        <v>46200</v>
      </c>
      <c r="D461" s="219" t="s">
        <v>877</v>
      </c>
      <c r="E461" s="218">
        <v>46200</v>
      </c>
      <c r="F461" s="219" t="s">
        <v>2216</v>
      </c>
      <c r="G461" s="220" t="s">
        <v>43</v>
      </c>
      <c r="H461" s="221">
        <v>13860</v>
      </c>
      <c r="I461" s="221">
        <v>33260</v>
      </c>
      <c r="J461" s="221">
        <v>19400</v>
      </c>
    </row>
    <row r="462" spans="1:10" x14ac:dyDescent="0.3">
      <c r="A462" s="217">
        <v>458</v>
      </c>
      <c r="B462" s="217" t="s">
        <v>2217</v>
      </c>
      <c r="C462" s="218">
        <v>46200</v>
      </c>
      <c r="D462" s="219" t="s">
        <v>2218</v>
      </c>
      <c r="E462" s="218">
        <v>46200</v>
      </c>
      <c r="F462" s="219" t="s">
        <v>2219</v>
      </c>
      <c r="G462" s="220" t="s">
        <v>80</v>
      </c>
      <c r="H462" s="221">
        <v>14190</v>
      </c>
      <c r="I462" s="221">
        <v>33300</v>
      </c>
      <c r="J462" s="221">
        <v>19110</v>
      </c>
    </row>
    <row r="463" spans="1:10" x14ac:dyDescent="0.3">
      <c r="A463" s="217">
        <v>459</v>
      </c>
      <c r="B463" s="217" t="s">
        <v>2220</v>
      </c>
      <c r="C463" s="218">
        <v>46200</v>
      </c>
      <c r="D463" s="219" t="s">
        <v>2221</v>
      </c>
      <c r="E463" s="218">
        <v>46200</v>
      </c>
      <c r="F463" s="219" t="s">
        <v>2222</v>
      </c>
      <c r="G463" s="220" t="s">
        <v>71</v>
      </c>
      <c r="H463" s="221">
        <v>13820</v>
      </c>
      <c r="I463" s="221">
        <v>33160</v>
      </c>
      <c r="J463" s="221">
        <v>19340</v>
      </c>
    </row>
    <row r="464" spans="1:10" x14ac:dyDescent="0.3">
      <c r="A464" s="217">
        <v>460</v>
      </c>
      <c r="B464" s="217" t="s">
        <v>2223</v>
      </c>
      <c r="C464" s="218">
        <v>46200</v>
      </c>
      <c r="D464" s="219" t="s">
        <v>2224</v>
      </c>
      <c r="E464" s="218">
        <v>46200</v>
      </c>
      <c r="F464" s="219" t="s">
        <v>2225</v>
      </c>
      <c r="G464" s="220" t="s">
        <v>537</v>
      </c>
      <c r="H464" s="221">
        <v>13810</v>
      </c>
      <c r="I464" s="221">
        <v>34210</v>
      </c>
      <c r="J464" s="221">
        <v>20400</v>
      </c>
    </row>
    <row r="465" spans="1:10" x14ac:dyDescent="0.3">
      <c r="A465" s="217">
        <v>461</v>
      </c>
      <c r="B465" s="217" t="s">
        <v>2226</v>
      </c>
      <c r="C465" s="218">
        <v>46200</v>
      </c>
      <c r="D465" s="219" t="s">
        <v>2227</v>
      </c>
      <c r="E465" s="218">
        <v>46200</v>
      </c>
      <c r="F465" s="219" t="s">
        <v>2228</v>
      </c>
      <c r="G465" s="220" t="s">
        <v>64</v>
      </c>
      <c r="H465" s="221">
        <v>13820</v>
      </c>
      <c r="I465" s="221">
        <v>32900</v>
      </c>
      <c r="J465" s="221">
        <v>19080</v>
      </c>
    </row>
    <row r="466" spans="1:10" x14ac:dyDescent="0.3">
      <c r="A466" s="217">
        <v>462</v>
      </c>
      <c r="B466" s="217" t="s">
        <v>2229</v>
      </c>
      <c r="C466" s="218">
        <v>46200</v>
      </c>
      <c r="D466" s="219" t="s">
        <v>860</v>
      </c>
      <c r="E466" s="218">
        <v>46200</v>
      </c>
      <c r="F466" s="219" t="s">
        <v>884</v>
      </c>
      <c r="G466" s="220" t="s">
        <v>55</v>
      </c>
      <c r="H466" s="221">
        <v>13760</v>
      </c>
      <c r="I466" s="221">
        <v>33270</v>
      </c>
      <c r="J466" s="221">
        <v>19510</v>
      </c>
    </row>
    <row r="467" spans="1:10" x14ac:dyDescent="0.3">
      <c r="A467" s="217">
        <v>463</v>
      </c>
      <c r="B467" s="217" t="s">
        <v>2230</v>
      </c>
      <c r="C467" s="218">
        <v>46200</v>
      </c>
      <c r="D467" s="219" t="s">
        <v>2231</v>
      </c>
      <c r="E467" s="218">
        <v>46200</v>
      </c>
      <c r="F467" s="219" t="s">
        <v>2232</v>
      </c>
      <c r="G467" s="220" t="s">
        <v>843</v>
      </c>
      <c r="H467" s="221">
        <v>13970</v>
      </c>
      <c r="I467" s="221">
        <v>33440</v>
      </c>
      <c r="J467" s="221">
        <v>19470</v>
      </c>
    </row>
    <row r="468" spans="1:10" x14ac:dyDescent="0.3">
      <c r="A468" s="217">
        <v>464</v>
      </c>
      <c r="B468" s="217" t="s">
        <v>2233</v>
      </c>
      <c r="C468" s="218">
        <v>46200</v>
      </c>
      <c r="D468" s="219" t="s">
        <v>2234</v>
      </c>
      <c r="E468" s="218">
        <v>46200</v>
      </c>
      <c r="F468" s="219" t="s">
        <v>2235</v>
      </c>
      <c r="G468" s="220" t="s">
        <v>85</v>
      </c>
      <c r="H468" s="221">
        <v>13750</v>
      </c>
      <c r="I468" s="221">
        <v>30740</v>
      </c>
      <c r="J468" s="221">
        <v>16990</v>
      </c>
    </row>
    <row r="469" spans="1:10" x14ac:dyDescent="0.3">
      <c r="A469" s="217">
        <v>465</v>
      </c>
      <c r="B469" s="217" t="s">
        <v>2236</v>
      </c>
      <c r="C469" s="218">
        <v>46200</v>
      </c>
      <c r="D469" s="219" t="s">
        <v>2237</v>
      </c>
      <c r="E469" s="218">
        <v>46200</v>
      </c>
      <c r="F469" s="219" t="s">
        <v>2238</v>
      </c>
      <c r="G469" s="220" t="s">
        <v>337</v>
      </c>
      <c r="H469" s="221">
        <v>13710</v>
      </c>
      <c r="I469" s="221">
        <v>30050</v>
      </c>
      <c r="J469" s="221">
        <v>16340</v>
      </c>
    </row>
    <row r="470" spans="1:10" x14ac:dyDescent="0.3">
      <c r="A470" s="217">
        <v>466</v>
      </c>
      <c r="B470" s="217" t="s">
        <v>2239</v>
      </c>
      <c r="C470" s="218">
        <v>46200</v>
      </c>
      <c r="D470" s="219" t="s">
        <v>2240</v>
      </c>
      <c r="E470" s="218">
        <v>46200</v>
      </c>
      <c r="F470" s="219" t="s">
        <v>2241</v>
      </c>
      <c r="G470" s="220" t="s">
        <v>335</v>
      </c>
      <c r="H470" s="221">
        <v>13740</v>
      </c>
      <c r="I470" s="221">
        <v>28870</v>
      </c>
      <c r="J470" s="221">
        <v>15130</v>
      </c>
    </row>
    <row r="471" spans="1:10" x14ac:dyDescent="0.3">
      <c r="A471" s="217">
        <v>467</v>
      </c>
      <c r="B471" s="217" t="s">
        <v>2242</v>
      </c>
      <c r="C471" s="218">
        <v>46200</v>
      </c>
      <c r="D471" s="219" t="s">
        <v>2243</v>
      </c>
      <c r="E471" s="218">
        <v>46200</v>
      </c>
      <c r="F471" s="219" t="s">
        <v>2244</v>
      </c>
      <c r="G471" s="220" t="s">
        <v>845</v>
      </c>
      <c r="H471" s="221">
        <v>13840</v>
      </c>
      <c r="I471" s="221">
        <v>29250</v>
      </c>
      <c r="J471" s="221">
        <v>15410</v>
      </c>
    </row>
    <row r="472" spans="1:10" x14ac:dyDescent="0.3">
      <c r="A472" s="217">
        <v>468</v>
      </c>
      <c r="B472" s="217" t="s">
        <v>2245</v>
      </c>
      <c r="C472" s="218">
        <v>46200</v>
      </c>
      <c r="D472" s="219" t="s">
        <v>2246</v>
      </c>
      <c r="E472" s="218">
        <v>46200</v>
      </c>
      <c r="F472" s="219" t="s">
        <v>2247</v>
      </c>
      <c r="G472" s="220" t="s">
        <v>143</v>
      </c>
      <c r="H472" s="221">
        <v>13550</v>
      </c>
      <c r="I472" s="221">
        <v>30780</v>
      </c>
      <c r="J472" s="221">
        <v>17230</v>
      </c>
    </row>
    <row r="473" spans="1:10" x14ac:dyDescent="0.3">
      <c r="A473" s="217">
        <v>469</v>
      </c>
      <c r="B473" s="217" t="s">
        <v>2248</v>
      </c>
      <c r="C473" s="218">
        <v>46200</v>
      </c>
      <c r="D473" s="219" t="s">
        <v>2249</v>
      </c>
      <c r="E473" s="218">
        <v>46200</v>
      </c>
      <c r="F473" s="219" t="s">
        <v>2250</v>
      </c>
      <c r="G473" s="220" t="s">
        <v>840</v>
      </c>
      <c r="H473" s="221">
        <v>13940</v>
      </c>
      <c r="I473" s="221">
        <v>30330</v>
      </c>
      <c r="J473" s="221">
        <v>16390</v>
      </c>
    </row>
    <row r="474" spans="1:10" x14ac:dyDescent="0.3">
      <c r="A474" s="217">
        <v>470</v>
      </c>
      <c r="B474" s="217" t="s">
        <v>2251</v>
      </c>
      <c r="C474" s="218">
        <v>46200</v>
      </c>
      <c r="D474" s="219" t="s">
        <v>2252</v>
      </c>
      <c r="E474" s="218">
        <v>46200</v>
      </c>
      <c r="F474" s="219" t="s">
        <v>876</v>
      </c>
      <c r="G474" s="220" t="s">
        <v>336</v>
      </c>
      <c r="H474" s="221">
        <v>13690</v>
      </c>
      <c r="I474" s="221">
        <v>30970</v>
      </c>
      <c r="J474" s="221">
        <v>17280</v>
      </c>
    </row>
    <row r="475" spans="1:10" x14ac:dyDescent="0.3">
      <c r="A475" s="217">
        <v>471</v>
      </c>
      <c r="B475" s="217" t="s">
        <v>2253</v>
      </c>
      <c r="C475" s="218">
        <v>46200</v>
      </c>
      <c r="D475" s="219" t="s">
        <v>2254</v>
      </c>
      <c r="E475" s="218">
        <v>46200</v>
      </c>
      <c r="F475" s="219" t="s">
        <v>2255</v>
      </c>
      <c r="G475" s="220" t="s">
        <v>43</v>
      </c>
      <c r="H475" s="221">
        <v>13810</v>
      </c>
      <c r="I475" s="221">
        <v>30100</v>
      </c>
      <c r="J475" s="221">
        <v>16290</v>
      </c>
    </row>
    <row r="476" spans="1:10" x14ac:dyDescent="0.3">
      <c r="A476" s="217">
        <v>472</v>
      </c>
      <c r="B476" s="217" t="s">
        <v>2256</v>
      </c>
      <c r="C476" s="218">
        <v>46200</v>
      </c>
      <c r="D476" s="219" t="s">
        <v>2257</v>
      </c>
      <c r="E476" s="218">
        <v>46200</v>
      </c>
      <c r="F476" s="219" t="s">
        <v>2258</v>
      </c>
      <c r="G476" s="220" t="s">
        <v>90</v>
      </c>
      <c r="H476" s="221">
        <v>13810</v>
      </c>
      <c r="I476" s="221">
        <v>30700</v>
      </c>
      <c r="J476" s="221">
        <v>16890</v>
      </c>
    </row>
    <row r="477" spans="1:10" x14ac:dyDescent="0.3">
      <c r="A477" s="217">
        <v>473</v>
      </c>
      <c r="B477" s="217" t="s">
        <v>2259</v>
      </c>
      <c r="C477" s="218">
        <v>46200</v>
      </c>
      <c r="D477" s="219" t="s">
        <v>2260</v>
      </c>
      <c r="E477" s="218">
        <v>46200</v>
      </c>
      <c r="F477" s="219" t="s">
        <v>2261</v>
      </c>
      <c r="G477" s="220" t="s">
        <v>80</v>
      </c>
      <c r="H477" s="221">
        <v>14010</v>
      </c>
      <c r="I477" s="221">
        <v>30510</v>
      </c>
      <c r="J477" s="221">
        <v>16500</v>
      </c>
    </row>
    <row r="478" spans="1:10" x14ac:dyDescent="0.3">
      <c r="A478" s="217">
        <v>474</v>
      </c>
      <c r="B478" s="217" t="s">
        <v>2262</v>
      </c>
      <c r="C478" s="218">
        <v>46200</v>
      </c>
      <c r="D478" s="219" t="s">
        <v>2263</v>
      </c>
      <c r="E478" s="218">
        <v>46200</v>
      </c>
      <c r="F478" s="219" t="s">
        <v>2264</v>
      </c>
      <c r="G478" s="220" t="s">
        <v>537</v>
      </c>
      <c r="H478" s="221">
        <v>13750</v>
      </c>
      <c r="I478" s="221">
        <v>32300</v>
      </c>
      <c r="J478" s="221">
        <v>18550</v>
      </c>
    </row>
    <row r="479" spans="1:10" x14ac:dyDescent="0.3">
      <c r="A479" s="217">
        <v>475</v>
      </c>
      <c r="B479" s="217" t="s">
        <v>2265</v>
      </c>
      <c r="C479" s="218">
        <v>46200</v>
      </c>
      <c r="D479" s="219" t="s">
        <v>2266</v>
      </c>
      <c r="E479" s="218">
        <v>46200</v>
      </c>
      <c r="F479" s="219" t="s">
        <v>2267</v>
      </c>
      <c r="G479" s="220" t="s">
        <v>64</v>
      </c>
      <c r="H479" s="221">
        <v>13800</v>
      </c>
      <c r="I479" s="221">
        <v>32130</v>
      </c>
      <c r="J479" s="221">
        <v>18330</v>
      </c>
    </row>
    <row r="480" spans="1:10" x14ac:dyDescent="0.3">
      <c r="A480" s="217">
        <v>476</v>
      </c>
      <c r="B480" s="217" t="s">
        <v>2268</v>
      </c>
      <c r="C480" s="218">
        <v>46200</v>
      </c>
      <c r="D480" s="219" t="s">
        <v>2269</v>
      </c>
      <c r="E480" s="218">
        <v>46200</v>
      </c>
      <c r="F480" s="219" t="s">
        <v>2270</v>
      </c>
      <c r="G480" s="220" t="s">
        <v>55</v>
      </c>
      <c r="H480" s="221">
        <v>13720</v>
      </c>
      <c r="I480" s="221">
        <v>30890</v>
      </c>
      <c r="J480" s="221">
        <v>17170</v>
      </c>
    </row>
    <row r="481" spans="1:10" x14ac:dyDescent="0.3">
      <c r="A481" s="217">
        <v>477</v>
      </c>
      <c r="B481" s="217" t="s">
        <v>2271</v>
      </c>
      <c r="C481" s="218">
        <v>46200</v>
      </c>
      <c r="D481" s="219" t="s">
        <v>2272</v>
      </c>
      <c r="E481" s="218">
        <v>46200</v>
      </c>
      <c r="F481" s="219" t="s">
        <v>2273</v>
      </c>
      <c r="G481" s="220" t="s">
        <v>843</v>
      </c>
      <c r="H481" s="221">
        <v>13950</v>
      </c>
      <c r="I481" s="221">
        <v>31070</v>
      </c>
      <c r="J481" s="221">
        <v>17120</v>
      </c>
    </row>
    <row r="482" spans="1:10" x14ac:dyDescent="0.3">
      <c r="A482" s="217">
        <v>478</v>
      </c>
      <c r="B482" s="217" t="s">
        <v>2274</v>
      </c>
      <c r="C482" s="218">
        <v>46200</v>
      </c>
      <c r="D482" s="219" t="s">
        <v>2275</v>
      </c>
      <c r="E482" s="218">
        <v>46200</v>
      </c>
      <c r="F482" s="219" t="s">
        <v>2276</v>
      </c>
      <c r="G482" s="220" t="s">
        <v>85</v>
      </c>
      <c r="H482" s="221">
        <v>13720</v>
      </c>
      <c r="I482" s="221">
        <v>30780</v>
      </c>
      <c r="J482" s="221">
        <v>17060</v>
      </c>
    </row>
    <row r="483" spans="1:10" x14ac:dyDescent="0.3">
      <c r="A483" s="217">
        <v>479</v>
      </c>
      <c r="B483" s="217" t="s">
        <v>2277</v>
      </c>
      <c r="C483" s="218">
        <v>46200</v>
      </c>
      <c r="D483" s="219" t="s">
        <v>2278</v>
      </c>
      <c r="E483" s="218">
        <v>46200</v>
      </c>
      <c r="F483" s="219" t="s">
        <v>2279</v>
      </c>
      <c r="G483" s="220" t="s">
        <v>335</v>
      </c>
      <c r="H483" s="221">
        <v>13700</v>
      </c>
      <c r="I483" s="221">
        <v>32220</v>
      </c>
      <c r="J483" s="221">
        <v>18520</v>
      </c>
    </row>
    <row r="484" spans="1:10" x14ac:dyDescent="0.3">
      <c r="A484" s="217">
        <v>480</v>
      </c>
      <c r="B484" s="217" t="s">
        <v>2280</v>
      </c>
      <c r="C484" s="218">
        <v>46200</v>
      </c>
      <c r="D484" s="219" t="s">
        <v>2281</v>
      </c>
      <c r="E484" s="218">
        <v>46200</v>
      </c>
      <c r="F484" s="219" t="s">
        <v>2282</v>
      </c>
      <c r="G484" s="220" t="s">
        <v>845</v>
      </c>
      <c r="H484" s="221">
        <v>13800</v>
      </c>
      <c r="I484" s="221">
        <v>30750</v>
      </c>
      <c r="J484" s="221">
        <v>16950</v>
      </c>
    </row>
    <row r="485" spans="1:10" x14ac:dyDescent="0.3">
      <c r="A485" s="217">
        <v>481</v>
      </c>
      <c r="B485" s="217" t="s">
        <v>2283</v>
      </c>
      <c r="C485" s="218">
        <v>46200</v>
      </c>
      <c r="D485" s="219" t="s">
        <v>2284</v>
      </c>
      <c r="E485" s="218">
        <v>46200</v>
      </c>
      <c r="F485" s="219" t="s">
        <v>2285</v>
      </c>
      <c r="G485" s="220" t="s">
        <v>337</v>
      </c>
      <c r="H485" s="221">
        <v>13680</v>
      </c>
      <c r="I485" s="221">
        <v>29550</v>
      </c>
      <c r="J485" s="221">
        <v>15870</v>
      </c>
    </row>
    <row r="486" spans="1:10" x14ac:dyDescent="0.3">
      <c r="A486" s="217">
        <v>482</v>
      </c>
      <c r="B486" s="217" t="s">
        <v>2286</v>
      </c>
      <c r="C486" s="218">
        <v>46200</v>
      </c>
      <c r="D486" s="219" t="s">
        <v>2287</v>
      </c>
      <c r="E486" s="218">
        <v>46200</v>
      </c>
      <c r="F486" s="219" t="s">
        <v>2288</v>
      </c>
      <c r="G486" s="220" t="s">
        <v>143</v>
      </c>
      <c r="H486" s="221">
        <v>13710</v>
      </c>
      <c r="I486" s="221">
        <v>29910</v>
      </c>
      <c r="J486" s="221">
        <v>16200</v>
      </c>
    </row>
    <row r="487" spans="1:10" x14ac:dyDescent="0.3">
      <c r="A487" s="217">
        <v>483</v>
      </c>
      <c r="B487" s="217" t="s">
        <v>2289</v>
      </c>
      <c r="C487" s="218">
        <v>46200</v>
      </c>
      <c r="D487" s="219" t="s">
        <v>2290</v>
      </c>
      <c r="E487" s="218">
        <v>46200</v>
      </c>
      <c r="F487" s="219" t="s">
        <v>2291</v>
      </c>
      <c r="G487" s="220" t="s">
        <v>840</v>
      </c>
      <c r="H487" s="221">
        <v>13910</v>
      </c>
      <c r="I487" s="221">
        <v>30320</v>
      </c>
      <c r="J487" s="221">
        <v>16410</v>
      </c>
    </row>
    <row r="488" spans="1:10" x14ac:dyDescent="0.3">
      <c r="A488" s="217">
        <v>484</v>
      </c>
      <c r="B488" s="217" t="s">
        <v>2292</v>
      </c>
      <c r="C488" s="218">
        <v>46200</v>
      </c>
      <c r="D488" s="219" t="s">
        <v>2293</v>
      </c>
      <c r="E488" s="218">
        <v>46200</v>
      </c>
      <c r="F488" s="219" t="s">
        <v>2294</v>
      </c>
      <c r="G488" s="220" t="s">
        <v>336</v>
      </c>
      <c r="H488" s="221">
        <v>13630</v>
      </c>
      <c r="I488" s="221">
        <v>33900</v>
      </c>
      <c r="J488" s="221">
        <v>20270</v>
      </c>
    </row>
    <row r="489" spans="1:10" x14ac:dyDescent="0.3">
      <c r="A489" s="217">
        <v>485</v>
      </c>
      <c r="B489" s="217" t="s">
        <v>2295</v>
      </c>
      <c r="C489" s="218">
        <v>46200</v>
      </c>
      <c r="D489" s="219" t="s">
        <v>2296</v>
      </c>
      <c r="E489" s="218">
        <v>46200</v>
      </c>
      <c r="F489" s="219" t="s">
        <v>2297</v>
      </c>
      <c r="G489" s="220" t="s">
        <v>43</v>
      </c>
      <c r="H489" s="221">
        <v>13750</v>
      </c>
      <c r="I489" s="221">
        <v>32950</v>
      </c>
      <c r="J489" s="221">
        <v>19200</v>
      </c>
    </row>
    <row r="490" spans="1:10" x14ac:dyDescent="0.3">
      <c r="A490" s="217">
        <v>486</v>
      </c>
      <c r="B490" s="217" t="s">
        <v>2298</v>
      </c>
      <c r="C490" s="218">
        <v>46200</v>
      </c>
      <c r="D490" s="219" t="s">
        <v>2299</v>
      </c>
      <c r="E490" s="218">
        <v>46200</v>
      </c>
      <c r="F490" s="219" t="s">
        <v>2300</v>
      </c>
      <c r="G490" s="220" t="s">
        <v>90</v>
      </c>
      <c r="H490" s="221">
        <v>13800</v>
      </c>
      <c r="I490" s="221">
        <v>33360</v>
      </c>
      <c r="J490" s="221">
        <v>19560</v>
      </c>
    </row>
    <row r="491" spans="1:10" x14ac:dyDescent="0.3">
      <c r="A491" s="217">
        <v>487</v>
      </c>
      <c r="B491" s="217" t="s">
        <v>2301</v>
      </c>
      <c r="C491" s="218">
        <v>46200</v>
      </c>
      <c r="D491" s="219" t="s">
        <v>2302</v>
      </c>
      <c r="E491" s="218">
        <v>46200</v>
      </c>
      <c r="F491" s="219" t="s">
        <v>2303</v>
      </c>
      <c r="G491" s="220" t="s">
        <v>80</v>
      </c>
      <c r="H491" s="221">
        <v>14090</v>
      </c>
      <c r="I491" s="221">
        <v>33600</v>
      </c>
      <c r="J491" s="221">
        <v>19510</v>
      </c>
    </row>
    <row r="492" spans="1:10" x14ac:dyDescent="0.3">
      <c r="A492" s="217">
        <v>488</v>
      </c>
      <c r="B492" s="217" t="s">
        <v>2304</v>
      </c>
      <c r="C492" s="218">
        <v>46200</v>
      </c>
      <c r="D492" s="219" t="s">
        <v>2305</v>
      </c>
      <c r="E492" s="218">
        <v>46200</v>
      </c>
      <c r="F492" s="219" t="s">
        <v>2306</v>
      </c>
      <c r="G492" s="220" t="s">
        <v>537</v>
      </c>
      <c r="H492" s="221">
        <v>13790</v>
      </c>
      <c r="I492" s="221">
        <v>33180</v>
      </c>
      <c r="J492" s="221">
        <v>19390</v>
      </c>
    </row>
    <row r="493" spans="1:10" x14ac:dyDescent="0.3">
      <c r="A493" s="217">
        <v>489</v>
      </c>
      <c r="B493" s="217" t="s">
        <v>2307</v>
      </c>
      <c r="C493" s="218">
        <v>46200</v>
      </c>
      <c r="D493" s="219" t="s">
        <v>2308</v>
      </c>
      <c r="E493" s="218">
        <v>46200</v>
      </c>
      <c r="F493" s="219" t="s">
        <v>2309</v>
      </c>
      <c r="G493" s="220" t="s">
        <v>71</v>
      </c>
      <c r="H493" s="221">
        <v>13780</v>
      </c>
      <c r="I493" s="221">
        <v>33270</v>
      </c>
      <c r="J493" s="221">
        <v>19490</v>
      </c>
    </row>
    <row r="494" spans="1:10" x14ac:dyDescent="0.3">
      <c r="A494" s="217">
        <v>490</v>
      </c>
      <c r="B494" s="217" t="s">
        <v>2310</v>
      </c>
      <c r="C494" s="218">
        <v>46200</v>
      </c>
      <c r="D494" s="219" t="s">
        <v>2311</v>
      </c>
      <c r="E494" s="218">
        <v>46200</v>
      </c>
      <c r="F494" s="219" t="s">
        <v>2312</v>
      </c>
      <c r="G494" s="220" t="s">
        <v>64</v>
      </c>
      <c r="H494" s="221">
        <v>13770</v>
      </c>
      <c r="I494" s="221">
        <v>32290</v>
      </c>
      <c r="J494" s="221">
        <v>18520</v>
      </c>
    </row>
    <row r="495" spans="1:10" x14ac:dyDescent="0.3">
      <c r="A495" s="217">
        <v>491</v>
      </c>
      <c r="B495" s="217" t="s">
        <v>2313</v>
      </c>
      <c r="C495" s="218">
        <v>46200</v>
      </c>
      <c r="D495" s="219" t="s">
        <v>2314</v>
      </c>
      <c r="E495" s="218">
        <v>46200</v>
      </c>
      <c r="F495" s="219" t="s">
        <v>2315</v>
      </c>
      <c r="G495" s="220" t="s">
        <v>55</v>
      </c>
      <c r="H495" s="221">
        <v>13680</v>
      </c>
      <c r="I495" s="221">
        <v>33580</v>
      </c>
      <c r="J495" s="221">
        <v>19900</v>
      </c>
    </row>
    <row r="496" spans="1:10" x14ac:dyDescent="0.3">
      <c r="A496" s="217">
        <v>492</v>
      </c>
      <c r="B496" s="217" t="s">
        <v>2316</v>
      </c>
      <c r="C496" s="218">
        <v>46200</v>
      </c>
      <c r="D496" s="219" t="s">
        <v>2317</v>
      </c>
      <c r="E496" s="218">
        <v>46200</v>
      </c>
      <c r="F496" s="219" t="s">
        <v>2318</v>
      </c>
      <c r="G496" s="220" t="s">
        <v>843</v>
      </c>
      <c r="H496" s="221">
        <v>13920</v>
      </c>
      <c r="I496" s="221">
        <v>32740</v>
      </c>
      <c r="J496" s="221">
        <v>18820</v>
      </c>
    </row>
    <row r="497" spans="1:10" x14ac:dyDescent="0.3">
      <c r="A497" s="217">
        <v>493</v>
      </c>
      <c r="B497" s="217" t="s">
        <v>2319</v>
      </c>
      <c r="C497" s="218">
        <v>46200</v>
      </c>
      <c r="D497" s="219" t="s">
        <v>1253</v>
      </c>
      <c r="E497" s="218">
        <v>46200</v>
      </c>
      <c r="F497" s="219" t="s">
        <v>2320</v>
      </c>
      <c r="G497" s="220" t="s">
        <v>845</v>
      </c>
      <c r="H497" s="221">
        <v>13770</v>
      </c>
      <c r="I497" s="221">
        <v>33100</v>
      </c>
      <c r="J497" s="221">
        <v>19330</v>
      </c>
    </row>
    <row r="498" spans="1:10" x14ac:dyDescent="0.3">
      <c r="A498" s="217">
        <v>494</v>
      </c>
      <c r="B498" s="217" t="s">
        <v>2321</v>
      </c>
      <c r="C498" s="218">
        <v>46200</v>
      </c>
      <c r="D498" s="219" t="s">
        <v>2322</v>
      </c>
      <c r="E498" s="218">
        <v>46200</v>
      </c>
      <c r="F498" s="219" t="s">
        <v>2323</v>
      </c>
      <c r="G498" s="220" t="s">
        <v>335</v>
      </c>
      <c r="H498" s="221">
        <v>13970</v>
      </c>
      <c r="I498" s="221">
        <v>34090</v>
      </c>
      <c r="J498" s="221">
        <v>20120</v>
      </c>
    </row>
    <row r="499" spans="1:10" x14ac:dyDescent="0.3">
      <c r="A499" s="217">
        <v>495</v>
      </c>
      <c r="B499" s="217" t="s">
        <v>2324</v>
      </c>
      <c r="C499" s="218">
        <v>46200</v>
      </c>
      <c r="D499" s="219" t="s">
        <v>2325</v>
      </c>
      <c r="E499" s="218">
        <v>46200</v>
      </c>
      <c r="F499" s="219" t="s">
        <v>2326</v>
      </c>
      <c r="G499" s="220" t="s">
        <v>337</v>
      </c>
      <c r="H499" s="221">
        <v>13650</v>
      </c>
      <c r="I499" s="221">
        <v>33610</v>
      </c>
      <c r="J499" s="221">
        <v>19960</v>
      </c>
    </row>
    <row r="500" spans="1:10" x14ac:dyDescent="0.3">
      <c r="A500" s="217">
        <v>496</v>
      </c>
      <c r="B500" s="217" t="s">
        <v>2327</v>
      </c>
      <c r="C500" s="218">
        <v>46200</v>
      </c>
      <c r="D500" s="219" t="s">
        <v>2328</v>
      </c>
      <c r="E500" s="218">
        <v>46200</v>
      </c>
      <c r="F500" s="219" t="s">
        <v>2329</v>
      </c>
      <c r="G500" s="220" t="s">
        <v>840</v>
      </c>
      <c r="H500" s="221">
        <v>13890</v>
      </c>
      <c r="I500" s="221">
        <v>32660</v>
      </c>
      <c r="J500" s="221">
        <v>18770</v>
      </c>
    </row>
    <row r="501" spans="1:10" x14ac:dyDescent="0.3">
      <c r="A501" s="217">
        <v>497</v>
      </c>
      <c r="B501" s="217" t="s">
        <v>2330</v>
      </c>
      <c r="C501" s="218">
        <v>46200</v>
      </c>
      <c r="D501" s="219" t="s">
        <v>2331</v>
      </c>
      <c r="E501" s="218">
        <v>46200</v>
      </c>
      <c r="F501" s="219" t="s">
        <v>2332</v>
      </c>
      <c r="G501" s="220" t="s">
        <v>143</v>
      </c>
      <c r="H501" s="221">
        <v>13680</v>
      </c>
      <c r="I501" s="221">
        <v>32310</v>
      </c>
      <c r="J501" s="221">
        <v>18630</v>
      </c>
    </row>
    <row r="502" spans="1:10" x14ac:dyDescent="0.3">
      <c r="A502" s="217">
        <v>498</v>
      </c>
      <c r="B502" s="217" t="s">
        <v>2333</v>
      </c>
      <c r="C502" s="218">
        <v>46200</v>
      </c>
      <c r="D502" s="219" t="s">
        <v>2334</v>
      </c>
      <c r="E502" s="218">
        <v>46200</v>
      </c>
      <c r="F502" s="219" t="s">
        <v>2335</v>
      </c>
      <c r="G502" s="220" t="s">
        <v>43</v>
      </c>
      <c r="H502" s="221">
        <v>13720</v>
      </c>
      <c r="I502" s="221">
        <v>32480</v>
      </c>
      <c r="J502" s="221">
        <v>18760</v>
      </c>
    </row>
    <row r="503" spans="1:10" x14ac:dyDescent="0.3">
      <c r="A503" s="217">
        <v>499</v>
      </c>
      <c r="B503" s="217" t="s">
        <v>2336</v>
      </c>
      <c r="C503" s="218">
        <v>46200</v>
      </c>
      <c r="D503" s="219" t="s">
        <v>2337</v>
      </c>
      <c r="E503" s="218">
        <v>46200</v>
      </c>
      <c r="F503" s="219" t="s">
        <v>2338</v>
      </c>
      <c r="G503" s="220" t="s">
        <v>336</v>
      </c>
      <c r="H503" s="221">
        <v>14000</v>
      </c>
      <c r="I503" s="221">
        <v>33980</v>
      </c>
      <c r="J503" s="221">
        <v>19980</v>
      </c>
    </row>
    <row r="504" spans="1:10" x14ac:dyDescent="0.3">
      <c r="A504" s="217">
        <v>500</v>
      </c>
      <c r="B504" s="217" t="s">
        <v>2339</v>
      </c>
      <c r="C504" s="218">
        <v>46200</v>
      </c>
      <c r="D504" s="219" t="s">
        <v>2340</v>
      </c>
      <c r="E504" s="218">
        <v>46200</v>
      </c>
      <c r="F504" s="219" t="s">
        <v>2341</v>
      </c>
      <c r="G504" s="220" t="s">
        <v>80</v>
      </c>
      <c r="H504" s="221">
        <v>14030</v>
      </c>
      <c r="I504" s="221">
        <v>33170</v>
      </c>
      <c r="J504" s="221">
        <v>19140</v>
      </c>
    </row>
    <row r="505" spans="1:10" x14ac:dyDescent="0.3">
      <c r="A505" s="217">
        <v>501</v>
      </c>
      <c r="B505" s="217" t="s">
        <v>2342</v>
      </c>
      <c r="C505" s="218">
        <v>46200</v>
      </c>
      <c r="D505" s="219" t="s">
        <v>2343</v>
      </c>
      <c r="E505" s="218">
        <v>46200</v>
      </c>
      <c r="F505" s="219" t="s">
        <v>2344</v>
      </c>
      <c r="G505" s="220" t="s">
        <v>537</v>
      </c>
      <c r="H505" s="221">
        <v>14060</v>
      </c>
      <c r="I505" s="221">
        <v>34240</v>
      </c>
      <c r="J505" s="221">
        <v>20180</v>
      </c>
    </row>
    <row r="506" spans="1:10" x14ac:dyDescent="0.3">
      <c r="A506" s="217">
        <v>502</v>
      </c>
      <c r="B506" s="217" t="s">
        <v>2345</v>
      </c>
      <c r="C506" s="218">
        <v>46200</v>
      </c>
      <c r="D506" s="219" t="s">
        <v>2346</v>
      </c>
      <c r="E506" s="218">
        <v>46200</v>
      </c>
      <c r="F506" s="219" t="s">
        <v>2347</v>
      </c>
      <c r="G506" s="220" t="s">
        <v>71</v>
      </c>
      <c r="H506" s="221">
        <v>14010</v>
      </c>
      <c r="I506" s="221">
        <v>33670</v>
      </c>
      <c r="J506" s="221">
        <v>19660</v>
      </c>
    </row>
    <row r="507" spans="1:10" x14ac:dyDescent="0.3">
      <c r="A507" s="217">
        <v>503</v>
      </c>
      <c r="B507" s="217" t="s">
        <v>2348</v>
      </c>
      <c r="C507" s="218">
        <v>46200</v>
      </c>
      <c r="D507" s="219" t="s">
        <v>2349</v>
      </c>
      <c r="E507" s="218">
        <v>46200</v>
      </c>
      <c r="F507" s="219" t="s">
        <v>2350</v>
      </c>
      <c r="G507" s="220" t="s">
        <v>64</v>
      </c>
      <c r="H507" s="221">
        <v>13750</v>
      </c>
      <c r="I507" s="221">
        <v>34010</v>
      </c>
      <c r="J507" s="221">
        <v>20260</v>
      </c>
    </row>
    <row r="508" spans="1:10" x14ac:dyDescent="0.3">
      <c r="A508" s="217">
        <v>504</v>
      </c>
      <c r="B508" s="217" t="s">
        <v>2351</v>
      </c>
      <c r="C508" s="218">
        <v>46200</v>
      </c>
      <c r="D508" s="219" t="s">
        <v>2352</v>
      </c>
      <c r="E508" s="218">
        <v>46200</v>
      </c>
      <c r="F508" s="219" t="s">
        <v>2353</v>
      </c>
      <c r="G508" s="220" t="s">
        <v>90</v>
      </c>
      <c r="H508" s="221">
        <v>13770</v>
      </c>
      <c r="I508" s="221">
        <v>33580</v>
      </c>
      <c r="J508" s="221">
        <v>19810</v>
      </c>
    </row>
    <row r="509" spans="1:10" x14ac:dyDescent="0.3">
      <c r="A509" s="217">
        <v>505</v>
      </c>
      <c r="B509" s="217" t="s">
        <v>2354</v>
      </c>
      <c r="C509" s="218">
        <v>46200</v>
      </c>
      <c r="D509" s="219" t="s">
        <v>2355</v>
      </c>
      <c r="E509" s="218">
        <v>46200</v>
      </c>
      <c r="F509" s="219" t="s">
        <v>2356</v>
      </c>
      <c r="G509" s="220" t="s">
        <v>55</v>
      </c>
      <c r="H509" s="221">
        <v>13660</v>
      </c>
      <c r="I509" s="221">
        <v>32240</v>
      </c>
      <c r="J509" s="221">
        <v>18580</v>
      </c>
    </row>
    <row r="510" spans="1:10" x14ac:dyDescent="0.3">
      <c r="A510" s="217">
        <v>506</v>
      </c>
      <c r="B510" s="217" t="s">
        <v>2357</v>
      </c>
      <c r="C510" s="218">
        <v>46200</v>
      </c>
      <c r="D510" s="219" t="s">
        <v>2358</v>
      </c>
      <c r="E510" s="218">
        <v>46200</v>
      </c>
      <c r="F510" s="219" t="s">
        <v>2359</v>
      </c>
      <c r="G510" s="220" t="s">
        <v>843</v>
      </c>
      <c r="H510" s="221">
        <v>13900</v>
      </c>
      <c r="I510" s="221">
        <v>33990</v>
      </c>
      <c r="J510" s="221">
        <v>20090</v>
      </c>
    </row>
    <row r="511" spans="1:10" x14ac:dyDescent="0.3">
      <c r="A511" s="217">
        <v>507</v>
      </c>
      <c r="B511" s="217" t="s">
        <v>2360</v>
      </c>
      <c r="C511" s="218">
        <v>46200</v>
      </c>
      <c r="D511" s="219" t="s">
        <v>2361</v>
      </c>
      <c r="E511" s="218">
        <v>46200</v>
      </c>
      <c r="F511" s="219" t="s">
        <v>2362</v>
      </c>
      <c r="G511" s="220" t="s">
        <v>845</v>
      </c>
      <c r="H511" s="221">
        <v>13740</v>
      </c>
      <c r="I511" s="221">
        <v>32520</v>
      </c>
      <c r="J511" s="221">
        <v>18780</v>
      </c>
    </row>
    <row r="512" spans="1:10" x14ac:dyDescent="0.3">
      <c r="A512" s="217">
        <v>508</v>
      </c>
      <c r="B512" s="217" t="s">
        <v>2363</v>
      </c>
      <c r="C512" s="218">
        <v>46200</v>
      </c>
      <c r="D512" s="219" t="s">
        <v>2364</v>
      </c>
      <c r="E512" s="218">
        <v>46200</v>
      </c>
      <c r="F512" s="219" t="s">
        <v>2365</v>
      </c>
      <c r="G512" s="220" t="s">
        <v>335</v>
      </c>
      <c r="H512" s="221">
        <v>13940</v>
      </c>
      <c r="I512" s="221">
        <v>32750</v>
      </c>
      <c r="J512" s="221">
        <v>18810</v>
      </c>
    </row>
    <row r="513" spans="1:10" x14ac:dyDescent="0.3">
      <c r="A513" s="217">
        <v>509</v>
      </c>
      <c r="B513" s="217" t="s">
        <v>2366</v>
      </c>
      <c r="C513" s="218">
        <v>46200</v>
      </c>
      <c r="D513" s="219" t="s">
        <v>2367</v>
      </c>
      <c r="E513" s="218">
        <v>46200</v>
      </c>
      <c r="F513" s="219" t="s">
        <v>2368</v>
      </c>
      <c r="G513" s="220" t="s">
        <v>337</v>
      </c>
      <c r="H513" s="221">
        <v>13610</v>
      </c>
      <c r="I513" s="221">
        <v>33000</v>
      </c>
      <c r="J513" s="221">
        <v>19390</v>
      </c>
    </row>
    <row r="514" spans="1:10" x14ac:dyDescent="0.3">
      <c r="A514" s="217">
        <v>510</v>
      </c>
      <c r="B514" s="217" t="s">
        <v>2369</v>
      </c>
      <c r="C514" s="218">
        <v>46200</v>
      </c>
      <c r="D514" s="219" t="s">
        <v>2370</v>
      </c>
      <c r="E514" s="218">
        <v>46200</v>
      </c>
      <c r="F514" s="219" t="s">
        <v>2371</v>
      </c>
      <c r="G514" s="220" t="s">
        <v>143</v>
      </c>
      <c r="H514" s="221">
        <v>13730</v>
      </c>
      <c r="I514" s="221">
        <v>33560</v>
      </c>
      <c r="J514" s="221">
        <v>19830</v>
      </c>
    </row>
    <row r="515" spans="1:10" x14ac:dyDescent="0.3">
      <c r="A515" s="217">
        <v>511</v>
      </c>
      <c r="B515" s="217" t="s">
        <v>2372</v>
      </c>
      <c r="C515" s="218">
        <v>46200</v>
      </c>
      <c r="D515" s="219" t="s">
        <v>2373</v>
      </c>
      <c r="E515" s="218">
        <v>46200</v>
      </c>
      <c r="F515" s="219" t="s">
        <v>2374</v>
      </c>
      <c r="G515" s="220" t="s">
        <v>90</v>
      </c>
      <c r="H515" s="221">
        <v>13710</v>
      </c>
      <c r="I515" s="221">
        <v>32580</v>
      </c>
      <c r="J515" s="221">
        <v>18870</v>
      </c>
    </row>
    <row r="516" spans="1:10" x14ac:dyDescent="0.3">
      <c r="A516" s="217">
        <v>512</v>
      </c>
      <c r="B516" s="217" t="s">
        <v>2375</v>
      </c>
      <c r="C516" s="218">
        <v>46200</v>
      </c>
      <c r="D516" s="219" t="s">
        <v>2376</v>
      </c>
      <c r="E516" s="218">
        <v>46200</v>
      </c>
      <c r="F516" s="219" t="s">
        <v>2377</v>
      </c>
      <c r="G516" s="220" t="s">
        <v>64</v>
      </c>
      <c r="H516" s="221">
        <v>14080</v>
      </c>
      <c r="I516" s="221">
        <v>33830</v>
      </c>
      <c r="J516" s="221">
        <v>19750</v>
      </c>
    </row>
    <row r="517" spans="1:10" x14ac:dyDescent="0.3">
      <c r="A517" s="217">
        <v>513</v>
      </c>
      <c r="B517" s="217" t="s">
        <v>2378</v>
      </c>
      <c r="C517" s="218">
        <v>46200</v>
      </c>
      <c r="D517" s="219" t="s">
        <v>858</v>
      </c>
      <c r="E517" s="218">
        <v>46200</v>
      </c>
      <c r="F517" s="219" t="s">
        <v>2379</v>
      </c>
      <c r="G517" s="220" t="s">
        <v>55</v>
      </c>
      <c r="H517" s="221">
        <v>14030</v>
      </c>
      <c r="I517" s="221">
        <v>34400</v>
      </c>
      <c r="J517" s="221">
        <v>20370</v>
      </c>
    </row>
    <row r="518" spans="1:10" x14ac:dyDescent="0.3">
      <c r="A518" s="217">
        <v>514</v>
      </c>
      <c r="B518" s="217" t="s">
        <v>2380</v>
      </c>
      <c r="C518" s="218">
        <v>46200</v>
      </c>
      <c r="D518" s="219" t="s">
        <v>2381</v>
      </c>
      <c r="E518" s="218">
        <v>46200</v>
      </c>
      <c r="F518" s="219" t="s">
        <v>2382</v>
      </c>
      <c r="G518" s="220" t="s">
        <v>85</v>
      </c>
      <c r="H518" s="221">
        <v>13960</v>
      </c>
      <c r="I518" s="221">
        <v>32550</v>
      </c>
      <c r="J518" s="221">
        <v>18590</v>
      </c>
    </row>
    <row r="519" spans="1:10" x14ac:dyDescent="0.3">
      <c r="A519" s="217">
        <v>515</v>
      </c>
      <c r="B519" s="217" t="s">
        <v>2383</v>
      </c>
      <c r="C519" s="218">
        <v>46200</v>
      </c>
      <c r="D519" s="219" t="s">
        <v>2384</v>
      </c>
      <c r="E519" s="218">
        <v>46200</v>
      </c>
      <c r="F519" s="219" t="s">
        <v>2385</v>
      </c>
      <c r="G519" s="220" t="s">
        <v>845</v>
      </c>
      <c r="H519" s="221">
        <v>13990</v>
      </c>
      <c r="I519" s="221">
        <v>32900</v>
      </c>
      <c r="J519" s="221">
        <v>18910</v>
      </c>
    </row>
    <row r="520" spans="1:10" x14ac:dyDescent="0.3">
      <c r="A520" s="217">
        <v>516</v>
      </c>
      <c r="B520" s="217" t="s">
        <v>2386</v>
      </c>
      <c r="C520" s="218">
        <v>46200</v>
      </c>
      <c r="D520" s="219" t="s">
        <v>893</v>
      </c>
      <c r="E520" s="218">
        <v>46200</v>
      </c>
      <c r="F520" s="219" t="s">
        <v>2387</v>
      </c>
      <c r="G520" s="220" t="s">
        <v>335</v>
      </c>
      <c r="H520" s="221">
        <v>13910</v>
      </c>
      <c r="I520" s="221">
        <v>32840</v>
      </c>
      <c r="J520" s="221">
        <v>18930</v>
      </c>
    </row>
    <row r="521" spans="1:10" x14ac:dyDescent="0.3">
      <c r="A521" s="217">
        <v>517</v>
      </c>
      <c r="B521" s="217" t="s">
        <v>2388</v>
      </c>
      <c r="C521" s="218">
        <v>46200</v>
      </c>
      <c r="D521" s="219" t="s">
        <v>2389</v>
      </c>
      <c r="E521" s="218">
        <v>46200</v>
      </c>
      <c r="F521" s="219" t="s">
        <v>2390</v>
      </c>
      <c r="G521" s="220" t="s">
        <v>337</v>
      </c>
      <c r="H521" s="221">
        <v>14030</v>
      </c>
      <c r="I521" s="221">
        <v>33480</v>
      </c>
      <c r="J521" s="221">
        <v>19450</v>
      </c>
    </row>
    <row r="522" spans="1:10" x14ac:dyDescent="0.3">
      <c r="A522" s="217">
        <v>518</v>
      </c>
      <c r="B522" s="217" t="s">
        <v>2391</v>
      </c>
      <c r="C522" s="218">
        <v>46200</v>
      </c>
      <c r="D522" s="219" t="s">
        <v>2392</v>
      </c>
      <c r="E522" s="218">
        <v>46200</v>
      </c>
      <c r="F522" s="219" t="s">
        <v>2393</v>
      </c>
      <c r="G522" s="220" t="s">
        <v>143</v>
      </c>
      <c r="H522" s="221">
        <v>14030</v>
      </c>
      <c r="I522" s="221">
        <v>31900</v>
      </c>
      <c r="J522" s="221">
        <v>17870</v>
      </c>
    </row>
    <row r="523" spans="1:10" x14ac:dyDescent="0.3">
      <c r="A523" s="217">
        <v>519</v>
      </c>
      <c r="B523" s="217" t="s">
        <v>2394</v>
      </c>
      <c r="C523" s="218">
        <v>46201</v>
      </c>
      <c r="D523" s="219" t="s">
        <v>728</v>
      </c>
      <c r="E523" s="218">
        <v>46201</v>
      </c>
      <c r="F523" s="219" t="s">
        <v>2395</v>
      </c>
      <c r="G523" s="220" t="s">
        <v>840</v>
      </c>
      <c r="H523" s="221">
        <v>13870</v>
      </c>
      <c r="I523" s="221">
        <v>32840</v>
      </c>
      <c r="J523" s="221">
        <v>18970</v>
      </c>
    </row>
    <row r="524" spans="1:10" x14ac:dyDescent="0.3">
      <c r="A524" s="217">
        <v>520</v>
      </c>
      <c r="B524" s="217" t="s">
        <v>2396</v>
      </c>
      <c r="C524" s="218">
        <v>46201</v>
      </c>
      <c r="D524" s="219" t="s">
        <v>849</v>
      </c>
      <c r="E524" s="218">
        <v>46201</v>
      </c>
      <c r="F524" s="219" t="s">
        <v>2397</v>
      </c>
      <c r="G524" s="220" t="s">
        <v>71</v>
      </c>
      <c r="H524" s="221">
        <v>14010</v>
      </c>
      <c r="I524" s="221">
        <v>33300</v>
      </c>
      <c r="J524" s="221">
        <v>19290</v>
      </c>
    </row>
    <row r="525" spans="1:10" x14ac:dyDescent="0.3">
      <c r="A525" s="217">
        <v>521</v>
      </c>
      <c r="B525" s="217" t="s">
        <v>2398</v>
      </c>
      <c r="C525" s="218">
        <v>46201</v>
      </c>
      <c r="D525" s="219" t="s">
        <v>850</v>
      </c>
      <c r="E525" s="218">
        <v>46201</v>
      </c>
      <c r="F525" s="219" t="s">
        <v>2399</v>
      </c>
      <c r="G525" s="220" t="s">
        <v>85</v>
      </c>
      <c r="H525" s="221">
        <v>13920</v>
      </c>
      <c r="I525" s="221">
        <v>32630</v>
      </c>
      <c r="J525" s="221">
        <v>18710</v>
      </c>
    </row>
    <row r="526" spans="1:10" x14ac:dyDescent="0.3">
      <c r="A526" s="217">
        <v>522</v>
      </c>
      <c r="B526" s="217" t="s">
        <v>2400</v>
      </c>
      <c r="C526" s="218">
        <v>46201</v>
      </c>
      <c r="D526" s="219" t="s">
        <v>896</v>
      </c>
      <c r="E526" s="218">
        <v>46201</v>
      </c>
      <c r="F526" s="219" t="s">
        <v>2401</v>
      </c>
      <c r="G526" s="220" t="s">
        <v>143</v>
      </c>
      <c r="H526" s="221">
        <v>13950</v>
      </c>
      <c r="I526" s="221">
        <v>33700</v>
      </c>
      <c r="J526" s="221">
        <v>19750</v>
      </c>
    </row>
    <row r="527" spans="1:10" x14ac:dyDescent="0.3">
      <c r="A527" s="217">
        <v>523</v>
      </c>
      <c r="B527" s="217" t="s">
        <v>2402</v>
      </c>
      <c r="C527" s="218">
        <v>46201</v>
      </c>
      <c r="D527" s="219" t="s">
        <v>841</v>
      </c>
      <c r="E527" s="218">
        <v>46201</v>
      </c>
      <c r="F527" s="219" t="s">
        <v>2403</v>
      </c>
      <c r="G527" s="220" t="s">
        <v>64</v>
      </c>
      <c r="H527" s="221">
        <v>14040</v>
      </c>
      <c r="I527" s="221">
        <v>33630</v>
      </c>
      <c r="J527" s="221">
        <v>19590</v>
      </c>
    </row>
    <row r="528" spans="1:10" x14ac:dyDescent="0.3">
      <c r="A528" s="217">
        <v>524</v>
      </c>
      <c r="B528" s="217" t="s">
        <v>2404</v>
      </c>
      <c r="C528" s="218">
        <v>46201</v>
      </c>
      <c r="D528" s="219" t="s">
        <v>2405</v>
      </c>
      <c r="E528" s="218">
        <v>46201</v>
      </c>
      <c r="F528" s="219" t="s">
        <v>2406</v>
      </c>
      <c r="G528" s="220" t="s">
        <v>55</v>
      </c>
      <c r="H528" s="221">
        <v>13910</v>
      </c>
      <c r="I528" s="221">
        <v>32120</v>
      </c>
      <c r="J528" s="221">
        <v>18210</v>
      </c>
    </row>
    <row r="529" spans="1:10" x14ac:dyDescent="0.3">
      <c r="A529" s="217">
        <v>525</v>
      </c>
      <c r="B529" s="217" t="s">
        <v>2407</v>
      </c>
      <c r="C529" s="218">
        <v>46201</v>
      </c>
      <c r="D529" s="219" t="s">
        <v>2408</v>
      </c>
      <c r="E529" s="218">
        <v>46201</v>
      </c>
      <c r="F529" s="219" t="s">
        <v>2409</v>
      </c>
      <c r="G529" s="220" t="s">
        <v>337</v>
      </c>
      <c r="H529" s="221">
        <v>13920</v>
      </c>
      <c r="I529" s="221">
        <v>33480</v>
      </c>
      <c r="J529" s="221">
        <v>19560</v>
      </c>
    </row>
    <row r="530" spans="1:10" x14ac:dyDescent="0.3">
      <c r="A530" s="217">
        <v>526</v>
      </c>
      <c r="B530" s="217" t="s">
        <v>2410</v>
      </c>
      <c r="C530" s="218">
        <v>46201</v>
      </c>
      <c r="D530" s="219" t="s">
        <v>2188</v>
      </c>
      <c r="E530" s="218">
        <v>46201</v>
      </c>
      <c r="F530" s="219" t="s">
        <v>2411</v>
      </c>
      <c r="G530" s="220" t="s">
        <v>843</v>
      </c>
      <c r="H530" s="221">
        <v>14130</v>
      </c>
      <c r="I530" s="221">
        <v>32640</v>
      </c>
      <c r="J530" s="221">
        <v>18510</v>
      </c>
    </row>
    <row r="531" spans="1:10" x14ac:dyDescent="0.3">
      <c r="A531" s="217">
        <v>527</v>
      </c>
      <c r="B531" s="217" t="s">
        <v>2412</v>
      </c>
      <c r="C531" s="218">
        <v>46201</v>
      </c>
      <c r="D531" s="219" t="s">
        <v>2413</v>
      </c>
      <c r="E531" s="218">
        <v>46201</v>
      </c>
      <c r="F531" s="219" t="s">
        <v>2414</v>
      </c>
      <c r="G531" s="220" t="s">
        <v>43</v>
      </c>
      <c r="H531" s="221">
        <v>13720</v>
      </c>
      <c r="I531" s="221">
        <v>32130</v>
      </c>
      <c r="J531" s="221">
        <v>18410</v>
      </c>
    </row>
    <row r="532" spans="1:10" x14ac:dyDescent="0.3">
      <c r="A532" s="217">
        <v>528</v>
      </c>
      <c r="B532" s="217" t="s">
        <v>2415</v>
      </c>
      <c r="C532" s="218">
        <v>46201</v>
      </c>
      <c r="D532" s="219" t="s">
        <v>2416</v>
      </c>
      <c r="E532" s="218">
        <v>46201</v>
      </c>
      <c r="F532" s="219" t="s">
        <v>69</v>
      </c>
      <c r="G532" s="220" t="s">
        <v>80</v>
      </c>
      <c r="H532" s="221">
        <v>13940</v>
      </c>
      <c r="I532" s="221">
        <v>33000</v>
      </c>
      <c r="J532" s="221">
        <v>19060</v>
      </c>
    </row>
    <row r="533" spans="1:10" x14ac:dyDescent="0.3">
      <c r="A533" s="217">
        <v>529</v>
      </c>
      <c r="B533" s="217" t="s">
        <v>2417</v>
      </c>
      <c r="C533" s="218">
        <v>46201</v>
      </c>
      <c r="D533" s="219" t="s">
        <v>2418</v>
      </c>
      <c r="E533" s="218">
        <v>46201</v>
      </c>
      <c r="F533" s="219" t="s">
        <v>2419</v>
      </c>
      <c r="G533" s="220" t="s">
        <v>90</v>
      </c>
      <c r="H533" s="221">
        <v>13710</v>
      </c>
      <c r="I533" s="221">
        <v>32330</v>
      </c>
      <c r="J533" s="221">
        <v>18620</v>
      </c>
    </row>
    <row r="534" spans="1:10" x14ac:dyDescent="0.3">
      <c r="A534" s="217">
        <v>530</v>
      </c>
      <c r="B534" s="217" t="s">
        <v>2420</v>
      </c>
      <c r="C534" s="218">
        <v>46201</v>
      </c>
      <c r="D534" s="219" t="s">
        <v>2421</v>
      </c>
      <c r="E534" s="218">
        <v>46201</v>
      </c>
      <c r="F534" s="219" t="s">
        <v>2422</v>
      </c>
      <c r="G534" s="220" t="s">
        <v>537</v>
      </c>
      <c r="H534" s="221">
        <v>14000</v>
      </c>
      <c r="I534" s="221">
        <v>33760</v>
      </c>
      <c r="J534" s="221">
        <v>19760</v>
      </c>
    </row>
    <row r="535" spans="1:10" x14ac:dyDescent="0.3">
      <c r="A535" s="217">
        <v>531</v>
      </c>
      <c r="B535" s="217" t="s">
        <v>2423</v>
      </c>
      <c r="C535" s="218">
        <v>46201</v>
      </c>
      <c r="D535" s="219" t="s">
        <v>2424</v>
      </c>
      <c r="E535" s="218">
        <v>46201</v>
      </c>
      <c r="F535" s="219" t="s">
        <v>2425</v>
      </c>
      <c r="G535" s="220" t="s">
        <v>336</v>
      </c>
      <c r="H535" s="221">
        <v>13930</v>
      </c>
      <c r="I535" s="221">
        <v>34530</v>
      </c>
      <c r="J535" s="221">
        <v>20600</v>
      </c>
    </row>
    <row r="536" spans="1:10" x14ac:dyDescent="0.3">
      <c r="A536" s="217">
        <v>532</v>
      </c>
      <c r="B536" s="217" t="s">
        <v>2426</v>
      </c>
      <c r="C536" s="218">
        <v>46201</v>
      </c>
      <c r="D536" s="219" t="s">
        <v>2427</v>
      </c>
      <c r="E536" s="218">
        <v>46201</v>
      </c>
      <c r="F536" s="219" t="s">
        <v>2428</v>
      </c>
      <c r="G536" s="220" t="s">
        <v>335</v>
      </c>
      <c r="H536" s="221">
        <v>13890</v>
      </c>
      <c r="I536" s="221">
        <v>33220</v>
      </c>
      <c r="J536" s="221">
        <v>19330</v>
      </c>
    </row>
    <row r="537" spans="1:10" x14ac:dyDescent="0.3">
      <c r="A537" s="217">
        <v>533</v>
      </c>
      <c r="B537" s="217" t="s">
        <v>2429</v>
      </c>
      <c r="C537" s="218">
        <v>46201</v>
      </c>
      <c r="D537" s="219" t="s">
        <v>2430</v>
      </c>
      <c r="E537" s="218">
        <v>46201</v>
      </c>
      <c r="F537" s="219" t="s">
        <v>2431</v>
      </c>
      <c r="G537" s="220" t="s">
        <v>845</v>
      </c>
      <c r="H537" s="221">
        <v>13910</v>
      </c>
      <c r="I537" s="221">
        <v>33490</v>
      </c>
      <c r="J537" s="221">
        <v>19580</v>
      </c>
    </row>
    <row r="538" spans="1:10" x14ac:dyDescent="0.3">
      <c r="A538" s="217">
        <v>534</v>
      </c>
      <c r="B538" s="217" t="s">
        <v>2432</v>
      </c>
      <c r="C538" s="218">
        <v>46201</v>
      </c>
      <c r="D538" s="219" t="s">
        <v>2433</v>
      </c>
      <c r="E538" s="218">
        <v>46201</v>
      </c>
      <c r="F538" s="219" t="s">
        <v>2434</v>
      </c>
      <c r="G538" s="220" t="s">
        <v>840</v>
      </c>
      <c r="H538" s="221">
        <v>13830</v>
      </c>
      <c r="I538" s="221">
        <v>33710</v>
      </c>
      <c r="J538" s="221">
        <v>19880</v>
      </c>
    </row>
    <row r="539" spans="1:10" x14ac:dyDescent="0.3">
      <c r="A539" s="217">
        <v>535</v>
      </c>
      <c r="B539" s="217" t="s">
        <v>2435</v>
      </c>
      <c r="C539" s="218">
        <v>46201</v>
      </c>
      <c r="D539" s="219" t="s">
        <v>2436</v>
      </c>
      <c r="E539" s="218">
        <v>46201</v>
      </c>
      <c r="F539" s="219" t="s">
        <v>2437</v>
      </c>
      <c r="G539" s="220" t="s">
        <v>71</v>
      </c>
      <c r="H539" s="221">
        <v>13970</v>
      </c>
      <c r="I539" s="221">
        <v>33530</v>
      </c>
      <c r="J539" s="221">
        <v>19560</v>
      </c>
    </row>
    <row r="540" spans="1:10" x14ac:dyDescent="0.3">
      <c r="A540" s="217">
        <v>536</v>
      </c>
      <c r="B540" s="217" t="s">
        <v>2438</v>
      </c>
      <c r="C540" s="218">
        <v>46201</v>
      </c>
      <c r="D540" s="219" t="s">
        <v>2439</v>
      </c>
      <c r="E540" s="218">
        <v>46201</v>
      </c>
      <c r="F540" s="219" t="s">
        <v>2440</v>
      </c>
      <c r="G540" s="220" t="s">
        <v>43</v>
      </c>
      <c r="H540" s="221">
        <v>13700</v>
      </c>
      <c r="I540" s="221">
        <v>32420</v>
      </c>
      <c r="J540" s="221">
        <v>18720</v>
      </c>
    </row>
    <row r="541" spans="1:10" x14ac:dyDescent="0.3">
      <c r="A541" s="217">
        <v>537</v>
      </c>
      <c r="B541" s="217" t="s">
        <v>2441</v>
      </c>
      <c r="C541" s="218">
        <v>46201</v>
      </c>
      <c r="D541" s="219" t="s">
        <v>2442</v>
      </c>
      <c r="E541" s="218">
        <v>46201</v>
      </c>
      <c r="F541" s="219" t="s">
        <v>888</v>
      </c>
      <c r="G541" s="220" t="s">
        <v>55</v>
      </c>
      <c r="H541" s="221">
        <v>13870</v>
      </c>
      <c r="I541" s="221">
        <v>33320</v>
      </c>
      <c r="J541" s="221">
        <v>19450</v>
      </c>
    </row>
    <row r="542" spans="1:10" x14ac:dyDescent="0.3">
      <c r="A542" s="217">
        <v>538</v>
      </c>
      <c r="B542" s="217" t="s">
        <v>2443</v>
      </c>
      <c r="C542" s="218">
        <v>46201</v>
      </c>
      <c r="D542" s="219" t="s">
        <v>2444</v>
      </c>
      <c r="E542" s="218">
        <v>46201</v>
      </c>
      <c r="F542" s="219" t="s">
        <v>2445</v>
      </c>
      <c r="G542" s="220" t="s">
        <v>337</v>
      </c>
      <c r="H542" s="221">
        <v>13920</v>
      </c>
      <c r="I542" s="221">
        <v>33460</v>
      </c>
      <c r="J542" s="221">
        <v>19540</v>
      </c>
    </row>
    <row r="543" spans="1:10" x14ac:dyDescent="0.3">
      <c r="A543" s="217">
        <v>539</v>
      </c>
      <c r="B543" s="217" t="s">
        <v>2446</v>
      </c>
      <c r="C543" s="218">
        <v>46201</v>
      </c>
      <c r="D543" s="219" t="s">
        <v>2447</v>
      </c>
      <c r="E543" s="218">
        <v>46201</v>
      </c>
      <c r="F543" s="219" t="s">
        <v>2448</v>
      </c>
      <c r="G543" s="220" t="s">
        <v>143</v>
      </c>
      <c r="H543" s="221">
        <v>13900</v>
      </c>
      <c r="I543" s="221">
        <v>32010</v>
      </c>
      <c r="J543" s="221">
        <v>18110</v>
      </c>
    </row>
    <row r="544" spans="1:10" x14ac:dyDescent="0.3">
      <c r="A544" s="217">
        <v>540</v>
      </c>
      <c r="B544" s="217" t="s">
        <v>2449</v>
      </c>
      <c r="C544" s="218">
        <v>46201</v>
      </c>
      <c r="D544" s="219" t="s">
        <v>2450</v>
      </c>
      <c r="E544" s="218">
        <v>46201</v>
      </c>
      <c r="F544" s="219" t="s">
        <v>2451</v>
      </c>
      <c r="G544" s="220" t="s">
        <v>64</v>
      </c>
      <c r="H544" s="221">
        <v>14010</v>
      </c>
      <c r="I544" s="221">
        <v>31670</v>
      </c>
      <c r="J544" s="221">
        <v>17660</v>
      </c>
    </row>
    <row r="545" spans="1:10" x14ac:dyDescent="0.3">
      <c r="A545" s="217">
        <v>541</v>
      </c>
      <c r="B545" s="217" t="s">
        <v>2452</v>
      </c>
      <c r="C545" s="218">
        <v>46201</v>
      </c>
      <c r="D545" s="219" t="s">
        <v>2453</v>
      </c>
      <c r="E545" s="218">
        <v>46201</v>
      </c>
      <c r="F545" s="219" t="s">
        <v>2454</v>
      </c>
      <c r="G545" s="220" t="s">
        <v>843</v>
      </c>
      <c r="H545" s="221">
        <v>14100</v>
      </c>
      <c r="I545" s="221">
        <v>31710</v>
      </c>
      <c r="J545" s="221">
        <v>17610</v>
      </c>
    </row>
    <row r="546" spans="1:10" x14ac:dyDescent="0.3">
      <c r="A546" s="217">
        <v>542</v>
      </c>
      <c r="B546" s="217" t="s">
        <v>2455</v>
      </c>
      <c r="C546" s="218">
        <v>46201</v>
      </c>
      <c r="D546" s="219" t="s">
        <v>2456</v>
      </c>
      <c r="E546" s="218">
        <v>46201</v>
      </c>
      <c r="F546" s="219" t="s">
        <v>861</v>
      </c>
      <c r="G546" s="220" t="s">
        <v>80</v>
      </c>
      <c r="H546" s="221">
        <v>13920</v>
      </c>
      <c r="I546" s="221">
        <v>32150</v>
      </c>
      <c r="J546" s="221">
        <v>18230</v>
      </c>
    </row>
    <row r="547" spans="1:10" x14ac:dyDescent="0.3">
      <c r="A547" s="217">
        <v>543</v>
      </c>
      <c r="B547" s="217" t="s">
        <v>2457</v>
      </c>
      <c r="C547" s="218">
        <v>46201</v>
      </c>
      <c r="D547" s="219" t="s">
        <v>2458</v>
      </c>
      <c r="E547" s="218">
        <v>46201</v>
      </c>
      <c r="F547" s="219" t="s">
        <v>2459</v>
      </c>
      <c r="G547" s="220" t="s">
        <v>90</v>
      </c>
      <c r="H547" s="221">
        <v>13670</v>
      </c>
      <c r="I547" s="221">
        <v>33470</v>
      </c>
      <c r="J547" s="221">
        <v>19800</v>
      </c>
    </row>
    <row r="548" spans="1:10" x14ac:dyDescent="0.3">
      <c r="A548" s="217">
        <v>544</v>
      </c>
      <c r="B548" s="217" t="s">
        <v>2460</v>
      </c>
      <c r="C548" s="218">
        <v>46201</v>
      </c>
      <c r="D548" s="219" t="s">
        <v>2461</v>
      </c>
      <c r="E548" s="218">
        <v>46201</v>
      </c>
      <c r="F548" s="219" t="s">
        <v>868</v>
      </c>
      <c r="G548" s="220" t="s">
        <v>335</v>
      </c>
      <c r="H548" s="221">
        <v>13920</v>
      </c>
      <c r="I548" s="221">
        <v>32530</v>
      </c>
      <c r="J548" s="221">
        <v>18610</v>
      </c>
    </row>
    <row r="549" spans="1:10" x14ac:dyDescent="0.3">
      <c r="A549" s="217">
        <v>545</v>
      </c>
      <c r="B549" s="217" t="s">
        <v>2462</v>
      </c>
      <c r="C549" s="218">
        <v>46201</v>
      </c>
      <c r="D549" s="219" t="s">
        <v>2463</v>
      </c>
      <c r="E549" s="218">
        <v>46201</v>
      </c>
      <c r="F549" s="219" t="s">
        <v>2464</v>
      </c>
      <c r="G549" s="220" t="s">
        <v>537</v>
      </c>
      <c r="H549" s="221">
        <v>14030</v>
      </c>
      <c r="I549" s="221">
        <v>33120</v>
      </c>
      <c r="J549" s="221">
        <v>19090</v>
      </c>
    </row>
    <row r="550" spans="1:10" x14ac:dyDescent="0.3">
      <c r="A550" s="217">
        <v>546</v>
      </c>
      <c r="B550" s="217" t="s">
        <v>2465</v>
      </c>
      <c r="C550" s="218">
        <v>46201</v>
      </c>
      <c r="D550" s="219" t="s">
        <v>2466</v>
      </c>
      <c r="E550" s="218">
        <v>46201</v>
      </c>
      <c r="F550" s="219" t="s">
        <v>897</v>
      </c>
      <c r="G550" s="220" t="s">
        <v>336</v>
      </c>
      <c r="H550" s="221">
        <v>13940</v>
      </c>
      <c r="I550" s="221">
        <v>34810</v>
      </c>
      <c r="J550" s="221">
        <v>20870</v>
      </c>
    </row>
    <row r="551" spans="1:10" x14ac:dyDescent="0.3">
      <c r="A551" s="217">
        <v>547</v>
      </c>
      <c r="B551" s="217" t="s">
        <v>2467</v>
      </c>
      <c r="C551" s="218">
        <v>46201</v>
      </c>
      <c r="D551" s="219" t="s">
        <v>2468</v>
      </c>
      <c r="E551" s="218">
        <v>46201</v>
      </c>
      <c r="F551" s="219" t="s">
        <v>2469</v>
      </c>
      <c r="G551" s="220" t="s">
        <v>845</v>
      </c>
      <c r="H551" s="221">
        <v>13920</v>
      </c>
      <c r="I551" s="221">
        <v>31860</v>
      </c>
      <c r="J551" s="221">
        <v>17940</v>
      </c>
    </row>
    <row r="552" spans="1:10" x14ac:dyDescent="0.3">
      <c r="A552" s="217">
        <v>548</v>
      </c>
      <c r="B552" s="217" t="s">
        <v>2470</v>
      </c>
      <c r="C552" s="218">
        <v>46201</v>
      </c>
      <c r="D552" s="219" t="s">
        <v>2471</v>
      </c>
      <c r="E552" s="218">
        <v>46201</v>
      </c>
      <c r="F552" s="219" t="s">
        <v>2472</v>
      </c>
      <c r="G552" s="220" t="s">
        <v>840</v>
      </c>
      <c r="H552" s="221">
        <v>13810</v>
      </c>
      <c r="I552" s="221">
        <v>34110</v>
      </c>
      <c r="J552" s="221">
        <v>20300</v>
      </c>
    </row>
    <row r="553" spans="1:10" x14ac:dyDescent="0.3">
      <c r="A553" s="217">
        <v>549</v>
      </c>
      <c r="B553" s="217" t="s">
        <v>2473</v>
      </c>
      <c r="C553" s="218">
        <v>46201</v>
      </c>
      <c r="D553" s="219" t="s">
        <v>878</v>
      </c>
      <c r="E553" s="218">
        <v>46201</v>
      </c>
      <c r="F553" s="219" t="s">
        <v>2474</v>
      </c>
      <c r="G553" s="220" t="s">
        <v>71</v>
      </c>
      <c r="H553" s="221">
        <v>13940</v>
      </c>
      <c r="I553" s="221">
        <v>35120</v>
      </c>
      <c r="J553" s="221">
        <v>21180</v>
      </c>
    </row>
    <row r="554" spans="1:10" x14ac:dyDescent="0.3">
      <c r="A554" s="217">
        <v>550</v>
      </c>
      <c r="B554" s="217" t="s">
        <v>2475</v>
      </c>
      <c r="C554" s="218">
        <v>46201</v>
      </c>
      <c r="D554" s="219" t="s">
        <v>2476</v>
      </c>
      <c r="E554" s="218">
        <v>46201</v>
      </c>
      <c r="F554" s="219" t="s">
        <v>2477</v>
      </c>
      <c r="G554" s="220" t="s">
        <v>43</v>
      </c>
      <c r="H554" s="221">
        <v>13650</v>
      </c>
      <c r="I554" s="221">
        <v>33820</v>
      </c>
      <c r="J554" s="221">
        <v>20170</v>
      </c>
    </row>
    <row r="555" spans="1:10" x14ac:dyDescent="0.3">
      <c r="A555" s="217">
        <v>551</v>
      </c>
      <c r="B555" s="217" t="s">
        <v>2478</v>
      </c>
      <c r="C555" s="218">
        <v>46201</v>
      </c>
      <c r="D555" s="219" t="s">
        <v>2479</v>
      </c>
      <c r="E555" s="218">
        <v>46201</v>
      </c>
      <c r="F555" s="219" t="s">
        <v>2480</v>
      </c>
      <c r="G555" s="220" t="s">
        <v>55</v>
      </c>
      <c r="H555" s="221">
        <v>13850</v>
      </c>
      <c r="I555" s="221">
        <v>33640</v>
      </c>
      <c r="J555" s="221">
        <v>19790</v>
      </c>
    </row>
    <row r="556" spans="1:10" x14ac:dyDescent="0.3">
      <c r="A556" s="217">
        <v>552</v>
      </c>
      <c r="B556" s="217" t="s">
        <v>2481</v>
      </c>
      <c r="C556" s="218">
        <v>46201</v>
      </c>
      <c r="D556" s="219" t="s">
        <v>2482</v>
      </c>
      <c r="E556" s="218">
        <v>46201</v>
      </c>
      <c r="F556" s="219" t="s">
        <v>2483</v>
      </c>
      <c r="G556" s="220" t="s">
        <v>337</v>
      </c>
      <c r="H556" s="221">
        <v>13850</v>
      </c>
      <c r="I556" s="221">
        <v>33310</v>
      </c>
      <c r="J556" s="221">
        <v>19460</v>
      </c>
    </row>
    <row r="557" spans="1:10" x14ac:dyDescent="0.3">
      <c r="A557" s="217">
        <v>553</v>
      </c>
      <c r="B557" s="217" t="s">
        <v>2484</v>
      </c>
      <c r="C557" s="218">
        <v>46201</v>
      </c>
      <c r="D557" s="219" t="s">
        <v>2485</v>
      </c>
      <c r="E557" s="218">
        <v>46201</v>
      </c>
      <c r="F557" s="219" t="s">
        <v>2486</v>
      </c>
      <c r="G557" s="220" t="s">
        <v>143</v>
      </c>
      <c r="H557" s="221">
        <v>13850</v>
      </c>
      <c r="I557" s="221">
        <v>32330</v>
      </c>
      <c r="J557" s="221">
        <v>18480</v>
      </c>
    </row>
    <row r="558" spans="1:10" x14ac:dyDescent="0.3">
      <c r="A558" s="217">
        <v>554</v>
      </c>
      <c r="B558" s="217" t="s">
        <v>2487</v>
      </c>
      <c r="C558" s="218">
        <v>46201</v>
      </c>
      <c r="D558" s="219" t="s">
        <v>886</v>
      </c>
      <c r="E558" s="218">
        <v>46201</v>
      </c>
      <c r="F558" s="219" t="s">
        <v>2488</v>
      </c>
      <c r="G558" s="220" t="s">
        <v>64</v>
      </c>
      <c r="H558" s="221">
        <v>13980</v>
      </c>
      <c r="I558" s="221">
        <v>33240</v>
      </c>
      <c r="J558" s="221">
        <v>19260</v>
      </c>
    </row>
    <row r="559" spans="1:10" x14ac:dyDescent="0.3">
      <c r="A559" s="217">
        <v>555</v>
      </c>
      <c r="B559" s="217" t="s">
        <v>2489</v>
      </c>
      <c r="C559" s="218">
        <v>46201</v>
      </c>
      <c r="D559" s="219" t="s">
        <v>2490</v>
      </c>
      <c r="E559" s="218">
        <v>46201</v>
      </c>
      <c r="F559" s="219" t="s">
        <v>2491</v>
      </c>
      <c r="G559" s="220" t="s">
        <v>80</v>
      </c>
      <c r="H559" s="221">
        <v>13870</v>
      </c>
      <c r="I559" s="221">
        <v>34540</v>
      </c>
      <c r="J559" s="221">
        <v>20670</v>
      </c>
    </row>
    <row r="560" spans="1:10" x14ac:dyDescent="0.3">
      <c r="A560" s="217">
        <v>556</v>
      </c>
      <c r="B560" s="217" t="s">
        <v>2492</v>
      </c>
      <c r="C560" s="218">
        <v>46201</v>
      </c>
      <c r="D560" s="219" t="s">
        <v>2493</v>
      </c>
      <c r="E560" s="218">
        <v>46201</v>
      </c>
      <c r="F560" s="219" t="s">
        <v>2494</v>
      </c>
      <c r="G560" s="220" t="s">
        <v>843</v>
      </c>
      <c r="H560" s="221">
        <v>14060</v>
      </c>
      <c r="I560" s="221">
        <v>33090</v>
      </c>
      <c r="J560" s="221">
        <v>19030</v>
      </c>
    </row>
    <row r="561" spans="1:10" x14ac:dyDescent="0.3">
      <c r="A561" s="217">
        <v>557</v>
      </c>
      <c r="B561" s="217" t="s">
        <v>2495</v>
      </c>
      <c r="C561" s="218">
        <v>46201</v>
      </c>
      <c r="D561" s="219" t="s">
        <v>2496</v>
      </c>
      <c r="E561" s="218">
        <v>46201</v>
      </c>
      <c r="F561" s="219" t="s">
        <v>2497</v>
      </c>
      <c r="G561" s="220" t="s">
        <v>335</v>
      </c>
      <c r="H561" s="221">
        <v>13830</v>
      </c>
      <c r="I561" s="221">
        <v>31970</v>
      </c>
      <c r="J561" s="221">
        <v>18140</v>
      </c>
    </row>
    <row r="562" spans="1:10" x14ac:dyDescent="0.3">
      <c r="A562" s="217">
        <v>558</v>
      </c>
      <c r="B562" s="217" t="s">
        <v>2498</v>
      </c>
      <c r="C562" s="218">
        <v>46201</v>
      </c>
      <c r="D562" s="219" t="s">
        <v>2499</v>
      </c>
      <c r="E562" s="218">
        <v>46201</v>
      </c>
      <c r="F562" s="219" t="s">
        <v>2500</v>
      </c>
      <c r="G562" s="220" t="s">
        <v>537</v>
      </c>
      <c r="H562" s="221">
        <v>13940</v>
      </c>
      <c r="I562" s="221">
        <v>31940</v>
      </c>
      <c r="J562" s="221">
        <v>18000</v>
      </c>
    </row>
    <row r="563" spans="1:10" x14ac:dyDescent="0.3">
      <c r="A563" s="217">
        <v>559</v>
      </c>
      <c r="B563" s="217" t="s">
        <v>2501</v>
      </c>
      <c r="C563" s="218">
        <v>46201</v>
      </c>
      <c r="D563" s="219" t="s">
        <v>2502</v>
      </c>
      <c r="E563" s="218">
        <v>46201</v>
      </c>
      <c r="F563" s="219" t="s">
        <v>2503</v>
      </c>
      <c r="G563" s="220" t="s">
        <v>845</v>
      </c>
      <c r="H563" s="221">
        <v>13810</v>
      </c>
      <c r="I563" s="221">
        <v>31940</v>
      </c>
      <c r="J563" s="221">
        <v>18130</v>
      </c>
    </row>
    <row r="564" spans="1:10" x14ac:dyDescent="0.3">
      <c r="A564" s="217">
        <v>560</v>
      </c>
      <c r="B564" s="217" t="s">
        <v>2504</v>
      </c>
      <c r="C564" s="218">
        <v>46201</v>
      </c>
      <c r="D564" s="219" t="s">
        <v>901</v>
      </c>
      <c r="E564" s="218">
        <v>46201</v>
      </c>
      <c r="F564" s="219" t="s">
        <v>2505</v>
      </c>
      <c r="G564" s="220" t="s">
        <v>840</v>
      </c>
      <c r="H564" s="221">
        <v>13770</v>
      </c>
      <c r="I564" s="221">
        <v>31600</v>
      </c>
      <c r="J564" s="221">
        <v>17830</v>
      </c>
    </row>
    <row r="565" spans="1:10" x14ac:dyDescent="0.3">
      <c r="A565" s="217">
        <v>561</v>
      </c>
      <c r="B565" s="217" t="s">
        <v>2506</v>
      </c>
      <c r="C565" s="218">
        <v>46201</v>
      </c>
      <c r="D565" s="219" t="s">
        <v>2507</v>
      </c>
      <c r="E565" s="218">
        <v>46201</v>
      </c>
      <c r="F565" s="219" t="s">
        <v>2508</v>
      </c>
      <c r="G565" s="220" t="s">
        <v>336</v>
      </c>
      <c r="H565" s="221">
        <v>13910</v>
      </c>
      <c r="I565" s="221">
        <v>31500</v>
      </c>
      <c r="J565" s="221">
        <v>17590</v>
      </c>
    </row>
    <row r="566" spans="1:10" x14ac:dyDescent="0.3">
      <c r="A566" s="217">
        <v>562</v>
      </c>
      <c r="B566" s="217" t="s">
        <v>2509</v>
      </c>
      <c r="C566" s="218">
        <v>46201</v>
      </c>
      <c r="D566" s="219" t="s">
        <v>2510</v>
      </c>
      <c r="E566" s="218">
        <v>46201</v>
      </c>
      <c r="F566" s="219" t="s">
        <v>2511</v>
      </c>
      <c r="G566" s="220" t="s">
        <v>90</v>
      </c>
      <c r="H566" s="221">
        <v>13630</v>
      </c>
      <c r="I566" s="221">
        <v>33000</v>
      </c>
      <c r="J566" s="221">
        <v>19370</v>
      </c>
    </row>
    <row r="567" spans="1:10" x14ac:dyDescent="0.3">
      <c r="A567" s="217">
        <v>563</v>
      </c>
      <c r="B567" s="217" t="s">
        <v>2512</v>
      </c>
      <c r="C567" s="218">
        <v>46201</v>
      </c>
      <c r="D567" s="219" t="s">
        <v>2513</v>
      </c>
      <c r="E567" s="218">
        <v>46201</v>
      </c>
      <c r="F567" s="219" t="s">
        <v>2514</v>
      </c>
      <c r="G567" s="220" t="s">
        <v>71</v>
      </c>
      <c r="H567" s="221">
        <v>13900</v>
      </c>
      <c r="I567" s="221">
        <v>32010</v>
      </c>
      <c r="J567" s="221">
        <v>18110</v>
      </c>
    </row>
    <row r="568" spans="1:10" x14ac:dyDescent="0.3">
      <c r="A568" s="217">
        <v>564</v>
      </c>
      <c r="B568" s="217" t="s">
        <v>2515</v>
      </c>
      <c r="C568" s="218">
        <v>46201</v>
      </c>
      <c r="D568" s="219" t="s">
        <v>2516</v>
      </c>
      <c r="E568" s="218">
        <v>46201</v>
      </c>
      <c r="F568" s="219" t="s">
        <v>2517</v>
      </c>
      <c r="G568" s="220" t="s">
        <v>43</v>
      </c>
      <c r="H568" s="221">
        <v>14010</v>
      </c>
      <c r="I568" s="221">
        <v>33560</v>
      </c>
      <c r="J568" s="221">
        <v>19550</v>
      </c>
    </row>
    <row r="569" spans="1:10" x14ac:dyDescent="0.3">
      <c r="A569" s="217">
        <v>565</v>
      </c>
      <c r="B569" s="217" t="s">
        <v>2518</v>
      </c>
      <c r="C569" s="218">
        <v>46201</v>
      </c>
      <c r="D569" s="219" t="s">
        <v>2519</v>
      </c>
      <c r="E569" s="218">
        <v>46201</v>
      </c>
      <c r="F569" s="219" t="s">
        <v>2520</v>
      </c>
      <c r="G569" s="220" t="s">
        <v>55</v>
      </c>
      <c r="H569" s="221">
        <v>13910</v>
      </c>
      <c r="I569" s="221">
        <v>34640</v>
      </c>
      <c r="J569" s="221">
        <v>20730</v>
      </c>
    </row>
    <row r="570" spans="1:10" x14ac:dyDescent="0.3">
      <c r="A570" s="217">
        <v>566</v>
      </c>
      <c r="B570" s="217" t="s">
        <v>2521</v>
      </c>
      <c r="C570" s="218">
        <v>46201</v>
      </c>
      <c r="D570" s="219" t="s">
        <v>2522</v>
      </c>
      <c r="E570" s="218">
        <v>46201</v>
      </c>
      <c r="F570" s="219" t="s">
        <v>2523</v>
      </c>
      <c r="G570" s="220" t="s">
        <v>337</v>
      </c>
      <c r="H570" s="221">
        <v>13800</v>
      </c>
      <c r="I570" s="221">
        <v>33700</v>
      </c>
      <c r="J570" s="221">
        <v>19900</v>
      </c>
    </row>
    <row r="571" spans="1:10" x14ac:dyDescent="0.3">
      <c r="A571" s="217">
        <v>567</v>
      </c>
      <c r="B571" s="217" t="s">
        <v>2524</v>
      </c>
      <c r="C571" s="218">
        <v>46201</v>
      </c>
      <c r="D571" s="219" t="s">
        <v>2525</v>
      </c>
      <c r="E571" s="218">
        <v>46201</v>
      </c>
      <c r="F571" s="219" t="s">
        <v>2526</v>
      </c>
      <c r="G571" s="220" t="s">
        <v>143</v>
      </c>
      <c r="H571" s="221">
        <v>13850</v>
      </c>
      <c r="I571" s="221">
        <v>31890</v>
      </c>
      <c r="J571" s="221">
        <v>18040</v>
      </c>
    </row>
    <row r="572" spans="1:10" x14ac:dyDescent="0.3">
      <c r="A572" s="217">
        <v>568</v>
      </c>
      <c r="B572" s="217" t="s">
        <v>2527</v>
      </c>
      <c r="C572" s="218">
        <v>46201</v>
      </c>
      <c r="D572" s="219" t="s">
        <v>2528</v>
      </c>
      <c r="E572" s="218">
        <v>46201</v>
      </c>
      <c r="F572" s="219" t="s">
        <v>2529</v>
      </c>
      <c r="G572" s="220" t="s">
        <v>64</v>
      </c>
      <c r="H572" s="221">
        <v>13900</v>
      </c>
      <c r="I572" s="221">
        <v>33700</v>
      </c>
      <c r="J572" s="221">
        <v>19800</v>
      </c>
    </row>
    <row r="573" spans="1:10" x14ac:dyDescent="0.3">
      <c r="A573" s="217">
        <v>569</v>
      </c>
      <c r="B573" s="217" t="s">
        <v>2530</v>
      </c>
      <c r="C573" s="218">
        <v>46201</v>
      </c>
      <c r="D573" s="219" t="s">
        <v>2531</v>
      </c>
      <c r="E573" s="218">
        <v>46201</v>
      </c>
      <c r="F573" s="219" t="s">
        <v>2532</v>
      </c>
      <c r="G573" s="220" t="s">
        <v>85</v>
      </c>
      <c r="H573" s="221">
        <v>13940</v>
      </c>
      <c r="I573" s="221">
        <v>33270</v>
      </c>
      <c r="J573" s="221">
        <v>19330</v>
      </c>
    </row>
    <row r="574" spans="1:10" x14ac:dyDescent="0.3">
      <c r="A574" s="217">
        <v>570</v>
      </c>
      <c r="B574" s="217" t="s">
        <v>2533</v>
      </c>
      <c r="C574" s="218">
        <v>46201</v>
      </c>
      <c r="D574" s="219" t="s">
        <v>2534</v>
      </c>
      <c r="E574" s="218">
        <v>46201</v>
      </c>
      <c r="F574" s="219" t="s">
        <v>2535</v>
      </c>
      <c r="G574" s="220" t="s">
        <v>80</v>
      </c>
      <c r="H574" s="221">
        <v>13860</v>
      </c>
      <c r="I574" s="221">
        <v>32810</v>
      </c>
      <c r="J574" s="221">
        <v>18950</v>
      </c>
    </row>
    <row r="575" spans="1:10" x14ac:dyDescent="0.3">
      <c r="A575" s="217">
        <v>571</v>
      </c>
      <c r="B575" s="217" t="s">
        <v>2536</v>
      </c>
      <c r="C575" s="218">
        <v>46201</v>
      </c>
      <c r="D575" s="219" t="s">
        <v>2537</v>
      </c>
      <c r="E575" s="218">
        <v>46201</v>
      </c>
      <c r="F575" s="219" t="s">
        <v>2538</v>
      </c>
      <c r="G575" s="220" t="s">
        <v>335</v>
      </c>
      <c r="H575" s="221">
        <v>13800</v>
      </c>
      <c r="I575" s="221">
        <v>31320</v>
      </c>
      <c r="J575" s="221">
        <v>17520</v>
      </c>
    </row>
    <row r="576" spans="1:10" x14ac:dyDescent="0.3">
      <c r="A576" s="217">
        <v>572</v>
      </c>
      <c r="B576" s="217" t="s">
        <v>2539</v>
      </c>
      <c r="C576" s="218">
        <v>46201</v>
      </c>
      <c r="D576" s="219" t="s">
        <v>2540</v>
      </c>
      <c r="E576" s="218">
        <v>46201</v>
      </c>
      <c r="F576" s="219" t="s">
        <v>2541</v>
      </c>
      <c r="G576" s="220" t="s">
        <v>843</v>
      </c>
      <c r="H576" s="221">
        <v>14110</v>
      </c>
      <c r="I576" s="221">
        <v>34490</v>
      </c>
      <c r="J576" s="221">
        <v>20380</v>
      </c>
    </row>
    <row r="577" spans="1:10" x14ac:dyDescent="0.3">
      <c r="A577" s="217">
        <v>573</v>
      </c>
      <c r="B577" s="217" t="s">
        <v>2542</v>
      </c>
      <c r="C577" s="218">
        <v>46201</v>
      </c>
      <c r="D577" s="219" t="s">
        <v>2543</v>
      </c>
      <c r="E577" s="218">
        <v>46201</v>
      </c>
      <c r="F577" s="219" t="s">
        <v>2544</v>
      </c>
      <c r="G577" s="220" t="s">
        <v>537</v>
      </c>
      <c r="H577" s="221">
        <v>13890</v>
      </c>
      <c r="I577" s="221">
        <v>34490</v>
      </c>
      <c r="J577" s="221">
        <v>20600</v>
      </c>
    </row>
    <row r="578" spans="1:10" x14ac:dyDescent="0.3">
      <c r="A578" s="217">
        <v>574</v>
      </c>
      <c r="B578" s="217" t="s">
        <v>2545</v>
      </c>
      <c r="C578" s="218">
        <v>46201</v>
      </c>
      <c r="D578" s="219" t="s">
        <v>2546</v>
      </c>
      <c r="E578" s="218">
        <v>46201</v>
      </c>
      <c r="F578" s="219" t="s">
        <v>1247</v>
      </c>
      <c r="G578" s="220" t="s">
        <v>840</v>
      </c>
      <c r="H578" s="221">
        <v>13740</v>
      </c>
      <c r="I578" s="221">
        <v>33740</v>
      </c>
      <c r="J578" s="221">
        <v>20000</v>
      </c>
    </row>
    <row r="579" spans="1:10" x14ac:dyDescent="0.3">
      <c r="A579" s="217">
        <v>575</v>
      </c>
      <c r="B579" s="217" t="s">
        <v>2547</v>
      </c>
      <c r="C579" s="218">
        <v>46201</v>
      </c>
      <c r="D579" s="219" t="s">
        <v>2548</v>
      </c>
      <c r="E579" s="218">
        <v>46201</v>
      </c>
      <c r="F579" s="219" t="s">
        <v>2549</v>
      </c>
      <c r="G579" s="220" t="s">
        <v>845</v>
      </c>
      <c r="H579" s="221">
        <v>13940</v>
      </c>
      <c r="I579" s="221">
        <v>32780</v>
      </c>
      <c r="J579" s="221">
        <v>18840</v>
      </c>
    </row>
    <row r="580" spans="1:10" x14ac:dyDescent="0.3">
      <c r="A580" s="217">
        <v>576</v>
      </c>
      <c r="B580" s="217" t="s">
        <v>2550</v>
      </c>
      <c r="C580" s="218">
        <v>46201</v>
      </c>
      <c r="D580" s="219" t="s">
        <v>2551</v>
      </c>
      <c r="E580" s="218">
        <v>46201</v>
      </c>
      <c r="F580" s="219" t="s">
        <v>2552</v>
      </c>
      <c r="G580" s="220" t="s">
        <v>71</v>
      </c>
      <c r="H580" s="221">
        <v>13890</v>
      </c>
      <c r="I580" s="221">
        <v>33610</v>
      </c>
      <c r="J580" s="221">
        <v>19720</v>
      </c>
    </row>
    <row r="581" spans="1:10" x14ac:dyDescent="0.3">
      <c r="A581" s="217">
        <v>577</v>
      </c>
      <c r="B581" s="217" t="s">
        <v>2553</v>
      </c>
      <c r="C581" s="218">
        <v>46201</v>
      </c>
      <c r="D581" s="219" t="s">
        <v>2554</v>
      </c>
      <c r="E581" s="218">
        <v>46201</v>
      </c>
      <c r="F581" s="219" t="s">
        <v>2555</v>
      </c>
      <c r="G581" s="220" t="s">
        <v>336</v>
      </c>
      <c r="H581" s="221">
        <v>13910</v>
      </c>
      <c r="I581" s="221">
        <v>32640</v>
      </c>
      <c r="J581" s="221">
        <v>18730</v>
      </c>
    </row>
    <row r="582" spans="1:10" x14ac:dyDescent="0.3">
      <c r="A582" s="217">
        <v>578</v>
      </c>
      <c r="B582" s="217" t="s">
        <v>2556</v>
      </c>
      <c r="C582" s="218">
        <v>46201</v>
      </c>
      <c r="D582" s="219" t="s">
        <v>2557</v>
      </c>
      <c r="E582" s="218">
        <v>46201</v>
      </c>
      <c r="F582" s="219" t="s">
        <v>2558</v>
      </c>
      <c r="G582" s="220" t="s">
        <v>90</v>
      </c>
      <c r="H582" s="221">
        <v>13990</v>
      </c>
      <c r="I582" s="221">
        <v>32640</v>
      </c>
      <c r="J582" s="221">
        <v>18650</v>
      </c>
    </row>
    <row r="583" spans="1:10" x14ac:dyDescent="0.3">
      <c r="A583" s="217">
        <v>579</v>
      </c>
      <c r="B583" s="217" t="s">
        <v>2559</v>
      </c>
      <c r="C583" s="218">
        <v>46201</v>
      </c>
      <c r="D583" s="219" t="s">
        <v>2560</v>
      </c>
      <c r="E583" s="218">
        <v>46201</v>
      </c>
      <c r="F583" s="219" t="s">
        <v>2561</v>
      </c>
      <c r="G583" s="220" t="s">
        <v>43</v>
      </c>
      <c r="H583" s="221">
        <v>14100</v>
      </c>
      <c r="I583" s="221">
        <v>33260</v>
      </c>
      <c r="J583" s="221">
        <v>19160</v>
      </c>
    </row>
    <row r="584" spans="1:10" x14ac:dyDescent="0.3">
      <c r="A584" s="217">
        <v>580</v>
      </c>
      <c r="B584" s="217" t="s">
        <v>2562</v>
      </c>
      <c r="C584" s="218">
        <v>46201</v>
      </c>
      <c r="D584" s="219" t="s">
        <v>2563</v>
      </c>
      <c r="E584" s="218">
        <v>46201</v>
      </c>
      <c r="F584" s="219" t="s">
        <v>2564</v>
      </c>
      <c r="G584" s="220" t="s">
        <v>55</v>
      </c>
      <c r="H584" s="221">
        <v>13830</v>
      </c>
      <c r="I584" s="221">
        <v>32570</v>
      </c>
      <c r="J584" s="221">
        <v>18740</v>
      </c>
    </row>
    <row r="585" spans="1:10" x14ac:dyDescent="0.3">
      <c r="A585" s="217">
        <v>581</v>
      </c>
      <c r="B585" s="217" t="s">
        <v>2565</v>
      </c>
      <c r="C585" s="218">
        <v>46201</v>
      </c>
      <c r="D585" s="219" t="s">
        <v>2566</v>
      </c>
      <c r="E585" s="218">
        <v>46201</v>
      </c>
      <c r="F585" s="219" t="s">
        <v>2567</v>
      </c>
      <c r="G585" s="220" t="s">
        <v>337</v>
      </c>
      <c r="H585" s="221">
        <v>13890</v>
      </c>
      <c r="I585" s="221">
        <v>31780</v>
      </c>
      <c r="J585" s="221">
        <v>17890</v>
      </c>
    </row>
    <row r="586" spans="1:10" x14ac:dyDescent="0.3">
      <c r="A586" s="217">
        <v>582</v>
      </c>
      <c r="B586" s="217" t="s">
        <v>2568</v>
      </c>
      <c r="C586" s="218">
        <v>46201</v>
      </c>
      <c r="D586" s="219" t="s">
        <v>2569</v>
      </c>
      <c r="E586" s="218">
        <v>46201</v>
      </c>
      <c r="F586" s="219" t="s">
        <v>2570</v>
      </c>
      <c r="G586" s="220" t="s">
        <v>143</v>
      </c>
      <c r="H586" s="221">
        <v>13780</v>
      </c>
      <c r="I586" s="221">
        <v>31950</v>
      </c>
      <c r="J586" s="221">
        <v>18170</v>
      </c>
    </row>
    <row r="587" spans="1:10" x14ac:dyDescent="0.3">
      <c r="A587" s="217">
        <v>583</v>
      </c>
      <c r="B587" s="217" t="s">
        <v>2571</v>
      </c>
      <c r="C587" s="218">
        <v>46201</v>
      </c>
      <c r="D587" s="219" t="s">
        <v>2572</v>
      </c>
      <c r="E587" s="218">
        <v>46201</v>
      </c>
      <c r="F587" s="219" t="s">
        <v>2573</v>
      </c>
      <c r="G587" s="220" t="s">
        <v>64</v>
      </c>
      <c r="H587" s="221">
        <v>13910</v>
      </c>
      <c r="I587" s="221">
        <v>33830</v>
      </c>
      <c r="J587" s="221">
        <v>19920</v>
      </c>
    </row>
    <row r="588" spans="1:10" x14ac:dyDescent="0.3">
      <c r="A588" s="217">
        <v>584</v>
      </c>
      <c r="B588" s="217" t="s">
        <v>2574</v>
      </c>
      <c r="C588" s="218">
        <v>46201</v>
      </c>
      <c r="D588" s="219" t="s">
        <v>2575</v>
      </c>
      <c r="E588" s="218">
        <v>46201</v>
      </c>
      <c r="F588" s="219" t="s">
        <v>2576</v>
      </c>
      <c r="G588" s="220" t="s">
        <v>85</v>
      </c>
      <c r="H588" s="221">
        <v>13880</v>
      </c>
      <c r="I588" s="221">
        <v>32560</v>
      </c>
      <c r="J588" s="221">
        <v>18680</v>
      </c>
    </row>
    <row r="589" spans="1:10" x14ac:dyDescent="0.3">
      <c r="A589" s="217">
        <v>585</v>
      </c>
      <c r="B589" s="217" t="s">
        <v>2577</v>
      </c>
      <c r="C589" s="218">
        <v>46201</v>
      </c>
      <c r="D589" s="219" t="s">
        <v>2578</v>
      </c>
      <c r="E589" s="218">
        <v>46201</v>
      </c>
      <c r="F589" s="219" t="s">
        <v>2579</v>
      </c>
      <c r="G589" s="220" t="s">
        <v>80</v>
      </c>
      <c r="H589" s="221">
        <v>13830</v>
      </c>
      <c r="I589" s="221">
        <v>32860</v>
      </c>
      <c r="J589" s="221">
        <v>19030</v>
      </c>
    </row>
    <row r="590" spans="1:10" x14ac:dyDescent="0.3">
      <c r="A590" s="217">
        <v>586</v>
      </c>
      <c r="B590" s="217" t="s">
        <v>2580</v>
      </c>
      <c r="C590" s="218">
        <v>46201</v>
      </c>
      <c r="D590" s="219" t="s">
        <v>2581</v>
      </c>
      <c r="E590" s="218">
        <v>46201</v>
      </c>
      <c r="F590" s="219" t="s">
        <v>2582</v>
      </c>
      <c r="G590" s="220" t="s">
        <v>335</v>
      </c>
      <c r="H590" s="221">
        <v>13800</v>
      </c>
      <c r="I590" s="221">
        <v>32370</v>
      </c>
      <c r="J590" s="221">
        <v>18570</v>
      </c>
    </row>
    <row r="591" spans="1:10" x14ac:dyDescent="0.3">
      <c r="A591" s="217">
        <v>587</v>
      </c>
      <c r="B591" s="217" t="s">
        <v>2583</v>
      </c>
      <c r="C591" s="218">
        <v>46201</v>
      </c>
      <c r="D591" s="219" t="s">
        <v>2584</v>
      </c>
      <c r="E591" s="218">
        <v>46201</v>
      </c>
      <c r="F591" s="219" t="s">
        <v>2585</v>
      </c>
      <c r="G591" s="220" t="s">
        <v>843</v>
      </c>
      <c r="H591" s="221">
        <v>14030</v>
      </c>
      <c r="I591" s="221">
        <v>33040</v>
      </c>
      <c r="J591" s="221">
        <v>19010</v>
      </c>
    </row>
    <row r="592" spans="1:10" x14ac:dyDescent="0.3">
      <c r="A592" s="217">
        <v>588</v>
      </c>
      <c r="B592" s="217" t="s">
        <v>2586</v>
      </c>
      <c r="C592" s="218">
        <v>46201</v>
      </c>
      <c r="D592" s="219" t="s">
        <v>2587</v>
      </c>
      <c r="E592" s="218">
        <v>46201</v>
      </c>
      <c r="F592" s="219" t="s">
        <v>2588</v>
      </c>
      <c r="G592" s="220" t="s">
        <v>537</v>
      </c>
      <c r="H592" s="221">
        <v>13830</v>
      </c>
      <c r="I592" s="221">
        <v>33140</v>
      </c>
      <c r="J592" s="221">
        <v>19310</v>
      </c>
    </row>
    <row r="593" spans="1:10" x14ac:dyDescent="0.3">
      <c r="A593" s="217">
        <v>589</v>
      </c>
      <c r="B593" s="217" t="s">
        <v>2589</v>
      </c>
      <c r="C593" s="218">
        <v>46201</v>
      </c>
      <c r="D593" s="219" t="s">
        <v>2590</v>
      </c>
      <c r="E593" s="218">
        <v>46201</v>
      </c>
      <c r="F593" s="219" t="s">
        <v>2591</v>
      </c>
      <c r="G593" s="220" t="s">
        <v>336</v>
      </c>
      <c r="H593" s="221">
        <v>13860</v>
      </c>
      <c r="I593" s="221">
        <v>34200</v>
      </c>
      <c r="J593" s="221">
        <v>20340</v>
      </c>
    </row>
    <row r="594" spans="1:10" x14ac:dyDescent="0.3">
      <c r="A594" s="217">
        <v>590</v>
      </c>
      <c r="B594" s="217" t="s">
        <v>2592</v>
      </c>
      <c r="C594" s="218">
        <v>46201</v>
      </c>
      <c r="D594" s="219" t="s">
        <v>2593</v>
      </c>
      <c r="E594" s="218">
        <v>46201</v>
      </c>
      <c r="F594" s="219" t="s">
        <v>2594</v>
      </c>
      <c r="G594" s="220" t="s">
        <v>845</v>
      </c>
      <c r="H594" s="221">
        <v>13960</v>
      </c>
      <c r="I594" s="221">
        <v>32750</v>
      </c>
      <c r="J594" s="221">
        <v>18790</v>
      </c>
    </row>
    <row r="595" spans="1:10" x14ac:dyDescent="0.3">
      <c r="A595" s="217">
        <v>591</v>
      </c>
      <c r="B595" s="217" t="s">
        <v>2595</v>
      </c>
      <c r="C595" s="218">
        <v>46201</v>
      </c>
      <c r="D595" s="219" t="s">
        <v>2596</v>
      </c>
      <c r="E595" s="218">
        <v>46201</v>
      </c>
      <c r="F595" s="219" t="s">
        <v>2597</v>
      </c>
      <c r="G595" s="220" t="s">
        <v>90</v>
      </c>
      <c r="H595" s="221">
        <v>14000</v>
      </c>
      <c r="I595" s="221">
        <v>32620</v>
      </c>
      <c r="J595" s="221">
        <v>18620</v>
      </c>
    </row>
    <row r="596" spans="1:10" x14ac:dyDescent="0.3">
      <c r="A596" s="217">
        <v>592</v>
      </c>
      <c r="B596" s="217" t="s">
        <v>2598</v>
      </c>
      <c r="C596" s="218">
        <v>46201</v>
      </c>
      <c r="D596" s="219" t="s">
        <v>2599</v>
      </c>
      <c r="E596" s="218">
        <v>46201</v>
      </c>
      <c r="F596" s="219" t="s">
        <v>758</v>
      </c>
      <c r="G596" s="220" t="s">
        <v>55</v>
      </c>
      <c r="H596" s="221">
        <v>13860</v>
      </c>
      <c r="I596" s="221">
        <v>34610</v>
      </c>
      <c r="J596" s="221">
        <v>20750</v>
      </c>
    </row>
    <row r="597" spans="1:10" x14ac:dyDescent="0.3">
      <c r="A597" s="217">
        <v>593</v>
      </c>
      <c r="B597" s="217" t="s">
        <v>2600</v>
      </c>
      <c r="C597" s="218">
        <v>46201</v>
      </c>
      <c r="D597" s="219" t="s">
        <v>2601</v>
      </c>
      <c r="E597" s="218">
        <v>46201</v>
      </c>
      <c r="F597" s="219" t="s">
        <v>531</v>
      </c>
      <c r="G597" s="220" t="s">
        <v>337</v>
      </c>
      <c r="H597" s="221">
        <v>13790</v>
      </c>
      <c r="I597" s="221">
        <v>32660</v>
      </c>
      <c r="J597" s="221">
        <v>18870</v>
      </c>
    </row>
    <row r="598" spans="1:10" x14ac:dyDescent="0.3">
      <c r="A598" s="217">
        <v>594</v>
      </c>
      <c r="B598" s="217" t="s">
        <v>2602</v>
      </c>
      <c r="C598" s="218">
        <v>46201</v>
      </c>
      <c r="D598" s="219" t="s">
        <v>2603</v>
      </c>
      <c r="E598" s="218">
        <v>46201</v>
      </c>
      <c r="F598" s="219" t="s">
        <v>2604</v>
      </c>
      <c r="G598" s="220" t="s">
        <v>143</v>
      </c>
      <c r="H598" s="221">
        <v>13910</v>
      </c>
      <c r="I598" s="221">
        <v>32110</v>
      </c>
      <c r="J598" s="221">
        <v>18200</v>
      </c>
    </row>
    <row r="599" spans="1:10" x14ac:dyDescent="0.3">
      <c r="A599" s="217">
        <v>595</v>
      </c>
      <c r="B599" s="217" t="s">
        <v>2605</v>
      </c>
      <c r="C599" s="218">
        <v>46201</v>
      </c>
      <c r="D599" s="219" t="s">
        <v>2606</v>
      </c>
      <c r="E599" s="218">
        <v>46201</v>
      </c>
      <c r="F599" s="219" t="s">
        <v>2607</v>
      </c>
      <c r="G599" s="220" t="s">
        <v>845</v>
      </c>
      <c r="H599" s="221">
        <v>13960</v>
      </c>
      <c r="I599" s="221">
        <v>32820</v>
      </c>
      <c r="J599" s="221">
        <v>18860</v>
      </c>
    </row>
    <row r="600" spans="1:10" x14ac:dyDescent="0.3">
      <c r="A600" s="217">
        <v>596</v>
      </c>
      <c r="B600" s="217" t="s">
        <v>2608</v>
      </c>
      <c r="C600" s="218">
        <v>46201</v>
      </c>
      <c r="D600" s="219" t="s">
        <v>2609</v>
      </c>
      <c r="E600" s="218">
        <v>46201</v>
      </c>
      <c r="F600" s="219"/>
      <c r="G600" s="220" t="s">
        <v>64</v>
      </c>
      <c r="H600" s="221">
        <v>14080</v>
      </c>
      <c r="I600" s="221">
        <v>33720</v>
      </c>
      <c r="J600" s="221">
        <v>19640</v>
      </c>
    </row>
    <row r="601" spans="1:10" x14ac:dyDescent="0.3">
      <c r="A601" s="217">
        <v>597</v>
      </c>
      <c r="B601" s="217" t="s">
        <v>2610</v>
      </c>
      <c r="C601" s="218">
        <v>46201</v>
      </c>
      <c r="D601" s="219" t="s">
        <v>2611</v>
      </c>
      <c r="E601" s="218">
        <v>46201</v>
      </c>
      <c r="F601" s="219"/>
      <c r="G601" s="220" t="s">
        <v>85</v>
      </c>
      <c r="H601" s="221">
        <v>13960</v>
      </c>
      <c r="I601" s="221">
        <v>31720</v>
      </c>
      <c r="J601" s="221">
        <v>17760</v>
      </c>
    </row>
    <row r="602" spans="1:10" x14ac:dyDescent="0.3">
      <c r="A602" s="217">
        <v>598</v>
      </c>
      <c r="B602" s="217" t="s">
        <v>2612</v>
      </c>
      <c r="C602" s="218">
        <v>46201</v>
      </c>
      <c r="D602" s="219" t="s">
        <v>2613</v>
      </c>
      <c r="E602" s="218">
        <v>46201</v>
      </c>
      <c r="F602" s="219"/>
      <c r="G602" s="220" t="s">
        <v>335</v>
      </c>
      <c r="H602" s="221">
        <v>13910</v>
      </c>
      <c r="I602" s="221">
        <v>32240</v>
      </c>
      <c r="J602" s="221">
        <v>18330</v>
      </c>
    </row>
    <row r="603" spans="1:10" x14ac:dyDescent="0.3">
      <c r="A603" s="217">
        <v>599</v>
      </c>
      <c r="B603" s="217" t="s">
        <v>2614</v>
      </c>
      <c r="C603" s="218">
        <v>46201</v>
      </c>
      <c r="D603" s="219" t="s">
        <v>2615</v>
      </c>
      <c r="E603" s="218">
        <v>46201</v>
      </c>
      <c r="F603" s="219"/>
      <c r="G603" s="220" t="s">
        <v>80</v>
      </c>
      <c r="H603" s="221">
        <v>14030</v>
      </c>
      <c r="I603" s="221">
        <v>33110</v>
      </c>
      <c r="J603" s="221">
        <v>19080</v>
      </c>
    </row>
    <row r="604" spans="1:10" x14ac:dyDescent="0.3">
      <c r="A604" s="217">
        <v>600</v>
      </c>
      <c r="B604" s="217" t="s">
        <v>2616</v>
      </c>
      <c r="C604" s="218">
        <v>46202</v>
      </c>
      <c r="D604" s="219" t="s">
        <v>2617</v>
      </c>
      <c r="E604" s="218">
        <v>46202</v>
      </c>
      <c r="F604" s="219" t="s">
        <v>2618</v>
      </c>
      <c r="G604" s="220" t="s">
        <v>840</v>
      </c>
      <c r="H604" s="221">
        <v>14100</v>
      </c>
      <c r="I604" s="221">
        <v>34380</v>
      </c>
      <c r="J604" s="221">
        <v>20280</v>
      </c>
    </row>
    <row r="605" spans="1:10" x14ac:dyDescent="0.3">
      <c r="A605" s="217">
        <v>601</v>
      </c>
      <c r="B605" s="217" t="s">
        <v>2619</v>
      </c>
      <c r="C605" s="218">
        <v>46202</v>
      </c>
      <c r="D605" s="219" t="s">
        <v>2620</v>
      </c>
      <c r="E605" s="218">
        <v>46202</v>
      </c>
      <c r="F605" s="219" t="s">
        <v>2621</v>
      </c>
      <c r="G605" s="220" t="s">
        <v>71</v>
      </c>
      <c r="H605" s="221">
        <v>14060</v>
      </c>
      <c r="I605" s="221">
        <v>32850</v>
      </c>
      <c r="J605" s="221">
        <v>18790</v>
      </c>
    </row>
    <row r="606" spans="1:10" x14ac:dyDescent="0.3">
      <c r="A606" s="217">
        <v>602</v>
      </c>
      <c r="B606" s="217" t="s">
        <v>2622</v>
      </c>
      <c r="C606" s="218">
        <v>46202</v>
      </c>
      <c r="D606" s="219" t="s">
        <v>854</v>
      </c>
      <c r="E606" s="218">
        <v>46202</v>
      </c>
      <c r="F606" s="219" t="s">
        <v>2623</v>
      </c>
      <c r="G606" s="220" t="s">
        <v>43</v>
      </c>
      <c r="H606" s="221">
        <v>13970</v>
      </c>
      <c r="I606" s="221">
        <v>33030</v>
      </c>
      <c r="J606" s="221">
        <v>19060</v>
      </c>
    </row>
    <row r="607" spans="1:10" x14ac:dyDescent="0.3">
      <c r="A607" s="217">
        <v>603</v>
      </c>
      <c r="B607" s="217" t="s">
        <v>2624</v>
      </c>
      <c r="C607" s="218">
        <v>46202</v>
      </c>
      <c r="D607" s="219" t="s">
        <v>1600</v>
      </c>
      <c r="E607" s="218">
        <v>46202</v>
      </c>
      <c r="F607" s="219" t="s">
        <v>2625</v>
      </c>
      <c r="G607" s="220" t="s">
        <v>537</v>
      </c>
      <c r="H607" s="221">
        <v>13800</v>
      </c>
      <c r="I607" s="221">
        <v>32940</v>
      </c>
      <c r="J607" s="221">
        <v>19140</v>
      </c>
    </row>
    <row r="608" spans="1:10" x14ac:dyDescent="0.3">
      <c r="A608" s="217">
        <v>604</v>
      </c>
      <c r="B608" s="217" t="s">
        <v>2626</v>
      </c>
      <c r="C608" s="218">
        <v>46202</v>
      </c>
      <c r="D608" s="219" t="s">
        <v>2627</v>
      </c>
      <c r="E608" s="218">
        <v>46202</v>
      </c>
      <c r="F608" s="219" t="s">
        <v>2628</v>
      </c>
      <c r="G608" s="220" t="s">
        <v>336</v>
      </c>
      <c r="H608" s="221">
        <v>13710</v>
      </c>
      <c r="I608" s="221">
        <v>32570</v>
      </c>
      <c r="J608" s="221">
        <v>18860</v>
      </c>
    </row>
    <row r="609" spans="1:10" x14ac:dyDescent="0.3">
      <c r="A609" s="217">
        <v>605</v>
      </c>
      <c r="B609" s="217" t="s">
        <v>2629</v>
      </c>
      <c r="C609" s="218">
        <v>46202</v>
      </c>
      <c r="D609" s="219" t="s">
        <v>2630</v>
      </c>
      <c r="E609" s="218">
        <v>46202</v>
      </c>
      <c r="F609" s="219" t="s">
        <v>2631</v>
      </c>
      <c r="G609" s="220" t="s">
        <v>90</v>
      </c>
      <c r="H609" s="221">
        <v>13920</v>
      </c>
      <c r="I609" s="221">
        <v>33790</v>
      </c>
      <c r="J609" s="221">
        <v>19870</v>
      </c>
    </row>
    <row r="610" spans="1:10" x14ac:dyDescent="0.3">
      <c r="A610" s="217">
        <v>606</v>
      </c>
      <c r="B610" s="217" t="s">
        <v>2632</v>
      </c>
      <c r="C610" s="218">
        <v>46202</v>
      </c>
      <c r="D610" s="219" t="s">
        <v>2633</v>
      </c>
      <c r="E610" s="218">
        <v>46202</v>
      </c>
      <c r="F610" s="219" t="s">
        <v>2634</v>
      </c>
      <c r="G610" s="220" t="s">
        <v>80</v>
      </c>
      <c r="H610" s="221">
        <v>14190</v>
      </c>
      <c r="I610" s="221">
        <v>32890</v>
      </c>
      <c r="J610" s="221">
        <v>18700</v>
      </c>
    </row>
    <row r="611" spans="1:10" x14ac:dyDescent="0.3">
      <c r="A611" s="217">
        <v>607</v>
      </c>
      <c r="B611" s="217" t="s">
        <v>2635</v>
      </c>
      <c r="C611" s="218">
        <v>46202</v>
      </c>
      <c r="D611" s="219" t="s">
        <v>2636</v>
      </c>
      <c r="E611" s="218">
        <v>46202</v>
      </c>
      <c r="F611" s="219" t="s">
        <v>2637</v>
      </c>
      <c r="G611" s="220" t="s">
        <v>64</v>
      </c>
      <c r="H611" s="221">
        <v>13860</v>
      </c>
      <c r="I611" s="221">
        <v>33320</v>
      </c>
      <c r="J611" s="221">
        <v>19460</v>
      </c>
    </row>
    <row r="612" spans="1:10" x14ac:dyDescent="0.3">
      <c r="A612" s="217">
        <v>608</v>
      </c>
      <c r="B612" s="217" t="s">
        <v>2638</v>
      </c>
      <c r="C612" s="218">
        <v>46202</v>
      </c>
      <c r="D612" s="219" t="s">
        <v>2639</v>
      </c>
      <c r="E612" s="218">
        <v>46202</v>
      </c>
      <c r="F612" s="219" t="s">
        <v>2640</v>
      </c>
      <c r="G612" s="220" t="s">
        <v>843</v>
      </c>
      <c r="H612" s="221">
        <v>14030</v>
      </c>
      <c r="I612" s="221">
        <v>34330</v>
      </c>
      <c r="J612" s="221">
        <v>20300</v>
      </c>
    </row>
    <row r="613" spans="1:10" x14ac:dyDescent="0.3">
      <c r="A613" s="217">
        <v>609</v>
      </c>
      <c r="B613" s="217" t="s">
        <v>2641</v>
      </c>
      <c r="C613" s="218">
        <v>46202</v>
      </c>
      <c r="D613" s="219" t="s">
        <v>2642</v>
      </c>
      <c r="E613" s="218">
        <v>46202</v>
      </c>
      <c r="F613" s="219" t="s">
        <v>2643</v>
      </c>
      <c r="G613" s="220" t="s">
        <v>55</v>
      </c>
      <c r="H613" s="221">
        <v>13730</v>
      </c>
      <c r="I613" s="221">
        <v>32980</v>
      </c>
      <c r="J613" s="221">
        <v>19250</v>
      </c>
    </row>
    <row r="614" spans="1:10" x14ac:dyDescent="0.3">
      <c r="A614" s="217">
        <v>610</v>
      </c>
      <c r="B614" s="217" t="s">
        <v>2644</v>
      </c>
      <c r="C614" s="218">
        <v>46202</v>
      </c>
      <c r="D614" s="219" t="s">
        <v>2645</v>
      </c>
      <c r="E614" s="218">
        <v>46202</v>
      </c>
      <c r="F614" s="219" t="s">
        <v>2646</v>
      </c>
      <c r="G614" s="220" t="s">
        <v>335</v>
      </c>
      <c r="H614" s="221">
        <v>13730</v>
      </c>
      <c r="I614" s="221">
        <v>33010</v>
      </c>
      <c r="J614" s="221">
        <v>19280</v>
      </c>
    </row>
    <row r="615" spans="1:10" x14ac:dyDescent="0.3">
      <c r="A615" s="217">
        <v>611</v>
      </c>
      <c r="B615" s="217" t="s">
        <v>2647</v>
      </c>
      <c r="C615" s="218">
        <v>46202</v>
      </c>
      <c r="D615" s="219" t="s">
        <v>2648</v>
      </c>
      <c r="E615" s="218">
        <v>46202</v>
      </c>
      <c r="F615" s="219" t="s">
        <v>2649</v>
      </c>
      <c r="G615" s="220" t="s">
        <v>337</v>
      </c>
      <c r="H615" s="221">
        <v>13730</v>
      </c>
      <c r="I615" s="221">
        <v>32010</v>
      </c>
      <c r="J615" s="221">
        <v>18280</v>
      </c>
    </row>
    <row r="616" spans="1:10" x14ac:dyDescent="0.3">
      <c r="A616" s="217">
        <v>612</v>
      </c>
      <c r="B616" s="217" t="s">
        <v>2650</v>
      </c>
      <c r="C616" s="218">
        <v>46202</v>
      </c>
      <c r="D616" s="219" t="s">
        <v>899</v>
      </c>
      <c r="E616" s="218">
        <v>46202</v>
      </c>
      <c r="F616" s="219" t="s">
        <v>2651</v>
      </c>
      <c r="G616" s="220" t="s">
        <v>85</v>
      </c>
      <c r="H616" s="221">
        <v>13810</v>
      </c>
      <c r="I616" s="221">
        <v>32760</v>
      </c>
      <c r="J616" s="221">
        <v>18950</v>
      </c>
    </row>
    <row r="617" spans="1:10" x14ac:dyDescent="0.3">
      <c r="A617" s="217">
        <v>613</v>
      </c>
      <c r="B617" s="217" t="s">
        <v>2652</v>
      </c>
      <c r="C617" s="218">
        <v>46202</v>
      </c>
      <c r="D617" s="219" t="s">
        <v>2653</v>
      </c>
      <c r="E617" s="218">
        <v>46202</v>
      </c>
      <c r="F617" s="219" t="s">
        <v>2654</v>
      </c>
      <c r="G617" s="220" t="s">
        <v>143</v>
      </c>
      <c r="H617" s="221">
        <v>13760</v>
      </c>
      <c r="I617" s="221">
        <v>33840</v>
      </c>
      <c r="J617" s="221">
        <v>20080</v>
      </c>
    </row>
    <row r="618" spans="1:10" x14ac:dyDescent="0.3">
      <c r="A618" s="217">
        <v>614</v>
      </c>
      <c r="B618" s="217" t="s">
        <v>2655</v>
      </c>
      <c r="C618" s="218">
        <v>46202</v>
      </c>
      <c r="D618" s="219" t="s">
        <v>1134</v>
      </c>
      <c r="E618" s="218">
        <v>46202</v>
      </c>
      <c r="F618" s="219" t="s">
        <v>2656</v>
      </c>
      <c r="G618" s="220" t="s">
        <v>845</v>
      </c>
      <c r="H618" s="221">
        <v>13970</v>
      </c>
      <c r="I618" s="221">
        <v>34900</v>
      </c>
      <c r="J618" s="221">
        <v>20930</v>
      </c>
    </row>
    <row r="619" spans="1:10" x14ac:dyDescent="0.3">
      <c r="A619" s="217">
        <v>615</v>
      </c>
      <c r="B619" s="217" t="s">
        <v>2657</v>
      </c>
      <c r="C619" s="218">
        <v>46202</v>
      </c>
      <c r="D619" s="219" t="s">
        <v>2658</v>
      </c>
      <c r="E619" s="218">
        <v>46202</v>
      </c>
      <c r="F619" s="219" t="s">
        <v>2659</v>
      </c>
      <c r="G619" s="220" t="s">
        <v>840</v>
      </c>
      <c r="H619" s="221">
        <v>14030</v>
      </c>
      <c r="I619" s="221">
        <v>34460</v>
      </c>
      <c r="J619" s="221">
        <v>20430</v>
      </c>
    </row>
    <row r="620" spans="1:10" x14ac:dyDescent="0.3">
      <c r="A620" s="217">
        <v>616</v>
      </c>
      <c r="B620" s="217" t="s">
        <v>2660</v>
      </c>
      <c r="C620" s="218">
        <v>46202</v>
      </c>
      <c r="D620" s="219" t="s">
        <v>2661</v>
      </c>
      <c r="E620" s="218">
        <v>46202</v>
      </c>
      <c r="F620" s="219" t="s">
        <v>2662</v>
      </c>
      <c r="G620" s="220" t="s">
        <v>71</v>
      </c>
      <c r="H620" s="221">
        <v>14010</v>
      </c>
      <c r="I620" s="221">
        <v>34180</v>
      </c>
      <c r="J620" s="221">
        <v>20170</v>
      </c>
    </row>
    <row r="621" spans="1:10" x14ac:dyDescent="0.3">
      <c r="A621" s="217">
        <v>617</v>
      </c>
      <c r="B621" s="217" t="s">
        <v>2663</v>
      </c>
      <c r="C621" s="218">
        <v>46202</v>
      </c>
      <c r="D621" s="219" t="s">
        <v>2664</v>
      </c>
      <c r="E621" s="218">
        <v>46202</v>
      </c>
      <c r="F621" s="219" t="s">
        <v>2665</v>
      </c>
      <c r="G621" s="220" t="s">
        <v>43</v>
      </c>
      <c r="H621" s="221">
        <v>13950</v>
      </c>
      <c r="I621" s="221">
        <v>32580</v>
      </c>
      <c r="J621" s="221">
        <v>18630</v>
      </c>
    </row>
    <row r="622" spans="1:10" x14ac:dyDescent="0.3">
      <c r="A622" s="217">
        <v>618</v>
      </c>
      <c r="B622" s="217" t="s">
        <v>2666</v>
      </c>
      <c r="C622" s="218">
        <v>46202</v>
      </c>
      <c r="D622" s="219" t="s">
        <v>2667</v>
      </c>
      <c r="E622" s="218">
        <v>46202</v>
      </c>
      <c r="F622" s="219" t="s">
        <v>2668</v>
      </c>
      <c r="G622" s="220" t="s">
        <v>537</v>
      </c>
      <c r="H622" s="221">
        <v>13760</v>
      </c>
      <c r="I622" s="221">
        <v>33770</v>
      </c>
      <c r="J622" s="221">
        <v>20010</v>
      </c>
    </row>
    <row r="623" spans="1:10" x14ac:dyDescent="0.3">
      <c r="A623" s="217">
        <v>619</v>
      </c>
      <c r="B623" s="217" t="s">
        <v>2669</v>
      </c>
      <c r="C623" s="218">
        <v>46202</v>
      </c>
      <c r="D623" s="219" t="s">
        <v>2670</v>
      </c>
      <c r="E623" s="218">
        <v>46202</v>
      </c>
      <c r="F623" s="219" t="s">
        <v>2671</v>
      </c>
      <c r="G623" s="220" t="s">
        <v>336</v>
      </c>
      <c r="H623" s="221">
        <v>13660</v>
      </c>
      <c r="I623" s="221">
        <v>33740</v>
      </c>
      <c r="J623" s="221">
        <v>20080</v>
      </c>
    </row>
    <row r="624" spans="1:10" x14ac:dyDescent="0.3">
      <c r="A624" s="217">
        <v>620</v>
      </c>
      <c r="B624" s="217" t="s">
        <v>2672</v>
      </c>
      <c r="C624" s="218">
        <v>46202</v>
      </c>
      <c r="D624" s="219" t="s">
        <v>2673</v>
      </c>
      <c r="E624" s="218">
        <v>46202</v>
      </c>
      <c r="F624" s="219" t="s">
        <v>2674</v>
      </c>
      <c r="G624" s="220" t="s">
        <v>80</v>
      </c>
      <c r="H624" s="221">
        <v>14130</v>
      </c>
      <c r="I624" s="221">
        <v>33310</v>
      </c>
      <c r="J624" s="221">
        <v>19180</v>
      </c>
    </row>
    <row r="625" spans="1:10" x14ac:dyDescent="0.3">
      <c r="A625" s="217">
        <v>621</v>
      </c>
      <c r="B625" s="217" t="s">
        <v>2675</v>
      </c>
      <c r="C625" s="218">
        <v>46202</v>
      </c>
      <c r="D625" s="219" t="s">
        <v>2676</v>
      </c>
      <c r="E625" s="218">
        <v>46202</v>
      </c>
      <c r="F625" s="219" t="s">
        <v>2677</v>
      </c>
      <c r="G625" s="220" t="s">
        <v>64</v>
      </c>
      <c r="H625" s="221">
        <v>13790</v>
      </c>
      <c r="I625" s="221">
        <v>33030</v>
      </c>
      <c r="J625" s="221">
        <v>19240</v>
      </c>
    </row>
    <row r="626" spans="1:10" x14ac:dyDescent="0.3">
      <c r="A626" s="217">
        <v>622</v>
      </c>
      <c r="B626" s="217" t="s">
        <v>2678</v>
      </c>
      <c r="C626" s="218">
        <v>46202</v>
      </c>
      <c r="D626" s="219" t="s">
        <v>2679</v>
      </c>
      <c r="E626" s="218">
        <v>46202</v>
      </c>
      <c r="F626" s="219" t="s">
        <v>2680</v>
      </c>
      <c r="G626" s="220" t="s">
        <v>90</v>
      </c>
      <c r="H626" s="221">
        <v>13870</v>
      </c>
      <c r="I626" s="221">
        <v>33880</v>
      </c>
      <c r="J626" s="221">
        <v>20010</v>
      </c>
    </row>
    <row r="627" spans="1:10" x14ac:dyDescent="0.3">
      <c r="A627" s="217">
        <v>623</v>
      </c>
      <c r="B627" s="217" t="s">
        <v>2681</v>
      </c>
      <c r="C627" s="218">
        <v>46202</v>
      </c>
      <c r="D627" s="219" t="s">
        <v>2682</v>
      </c>
      <c r="E627" s="218">
        <v>46202</v>
      </c>
      <c r="F627" s="219" t="s">
        <v>2683</v>
      </c>
      <c r="G627" s="220" t="s">
        <v>843</v>
      </c>
      <c r="H627" s="221">
        <v>13980</v>
      </c>
      <c r="I627" s="221">
        <v>32670</v>
      </c>
      <c r="J627" s="221">
        <v>18690</v>
      </c>
    </row>
    <row r="628" spans="1:10" x14ac:dyDescent="0.3">
      <c r="A628" s="217">
        <v>624</v>
      </c>
      <c r="B628" s="217" t="s">
        <v>2684</v>
      </c>
      <c r="C628" s="218">
        <v>46202</v>
      </c>
      <c r="D628" s="219" t="s">
        <v>2685</v>
      </c>
      <c r="E628" s="218">
        <v>46202</v>
      </c>
      <c r="F628" s="219" t="s">
        <v>2686</v>
      </c>
      <c r="G628" s="220" t="s">
        <v>335</v>
      </c>
      <c r="H628" s="221">
        <v>13690</v>
      </c>
      <c r="I628" s="221">
        <v>31670</v>
      </c>
      <c r="J628" s="221">
        <v>17980</v>
      </c>
    </row>
    <row r="629" spans="1:10" x14ac:dyDescent="0.3">
      <c r="A629" s="217">
        <v>625</v>
      </c>
      <c r="B629" s="217" t="s">
        <v>2687</v>
      </c>
      <c r="C629" s="218">
        <v>46202</v>
      </c>
      <c r="D629" s="219" t="s">
        <v>2688</v>
      </c>
      <c r="E629" s="218">
        <v>46202</v>
      </c>
      <c r="F629" s="219" t="s">
        <v>2689</v>
      </c>
      <c r="G629" s="220" t="s">
        <v>55</v>
      </c>
      <c r="H629" s="221">
        <v>13690</v>
      </c>
      <c r="I629" s="221">
        <v>32460</v>
      </c>
      <c r="J629" s="221">
        <v>18770</v>
      </c>
    </row>
    <row r="630" spans="1:10" x14ac:dyDescent="0.3">
      <c r="A630" s="217">
        <v>626</v>
      </c>
      <c r="B630" s="217" t="s">
        <v>2690</v>
      </c>
      <c r="C630" s="218">
        <v>46202</v>
      </c>
      <c r="D630" s="219" t="s">
        <v>2691</v>
      </c>
      <c r="E630" s="218">
        <v>46202</v>
      </c>
      <c r="F630" s="219" t="s">
        <v>2692</v>
      </c>
      <c r="G630" s="220" t="s">
        <v>337</v>
      </c>
      <c r="H630" s="221">
        <v>13690</v>
      </c>
      <c r="I630" s="221">
        <v>34990</v>
      </c>
      <c r="J630" s="221">
        <v>21300</v>
      </c>
    </row>
    <row r="631" spans="1:10" x14ac:dyDescent="0.3">
      <c r="A631" s="217">
        <v>627</v>
      </c>
      <c r="B631" s="217" t="s">
        <v>2693</v>
      </c>
      <c r="C631" s="218">
        <v>46202</v>
      </c>
      <c r="D631" s="219" t="s">
        <v>871</v>
      </c>
      <c r="E631" s="218">
        <v>46202</v>
      </c>
      <c r="F631" s="219" t="s">
        <v>2694</v>
      </c>
      <c r="G631" s="220" t="s">
        <v>143</v>
      </c>
      <c r="H631" s="221">
        <v>13720</v>
      </c>
      <c r="I631" s="221">
        <v>33530</v>
      </c>
      <c r="J631" s="221">
        <v>19810</v>
      </c>
    </row>
    <row r="632" spans="1:10" x14ac:dyDescent="0.3">
      <c r="A632" s="217">
        <v>628</v>
      </c>
      <c r="B632" s="217" t="s">
        <v>2695</v>
      </c>
      <c r="C632" s="218">
        <v>46202</v>
      </c>
      <c r="D632" s="219" t="s">
        <v>874</v>
      </c>
      <c r="E632" s="218">
        <v>46202</v>
      </c>
      <c r="F632" s="219" t="s">
        <v>2696</v>
      </c>
      <c r="G632" s="220" t="s">
        <v>85</v>
      </c>
      <c r="H632" s="221">
        <v>13770</v>
      </c>
      <c r="I632" s="221">
        <v>33210</v>
      </c>
      <c r="J632" s="221">
        <v>19440</v>
      </c>
    </row>
    <row r="633" spans="1:10" x14ac:dyDescent="0.3">
      <c r="A633" s="217">
        <v>629</v>
      </c>
      <c r="B633" s="217" t="s">
        <v>2697</v>
      </c>
      <c r="C633" s="218">
        <v>46202</v>
      </c>
      <c r="D633" s="219" t="s">
        <v>2698</v>
      </c>
      <c r="E633" s="218">
        <v>46202</v>
      </c>
      <c r="F633" s="219" t="s">
        <v>2699</v>
      </c>
      <c r="G633" s="220" t="s">
        <v>845</v>
      </c>
      <c r="H633" s="221">
        <v>13870</v>
      </c>
      <c r="I633" s="221">
        <v>33990</v>
      </c>
      <c r="J633" s="221">
        <v>20120</v>
      </c>
    </row>
    <row r="634" spans="1:10" x14ac:dyDescent="0.3">
      <c r="A634" s="217">
        <v>630</v>
      </c>
      <c r="B634" s="217" t="s">
        <v>2700</v>
      </c>
      <c r="C634" s="218">
        <v>46202</v>
      </c>
      <c r="D634" s="219" t="s">
        <v>2701</v>
      </c>
      <c r="E634" s="218">
        <v>46202</v>
      </c>
      <c r="F634" s="219" t="s">
        <v>2702</v>
      </c>
      <c r="G634" s="220" t="s">
        <v>840</v>
      </c>
      <c r="H634" s="221">
        <v>14010</v>
      </c>
      <c r="I634" s="221">
        <v>34430</v>
      </c>
      <c r="J634" s="221">
        <v>20420</v>
      </c>
    </row>
    <row r="635" spans="1:10" x14ac:dyDescent="0.3">
      <c r="A635" s="217">
        <v>631</v>
      </c>
      <c r="B635" s="217" t="s">
        <v>2703</v>
      </c>
      <c r="C635" s="218">
        <v>46202</v>
      </c>
      <c r="D635" s="219" t="s">
        <v>2704</v>
      </c>
      <c r="E635" s="218">
        <v>46202</v>
      </c>
      <c r="F635" s="219" t="s">
        <v>2705</v>
      </c>
      <c r="G635" s="220" t="s">
        <v>71</v>
      </c>
      <c r="H635" s="221">
        <v>13980</v>
      </c>
      <c r="I635" s="221">
        <v>33970</v>
      </c>
      <c r="J635" s="221">
        <v>19990</v>
      </c>
    </row>
    <row r="636" spans="1:10" x14ac:dyDescent="0.3">
      <c r="A636" s="217">
        <v>632</v>
      </c>
      <c r="B636" s="217" t="s">
        <v>2706</v>
      </c>
      <c r="C636" s="218">
        <v>46202</v>
      </c>
      <c r="D636" s="219" t="s">
        <v>2707</v>
      </c>
      <c r="E636" s="218">
        <v>46202</v>
      </c>
      <c r="F636" s="219" t="s">
        <v>2708</v>
      </c>
      <c r="G636" s="220" t="s">
        <v>43</v>
      </c>
      <c r="H636" s="221">
        <v>13910</v>
      </c>
      <c r="I636" s="221">
        <v>30830</v>
      </c>
      <c r="J636" s="221">
        <v>16920</v>
      </c>
    </row>
    <row r="637" spans="1:10" x14ac:dyDescent="0.3">
      <c r="A637" s="217">
        <v>633</v>
      </c>
      <c r="B637" s="217" t="s">
        <v>2709</v>
      </c>
      <c r="C637" s="218">
        <v>46202</v>
      </c>
      <c r="D637" s="219" t="s">
        <v>2710</v>
      </c>
      <c r="E637" s="218">
        <v>46202</v>
      </c>
      <c r="F637" s="219" t="s">
        <v>2711</v>
      </c>
      <c r="G637" s="220" t="s">
        <v>537</v>
      </c>
      <c r="H637" s="221">
        <v>13780</v>
      </c>
      <c r="I637" s="221">
        <v>33650</v>
      </c>
      <c r="J637" s="221">
        <v>19870</v>
      </c>
    </row>
    <row r="638" spans="1:10" x14ac:dyDescent="0.3">
      <c r="A638" s="217">
        <v>634</v>
      </c>
      <c r="B638" s="217" t="s">
        <v>2712</v>
      </c>
      <c r="C638" s="218">
        <v>46202</v>
      </c>
      <c r="D638" s="219" t="s">
        <v>2713</v>
      </c>
      <c r="E638" s="218">
        <v>46202</v>
      </c>
      <c r="F638" s="219" t="s">
        <v>2714</v>
      </c>
      <c r="G638" s="220" t="s">
        <v>336</v>
      </c>
      <c r="H638" s="221">
        <v>13640</v>
      </c>
      <c r="I638" s="221">
        <v>32040</v>
      </c>
      <c r="J638" s="221">
        <v>18400</v>
      </c>
    </row>
    <row r="639" spans="1:10" x14ac:dyDescent="0.3">
      <c r="A639" s="217">
        <v>635</v>
      </c>
      <c r="B639" s="217" t="s">
        <v>2715</v>
      </c>
      <c r="C639" s="218">
        <v>46202</v>
      </c>
      <c r="D639" s="219" t="s">
        <v>2716</v>
      </c>
      <c r="E639" s="218">
        <v>46202</v>
      </c>
      <c r="F639" s="219" t="s">
        <v>2717</v>
      </c>
      <c r="G639" s="220" t="s">
        <v>80</v>
      </c>
      <c r="H639" s="221">
        <v>14100</v>
      </c>
      <c r="I639" s="221">
        <v>32820</v>
      </c>
      <c r="J639" s="221">
        <v>18720</v>
      </c>
    </row>
    <row r="640" spans="1:10" x14ac:dyDescent="0.3">
      <c r="A640" s="217">
        <v>636</v>
      </c>
      <c r="B640" s="217" t="s">
        <v>2718</v>
      </c>
      <c r="C640" s="218">
        <v>46202</v>
      </c>
      <c r="D640" s="219" t="s">
        <v>2719</v>
      </c>
      <c r="E640" s="218">
        <v>46202</v>
      </c>
      <c r="F640" s="219" t="s">
        <v>2720</v>
      </c>
      <c r="G640" s="220" t="s">
        <v>64</v>
      </c>
      <c r="H640" s="221">
        <v>13770</v>
      </c>
      <c r="I640" s="221">
        <v>32730</v>
      </c>
      <c r="J640" s="221">
        <v>18960</v>
      </c>
    </row>
    <row r="641" spans="1:10" x14ac:dyDescent="0.3">
      <c r="A641" s="217">
        <v>637</v>
      </c>
      <c r="B641" s="217" t="s">
        <v>2721</v>
      </c>
      <c r="C641" s="218">
        <v>46202</v>
      </c>
      <c r="D641" s="219" t="s">
        <v>2722</v>
      </c>
      <c r="E641" s="218">
        <v>46202</v>
      </c>
      <c r="F641" s="219" t="s">
        <v>1199</v>
      </c>
      <c r="G641" s="220" t="s">
        <v>335</v>
      </c>
      <c r="H641" s="221">
        <v>13670</v>
      </c>
      <c r="I641" s="221">
        <v>32560</v>
      </c>
      <c r="J641" s="221">
        <v>18890</v>
      </c>
    </row>
    <row r="642" spans="1:10" x14ac:dyDescent="0.3">
      <c r="A642" s="217">
        <v>638</v>
      </c>
      <c r="B642" s="217" t="s">
        <v>2723</v>
      </c>
      <c r="C642" s="218">
        <v>46202</v>
      </c>
      <c r="D642" s="219" t="s">
        <v>2724</v>
      </c>
      <c r="E642" s="218">
        <v>46202</v>
      </c>
      <c r="F642" s="219" t="s">
        <v>2725</v>
      </c>
      <c r="G642" s="220" t="s">
        <v>90</v>
      </c>
      <c r="H642" s="221">
        <v>13820</v>
      </c>
      <c r="I642" s="221">
        <v>32660</v>
      </c>
      <c r="J642" s="221">
        <v>18840</v>
      </c>
    </row>
    <row r="643" spans="1:10" x14ac:dyDescent="0.3">
      <c r="A643" s="217">
        <v>639</v>
      </c>
      <c r="B643" s="217" t="s">
        <v>2726</v>
      </c>
      <c r="C643" s="218">
        <v>46202</v>
      </c>
      <c r="D643" s="219" t="s">
        <v>2727</v>
      </c>
      <c r="E643" s="218">
        <v>46202</v>
      </c>
      <c r="F643" s="219" t="s">
        <v>2728</v>
      </c>
      <c r="G643" s="220" t="s">
        <v>843</v>
      </c>
      <c r="H643" s="221">
        <v>13950</v>
      </c>
      <c r="I643" s="221">
        <v>31740</v>
      </c>
      <c r="J643" s="221">
        <v>17790</v>
      </c>
    </row>
    <row r="644" spans="1:10" x14ac:dyDescent="0.3">
      <c r="A644" s="217">
        <v>640</v>
      </c>
      <c r="B644" s="217" t="s">
        <v>2729</v>
      </c>
      <c r="C644" s="218">
        <v>46202</v>
      </c>
      <c r="D644" s="219" t="s">
        <v>2730</v>
      </c>
      <c r="E644" s="218">
        <v>46202</v>
      </c>
      <c r="F644" s="219" t="s">
        <v>2731</v>
      </c>
      <c r="G644" s="220" t="s">
        <v>337</v>
      </c>
      <c r="H644" s="221">
        <v>13670</v>
      </c>
      <c r="I644" s="221">
        <v>31750</v>
      </c>
      <c r="J644" s="221">
        <v>18080</v>
      </c>
    </row>
    <row r="645" spans="1:10" x14ac:dyDescent="0.3">
      <c r="A645" s="217">
        <v>641</v>
      </c>
      <c r="B645" s="217" t="s">
        <v>2732</v>
      </c>
      <c r="C645" s="218">
        <v>46202</v>
      </c>
      <c r="D645" s="219" t="s">
        <v>2733</v>
      </c>
      <c r="E645" s="218">
        <v>46202</v>
      </c>
      <c r="F645" s="219" t="s">
        <v>2734</v>
      </c>
      <c r="G645" s="220" t="s">
        <v>143</v>
      </c>
      <c r="H645" s="221">
        <v>13720</v>
      </c>
      <c r="I645" s="221">
        <v>32840</v>
      </c>
      <c r="J645" s="221">
        <v>19120</v>
      </c>
    </row>
    <row r="646" spans="1:10" x14ac:dyDescent="0.3">
      <c r="A646" s="217">
        <v>642</v>
      </c>
      <c r="B646" s="217" t="s">
        <v>2735</v>
      </c>
      <c r="C646" s="218">
        <v>46202</v>
      </c>
      <c r="D646" s="219" t="s">
        <v>2736</v>
      </c>
      <c r="E646" s="218">
        <v>46202</v>
      </c>
      <c r="F646" s="219" t="s">
        <v>2737</v>
      </c>
      <c r="G646" s="220" t="s">
        <v>845</v>
      </c>
      <c r="H646" s="221">
        <v>13830</v>
      </c>
      <c r="I646" s="221">
        <v>31720</v>
      </c>
      <c r="J646" s="221">
        <v>17890</v>
      </c>
    </row>
    <row r="647" spans="1:10" x14ac:dyDescent="0.3">
      <c r="A647" s="217">
        <v>643</v>
      </c>
      <c r="B647" s="217" t="s">
        <v>2738</v>
      </c>
      <c r="C647" s="218">
        <v>46202</v>
      </c>
      <c r="D647" s="219" t="s">
        <v>2739</v>
      </c>
      <c r="E647" s="218">
        <v>46202</v>
      </c>
      <c r="F647" s="219" t="s">
        <v>2740</v>
      </c>
      <c r="G647" s="220" t="s">
        <v>840</v>
      </c>
      <c r="H647" s="221">
        <v>13970</v>
      </c>
      <c r="I647" s="221">
        <v>33160</v>
      </c>
      <c r="J647" s="221">
        <v>19190</v>
      </c>
    </row>
    <row r="648" spans="1:10" x14ac:dyDescent="0.3">
      <c r="A648" s="217">
        <v>644</v>
      </c>
      <c r="B648" s="217" t="s">
        <v>2741</v>
      </c>
      <c r="C648" s="218">
        <v>46202</v>
      </c>
      <c r="D648" s="219" t="s">
        <v>2742</v>
      </c>
      <c r="E648" s="218">
        <v>46202</v>
      </c>
      <c r="F648" s="219" t="s">
        <v>2743</v>
      </c>
      <c r="G648" s="220" t="s">
        <v>85</v>
      </c>
      <c r="H648" s="221">
        <v>13770</v>
      </c>
      <c r="I648" s="221">
        <v>31350</v>
      </c>
      <c r="J648" s="221">
        <v>17580</v>
      </c>
    </row>
    <row r="649" spans="1:10" x14ac:dyDescent="0.3">
      <c r="A649" s="217">
        <v>645</v>
      </c>
      <c r="B649" s="217" t="s">
        <v>2744</v>
      </c>
      <c r="C649" s="218">
        <v>46202</v>
      </c>
      <c r="D649" s="219" t="s">
        <v>2745</v>
      </c>
      <c r="E649" s="218">
        <v>46202</v>
      </c>
      <c r="F649" s="219" t="s">
        <v>2746</v>
      </c>
      <c r="G649" s="220" t="s">
        <v>537</v>
      </c>
      <c r="H649" s="221">
        <v>13690</v>
      </c>
      <c r="I649" s="221">
        <v>33990</v>
      </c>
      <c r="J649" s="221">
        <v>20300</v>
      </c>
    </row>
    <row r="650" spans="1:10" x14ac:dyDescent="0.3">
      <c r="A650" s="217">
        <v>646</v>
      </c>
      <c r="B650" s="217" t="s">
        <v>2747</v>
      </c>
      <c r="C650" s="218">
        <v>46202</v>
      </c>
      <c r="D650" s="219" t="s">
        <v>2748</v>
      </c>
      <c r="E650" s="218">
        <v>46202</v>
      </c>
      <c r="F650" s="219" t="s">
        <v>2749</v>
      </c>
      <c r="G650" s="220" t="s">
        <v>43</v>
      </c>
      <c r="H650" s="221">
        <v>13860</v>
      </c>
      <c r="I650" s="221">
        <v>33600</v>
      </c>
      <c r="J650" s="221">
        <v>19740</v>
      </c>
    </row>
    <row r="651" spans="1:10" x14ac:dyDescent="0.3">
      <c r="A651" s="217">
        <v>647</v>
      </c>
      <c r="B651" s="217" t="s">
        <v>2750</v>
      </c>
      <c r="C651" s="218">
        <v>46202</v>
      </c>
      <c r="D651" s="219" t="s">
        <v>2751</v>
      </c>
      <c r="E651" s="218">
        <v>46202</v>
      </c>
      <c r="F651" s="219" t="s">
        <v>2752</v>
      </c>
      <c r="G651" s="220" t="s">
        <v>71</v>
      </c>
      <c r="H651" s="221">
        <v>13950</v>
      </c>
      <c r="I651" s="221">
        <v>32650</v>
      </c>
      <c r="J651" s="221">
        <v>18700</v>
      </c>
    </row>
    <row r="652" spans="1:10" x14ac:dyDescent="0.3">
      <c r="A652" s="217">
        <v>648</v>
      </c>
      <c r="B652" s="217" t="s">
        <v>2753</v>
      </c>
      <c r="C652" s="218">
        <v>46202</v>
      </c>
      <c r="D652" s="219" t="s">
        <v>2754</v>
      </c>
      <c r="E652" s="218">
        <v>46202</v>
      </c>
      <c r="F652" s="219" t="s">
        <v>2755</v>
      </c>
      <c r="G652" s="220" t="s">
        <v>80</v>
      </c>
      <c r="H652" s="221">
        <v>14070</v>
      </c>
      <c r="I652" s="221">
        <v>32990</v>
      </c>
      <c r="J652" s="221">
        <v>18920</v>
      </c>
    </row>
    <row r="653" spans="1:10" x14ac:dyDescent="0.3">
      <c r="A653" s="217">
        <v>649</v>
      </c>
      <c r="B653" s="217" t="s">
        <v>2756</v>
      </c>
      <c r="C653" s="218">
        <v>46202</v>
      </c>
      <c r="D653" s="219" t="s">
        <v>2757</v>
      </c>
      <c r="E653" s="218">
        <v>46202</v>
      </c>
      <c r="F653" s="219" t="s">
        <v>2758</v>
      </c>
      <c r="G653" s="220" t="s">
        <v>64</v>
      </c>
      <c r="H653" s="221">
        <v>13740</v>
      </c>
      <c r="I653" s="221">
        <v>34570</v>
      </c>
      <c r="J653" s="221">
        <v>20830</v>
      </c>
    </row>
    <row r="654" spans="1:10" x14ac:dyDescent="0.3">
      <c r="A654" s="217">
        <v>650</v>
      </c>
      <c r="B654" s="217" t="s">
        <v>2759</v>
      </c>
      <c r="C654" s="218">
        <v>46202</v>
      </c>
      <c r="D654" s="219" t="s">
        <v>2760</v>
      </c>
      <c r="E654" s="218">
        <v>46202</v>
      </c>
      <c r="F654" s="219" t="s">
        <v>2761</v>
      </c>
      <c r="G654" s="220" t="s">
        <v>335</v>
      </c>
      <c r="H654" s="221">
        <v>13960</v>
      </c>
      <c r="I654" s="221">
        <v>32700</v>
      </c>
      <c r="J654" s="221">
        <v>18740</v>
      </c>
    </row>
    <row r="655" spans="1:10" x14ac:dyDescent="0.3">
      <c r="A655" s="217">
        <v>651</v>
      </c>
      <c r="B655" s="217" t="s">
        <v>2762</v>
      </c>
      <c r="C655" s="218">
        <v>46202</v>
      </c>
      <c r="D655" s="219" t="s">
        <v>2763</v>
      </c>
      <c r="E655" s="218">
        <v>46202</v>
      </c>
      <c r="F655" s="219" t="s">
        <v>2764</v>
      </c>
      <c r="G655" s="220" t="s">
        <v>843</v>
      </c>
      <c r="H655" s="221">
        <v>13930</v>
      </c>
      <c r="I655" s="221">
        <v>32860</v>
      </c>
      <c r="J655" s="221">
        <v>18930</v>
      </c>
    </row>
    <row r="656" spans="1:10" x14ac:dyDescent="0.3">
      <c r="A656" s="217">
        <v>652</v>
      </c>
      <c r="B656" s="217" t="s">
        <v>2765</v>
      </c>
      <c r="C656" s="218">
        <v>46202</v>
      </c>
      <c r="D656" s="219" t="s">
        <v>2766</v>
      </c>
      <c r="E656" s="218">
        <v>46202</v>
      </c>
      <c r="F656" s="219" t="s">
        <v>2767</v>
      </c>
      <c r="G656" s="220" t="s">
        <v>90</v>
      </c>
      <c r="H656" s="221">
        <v>13840</v>
      </c>
      <c r="I656" s="221">
        <v>33710</v>
      </c>
      <c r="J656" s="221">
        <v>19870</v>
      </c>
    </row>
    <row r="657" spans="1:10" x14ac:dyDescent="0.3">
      <c r="A657" s="217">
        <v>653</v>
      </c>
      <c r="B657" s="217" t="s">
        <v>2768</v>
      </c>
      <c r="C657" s="218">
        <v>46202</v>
      </c>
      <c r="D657" s="219" t="s">
        <v>2769</v>
      </c>
      <c r="E657" s="218">
        <v>46202</v>
      </c>
      <c r="F657" s="219" t="s">
        <v>2770</v>
      </c>
      <c r="G657" s="220" t="s">
        <v>337</v>
      </c>
      <c r="H657" s="221">
        <v>13660</v>
      </c>
      <c r="I657" s="221">
        <v>32550</v>
      </c>
      <c r="J657" s="221">
        <v>18890</v>
      </c>
    </row>
    <row r="658" spans="1:10" x14ac:dyDescent="0.3">
      <c r="A658" s="217">
        <v>654</v>
      </c>
      <c r="B658" s="217" t="s">
        <v>2771</v>
      </c>
      <c r="C658" s="218">
        <v>46202</v>
      </c>
      <c r="D658" s="219" t="s">
        <v>2772</v>
      </c>
      <c r="E658" s="218">
        <v>46202</v>
      </c>
      <c r="F658" s="219" t="s">
        <v>2773</v>
      </c>
      <c r="G658" s="220" t="s">
        <v>143</v>
      </c>
      <c r="H658" s="221">
        <v>13680</v>
      </c>
      <c r="I658" s="221">
        <v>33660</v>
      </c>
      <c r="J658" s="221">
        <v>19980</v>
      </c>
    </row>
    <row r="659" spans="1:10" x14ac:dyDescent="0.3">
      <c r="A659" s="217">
        <v>655</v>
      </c>
      <c r="B659" s="217" t="s">
        <v>2774</v>
      </c>
      <c r="C659" s="218">
        <v>46202</v>
      </c>
      <c r="D659" s="219" t="s">
        <v>2775</v>
      </c>
      <c r="E659" s="218">
        <v>46202</v>
      </c>
      <c r="F659" s="219" t="s">
        <v>2776</v>
      </c>
      <c r="G659" s="220" t="s">
        <v>845</v>
      </c>
      <c r="H659" s="221">
        <v>13800</v>
      </c>
      <c r="I659" s="221">
        <v>33600</v>
      </c>
      <c r="J659" s="221">
        <v>19800</v>
      </c>
    </row>
    <row r="660" spans="1:10" x14ac:dyDescent="0.3">
      <c r="A660" s="217">
        <v>656</v>
      </c>
      <c r="B660" s="217" t="s">
        <v>2777</v>
      </c>
      <c r="C660" s="218">
        <v>46202</v>
      </c>
      <c r="D660" s="219" t="s">
        <v>2778</v>
      </c>
      <c r="E660" s="218">
        <v>46202</v>
      </c>
      <c r="F660" s="219" t="s">
        <v>2779</v>
      </c>
      <c r="G660" s="220" t="s">
        <v>840</v>
      </c>
      <c r="H660" s="221">
        <v>13940</v>
      </c>
      <c r="I660" s="221">
        <v>33230</v>
      </c>
      <c r="J660" s="221">
        <v>19290</v>
      </c>
    </row>
    <row r="661" spans="1:10" x14ac:dyDescent="0.3">
      <c r="A661" s="217">
        <v>657</v>
      </c>
      <c r="B661" s="217" t="s">
        <v>2780</v>
      </c>
      <c r="C661" s="218">
        <v>46202</v>
      </c>
      <c r="D661" s="219" t="s">
        <v>2781</v>
      </c>
      <c r="E661" s="218">
        <v>46202</v>
      </c>
      <c r="F661" s="219" t="s">
        <v>2782</v>
      </c>
      <c r="G661" s="220" t="s">
        <v>85</v>
      </c>
      <c r="H661" s="221">
        <v>13740</v>
      </c>
      <c r="I661" s="221">
        <v>32630</v>
      </c>
      <c r="J661" s="221">
        <v>18890</v>
      </c>
    </row>
    <row r="662" spans="1:10" x14ac:dyDescent="0.3">
      <c r="A662" s="217">
        <v>658</v>
      </c>
      <c r="B662" s="217" t="s">
        <v>2783</v>
      </c>
      <c r="C662" s="218">
        <v>46202</v>
      </c>
      <c r="D662" s="219" t="s">
        <v>2784</v>
      </c>
      <c r="E662" s="218">
        <v>46202</v>
      </c>
      <c r="F662" s="219" t="s">
        <v>2785</v>
      </c>
      <c r="G662" s="220" t="s">
        <v>537</v>
      </c>
      <c r="H662" s="221">
        <v>14030</v>
      </c>
      <c r="I662" s="221">
        <v>33000</v>
      </c>
      <c r="J662" s="221">
        <v>18970</v>
      </c>
    </row>
    <row r="663" spans="1:10" x14ac:dyDescent="0.3">
      <c r="A663" s="217">
        <v>659</v>
      </c>
      <c r="B663" s="217" t="s">
        <v>2786</v>
      </c>
      <c r="C663" s="218">
        <v>46202</v>
      </c>
      <c r="D663" s="219" t="s">
        <v>2787</v>
      </c>
      <c r="E663" s="218">
        <v>46202</v>
      </c>
      <c r="F663" s="219" t="s">
        <v>2788</v>
      </c>
      <c r="G663" s="220" t="s">
        <v>43</v>
      </c>
      <c r="H663" s="221">
        <v>13840</v>
      </c>
      <c r="I663" s="221">
        <v>32190</v>
      </c>
      <c r="J663" s="221">
        <v>18350</v>
      </c>
    </row>
    <row r="664" spans="1:10" x14ac:dyDescent="0.3">
      <c r="A664" s="217">
        <v>660</v>
      </c>
      <c r="B664" s="217" t="s">
        <v>2789</v>
      </c>
      <c r="C664" s="218">
        <v>46202</v>
      </c>
      <c r="D664" s="219" t="s">
        <v>2790</v>
      </c>
      <c r="E664" s="218">
        <v>46202</v>
      </c>
      <c r="F664" s="219" t="s">
        <v>2791</v>
      </c>
      <c r="G664" s="220" t="s">
        <v>80</v>
      </c>
      <c r="H664" s="221">
        <v>14050</v>
      </c>
      <c r="I664" s="221">
        <v>34950</v>
      </c>
      <c r="J664" s="221">
        <v>20900</v>
      </c>
    </row>
    <row r="665" spans="1:10" x14ac:dyDescent="0.3">
      <c r="A665" s="217">
        <v>661</v>
      </c>
      <c r="B665" s="217" t="s">
        <v>2792</v>
      </c>
      <c r="C665" s="218">
        <v>46202</v>
      </c>
      <c r="D665" s="219" t="s">
        <v>2793</v>
      </c>
      <c r="E665" s="218">
        <v>46202</v>
      </c>
      <c r="F665" s="219" t="s">
        <v>2794</v>
      </c>
      <c r="G665" s="220" t="s">
        <v>71</v>
      </c>
      <c r="H665" s="221">
        <v>13920</v>
      </c>
      <c r="I665" s="221">
        <v>32230</v>
      </c>
      <c r="J665" s="221">
        <v>18310</v>
      </c>
    </row>
    <row r="666" spans="1:10" x14ac:dyDescent="0.3">
      <c r="A666" s="217">
        <v>662</v>
      </c>
      <c r="B666" s="217" t="s">
        <v>2795</v>
      </c>
      <c r="C666" s="218">
        <v>46202</v>
      </c>
      <c r="D666" s="219" t="s">
        <v>2796</v>
      </c>
      <c r="E666" s="218">
        <v>46202</v>
      </c>
      <c r="F666" s="219" t="s">
        <v>2797</v>
      </c>
      <c r="G666" s="220" t="s">
        <v>64</v>
      </c>
      <c r="H666" s="221">
        <v>13720</v>
      </c>
      <c r="I666" s="221">
        <v>30890</v>
      </c>
      <c r="J666" s="221">
        <v>17170</v>
      </c>
    </row>
    <row r="667" spans="1:10" x14ac:dyDescent="0.3">
      <c r="A667" s="217">
        <v>663</v>
      </c>
      <c r="B667" s="217" t="s">
        <v>2798</v>
      </c>
      <c r="C667" s="218">
        <v>46202</v>
      </c>
      <c r="D667" s="219" t="s">
        <v>2799</v>
      </c>
      <c r="E667" s="218">
        <v>46202</v>
      </c>
      <c r="F667" s="219" t="s">
        <v>2800</v>
      </c>
      <c r="G667" s="220" t="s">
        <v>335</v>
      </c>
      <c r="H667" s="221">
        <v>13950</v>
      </c>
      <c r="I667" s="221">
        <v>30590</v>
      </c>
      <c r="J667" s="221">
        <v>16640</v>
      </c>
    </row>
    <row r="668" spans="1:10" x14ac:dyDescent="0.3">
      <c r="A668" s="217">
        <v>664</v>
      </c>
      <c r="B668" s="217" t="s">
        <v>2801</v>
      </c>
      <c r="C668" s="218">
        <v>46202</v>
      </c>
      <c r="D668" s="219" t="s">
        <v>2802</v>
      </c>
      <c r="E668" s="218">
        <v>46202</v>
      </c>
      <c r="F668" s="219" t="s">
        <v>2803</v>
      </c>
      <c r="G668" s="220" t="s">
        <v>843</v>
      </c>
      <c r="H668" s="221">
        <v>13900</v>
      </c>
      <c r="I668" s="221">
        <v>31000</v>
      </c>
      <c r="J668" s="221">
        <v>17100</v>
      </c>
    </row>
    <row r="669" spans="1:10" x14ac:dyDescent="0.3">
      <c r="A669" s="217">
        <v>665</v>
      </c>
      <c r="B669" s="217" t="s">
        <v>2804</v>
      </c>
      <c r="C669" s="218">
        <v>46202</v>
      </c>
      <c r="D669" s="219" t="s">
        <v>2805</v>
      </c>
      <c r="E669" s="218">
        <v>46202</v>
      </c>
      <c r="F669" s="219" t="s">
        <v>2806</v>
      </c>
      <c r="G669" s="220" t="s">
        <v>143</v>
      </c>
      <c r="H669" s="221">
        <v>13670</v>
      </c>
      <c r="I669" s="221">
        <v>32410</v>
      </c>
      <c r="J669" s="221">
        <v>18740</v>
      </c>
    </row>
    <row r="670" spans="1:10" x14ac:dyDescent="0.3">
      <c r="A670" s="217">
        <v>666</v>
      </c>
      <c r="B670" s="217" t="s">
        <v>2807</v>
      </c>
      <c r="C670" s="218">
        <v>46202</v>
      </c>
      <c r="D670" s="219" t="s">
        <v>2808</v>
      </c>
      <c r="E670" s="218">
        <v>46202</v>
      </c>
      <c r="F670" s="219" t="s">
        <v>2809</v>
      </c>
      <c r="G670" s="220" t="s">
        <v>845</v>
      </c>
      <c r="H670" s="221">
        <v>13770</v>
      </c>
      <c r="I670" s="221">
        <v>30290</v>
      </c>
      <c r="J670" s="221">
        <v>16520</v>
      </c>
    </row>
    <row r="671" spans="1:10" x14ac:dyDescent="0.3">
      <c r="A671" s="217">
        <v>667</v>
      </c>
      <c r="B671" s="217" t="s">
        <v>2810</v>
      </c>
      <c r="C671" s="218">
        <v>46202</v>
      </c>
      <c r="D671" s="219" t="s">
        <v>2811</v>
      </c>
      <c r="E671" s="218">
        <v>46202</v>
      </c>
      <c r="F671" s="219" t="s">
        <v>2812</v>
      </c>
      <c r="G671" s="220" t="s">
        <v>337</v>
      </c>
      <c r="H671" s="221">
        <v>14040</v>
      </c>
      <c r="I671" s="221">
        <v>34630</v>
      </c>
      <c r="J671" s="221">
        <v>20590</v>
      </c>
    </row>
    <row r="672" spans="1:10" x14ac:dyDescent="0.3">
      <c r="A672" s="217">
        <v>668</v>
      </c>
      <c r="B672" s="217" t="s">
        <v>2813</v>
      </c>
      <c r="C672" s="218">
        <v>46202</v>
      </c>
      <c r="D672" s="219" t="s">
        <v>2814</v>
      </c>
      <c r="E672" s="218">
        <v>46202</v>
      </c>
      <c r="F672" s="219" t="s">
        <v>2815</v>
      </c>
      <c r="G672" s="220" t="s">
        <v>90</v>
      </c>
      <c r="H672" s="221">
        <v>14090</v>
      </c>
      <c r="I672" s="221">
        <v>32710</v>
      </c>
      <c r="J672" s="221">
        <v>18620</v>
      </c>
    </row>
    <row r="673" spans="1:10" x14ac:dyDescent="0.3">
      <c r="A673" s="217">
        <v>669</v>
      </c>
      <c r="B673" s="217" t="s">
        <v>2816</v>
      </c>
      <c r="C673" s="218">
        <v>46202</v>
      </c>
      <c r="D673" s="219" t="s">
        <v>2817</v>
      </c>
      <c r="E673" s="218">
        <v>46202</v>
      </c>
      <c r="F673" s="219" t="s">
        <v>2818</v>
      </c>
      <c r="G673" s="220" t="s">
        <v>85</v>
      </c>
      <c r="H673" s="221">
        <v>13730</v>
      </c>
      <c r="I673" s="221">
        <v>32030</v>
      </c>
      <c r="J673" s="221">
        <v>18300</v>
      </c>
    </row>
    <row r="674" spans="1:10" x14ac:dyDescent="0.3">
      <c r="A674" s="217">
        <v>670</v>
      </c>
      <c r="B674" s="217" t="s">
        <v>2819</v>
      </c>
      <c r="C674" s="218">
        <v>46202</v>
      </c>
      <c r="D674" s="219" t="s">
        <v>2820</v>
      </c>
      <c r="E674" s="218">
        <v>46202</v>
      </c>
      <c r="F674" s="219" t="s">
        <v>2821</v>
      </c>
      <c r="G674" s="220" t="s">
        <v>80</v>
      </c>
      <c r="H674" s="221">
        <v>14040</v>
      </c>
      <c r="I674" s="221">
        <v>33650</v>
      </c>
      <c r="J674" s="221">
        <v>19610</v>
      </c>
    </row>
    <row r="675" spans="1:10" x14ac:dyDescent="0.3">
      <c r="A675" s="217">
        <v>671</v>
      </c>
      <c r="B675" s="217" t="s">
        <v>2822</v>
      </c>
      <c r="C675" s="218">
        <v>46202</v>
      </c>
      <c r="D675" s="219" t="s">
        <v>2823</v>
      </c>
      <c r="E675" s="218">
        <v>46202</v>
      </c>
      <c r="F675" s="219" t="s">
        <v>2824</v>
      </c>
      <c r="G675" s="220" t="s">
        <v>335</v>
      </c>
      <c r="H675" s="221">
        <v>13970</v>
      </c>
      <c r="I675" s="221">
        <v>32240</v>
      </c>
      <c r="J675" s="221">
        <v>18270</v>
      </c>
    </row>
    <row r="676" spans="1:10" x14ac:dyDescent="0.3">
      <c r="A676" s="217">
        <v>672</v>
      </c>
      <c r="B676" s="217" t="s">
        <v>2825</v>
      </c>
      <c r="C676" s="218">
        <v>46202</v>
      </c>
      <c r="D676" s="219" t="s">
        <v>2826</v>
      </c>
      <c r="E676" s="218">
        <v>46202</v>
      </c>
      <c r="F676" s="219" t="s">
        <v>2827</v>
      </c>
      <c r="G676" s="220" t="s">
        <v>64</v>
      </c>
      <c r="H676" s="221">
        <v>14040</v>
      </c>
      <c r="I676" s="221">
        <v>32720</v>
      </c>
      <c r="J676" s="221">
        <v>18680</v>
      </c>
    </row>
    <row r="677" spans="1:10" x14ac:dyDescent="0.3">
      <c r="A677" s="217">
        <v>673</v>
      </c>
      <c r="B677" s="217" t="s">
        <v>2828</v>
      </c>
      <c r="C677" s="218">
        <v>46202</v>
      </c>
      <c r="D677" s="219" t="s">
        <v>2829</v>
      </c>
      <c r="E677" s="218">
        <v>46202</v>
      </c>
      <c r="F677" s="219" t="s">
        <v>2830</v>
      </c>
      <c r="G677" s="220" t="s">
        <v>843</v>
      </c>
      <c r="H677" s="221">
        <v>14230</v>
      </c>
      <c r="I677" s="221">
        <v>33220</v>
      </c>
      <c r="J677" s="221">
        <v>18990</v>
      </c>
    </row>
    <row r="678" spans="1:10" x14ac:dyDescent="0.3">
      <c r="A678" s="217">
        <v>674</v>
      </c>
      <c r="B678" s="217" t="s">
        <v>2831</v>
      </c>
      <c r="C678" s="218">
        <v>46202</v>
      </c>
      <c r="D678" s="219" t="s">
        <v>2832</v>
      </c>
      <c r="E678" s="218">
        <v>46202</v>
      </c>
      <c r="F678" s="219" t="s">
        <v>2833</v>
      </c>
      <c r="G678" s="220" t="s">
        <v>845</v>
      </c>
      <c r="H678" s="221">
        <v>13960</v>
      </c>
      <c r="I678" s="221">
        <v>33790</v>
      </c>
      <c r="J678" s="221">
        <v>19830</v>
      </c>
    </row>
    <row r="679" spans="1:10" x14ac:dyDescent="0.3">
      <c r="A679" s="217">
        <v>675</v>
      </c>
      <c r="B679" s="217" t="s">
        <v>2834</v>
      </c>
      <c r="C679" s="218">
        <v>46202</v>
      </c>
      <c r="D679" s="219" t="s">
        <v>2835</v>
      </c>
      <c r="E679" s="218">
        <v>46202</v>
      </c>
      <c r="F679" s="219" t="s">
        <v>2836</v>
      </c>
      <c r="G679" s="220" t="s">
        <v>143</v>
      </c>
      <c r="H679" s="221">
        <v>14000</v>
      </c>
      <c r="I679" s="221">
        <v>33110</v>
      </c>
      <c r="J679" s="221">
        <v>19110</v>
      </c>
    </row>
    <row r="680" spans="1:10" x14ac:dyDescent="0.3">
      <c r="A680" s="217">
        <v>676</v>
      </c>
      <c r="B680" s="217" t="s">
        <v>2837</v>
      </c>
      <c r="C680" s="218">
        <v>46202</v>
      </c>
      <c r="D680" s="219" t="s">
        <v>2838</v>
      </c>
      <c r="E680" s="218">
        <v>46202</v>
      </c>
      <c r="F680" s="219" t="s">
        <v>2839</v>
      </c>
      <c r="G680" s="220" t="s">
        <v>337</v>
      </c>
      <c r="H680" s="221">
        <v>14050</v>
      </c>
      <c r="I680" s="221">
        <v>32680</v>
      </c>
      <c r="J680" s="221">
        <v>18630</v>
      </c>
    </row>
    <row r="681" spans="1:10" x14ac:dyDescent="0.3">
      <c r="A681" s="217">
        <v>677</v>
      </c>
      <c r="B681" s="217" t="s">
        <v>2840</v>
      </c>
      <c r="C681" s="218">
        <v>46202</v>
      </c>
      <c r="D681" s="219" t="s">
        <v>2841</v>
      </c>
      <c r="E681" s="218">
        <v>46202</v>
      </c>
      <c r="F681" s="219" t="s">
        <v>2842</v>
      </c>
      <c r="G681" s="220" t="s">
        <v>55</v>
      </c>
      <c r="H681" s="221">
        <v>13990</v>
      </c>
      <c r="I681" s="221">
        <v>32130</v>
      </c>
      <c r="J681" s="221">
        <v>18140</v>
      </c>
    </row>
    <row r="682" spans="1:10" x14ac:dyDescent="0.3">
      <c r="A682" s="217">
        <v>678</v>
      </c>
      <c r="B682" s="217" t="s">
        <v>2843</v>
      </c>
      <c r="C682" s="218">
        <v>46202</v>
      </c>
      <c r="D682" s="219" t="s">
        <v>2844</v>
      </c>
      <c r="E682" s="218">
        <v>46202</v>
      </c>
      <c r="F682" s="219" t="s">
        <v>2845</v>
      </c>
      <c r="G682" s="220" t="s">
        <v>85</v>
      </c>
      <c r="H682" s="221">
        <v>14100</v>
      </c>
      <c r="I682" s="221">
        <v>33110</v>
      </c>
      <c r="J682" s="221">
        <v>19010</v>
      </c>
    </row>
    <row r="683" spans="1:10" x14ac:dyDescent="0.3">
      <c r="A683" s="217">
        <v>679</v>
      </c>
      <c r="B683" s="217" t="s">
        <v>2846</v>
      </c>
      <c r="C683" s="218">
        <v>46202</v>
      </c>
      <c r="D683" s="219" t="s">
        <v>2847</v>
      </c>
      <c r="E683" s="218">
        <v>46202</v>
      </c>
      <c r="F683" s="219"/>
      <c r="G683" s="220" t="s">
        <v>55</v>
      </c>
      <c r="H683" s="221">
        <v>13690</v>
      </c>
      <c r="I683" s="221">
        <v>32910</v>
      </c>
      <c r="J683" s="221">
        <v>19220</v>
      </c>
    </row>
    <row r="684" spans="1:10" x14ac:dyDescent="0.3">
      <c r="A684" s="217">
        <v>680</v>
      </c>
      <c r="B684" s="217" t="s">
        <v>2834</v>
      </c>
      <c r="C684" s="218">
        <v>46203</v>
      </c>
      <c r="D684" s="219" t="s">
        <v>2848</v>
      </c>
      <c r="E684" s="218">
        <v>46203</v>
      </c>
      <c r="F684" s="219" t="s">
        <v>2849</v>
      </c>
      <c r="G684" s="220" t="s">
        <v>64</v>
      </c>
      <c r="H684" s="221">
        <v>14030</v>
      </c>
      <c r="I684" s="221">
        <v>33390</v>
      </c>
      <c r="J684" s="221">
        <v>19360</v>
      </c>
    </row>
    <row r="685" spans="1:10" x14ac:dyDescent="0.3">
      <c r="A685" s="217">
        <v>681</v>
      </c>
      <c r="B685" s="217" t="s">
        <v>2837</v>
      </c>
      <c r="C685" s="218">
        <v>46203</v>
      </c>
      <c r="D685" s="219" t="s">
        <v>2850</v>
      </c>
      <c r="E685" s="218">
        <v>46203</v>
      </c>
      <c r="F685" s="219" t="s">
        <v>2851</v>
      </c>
      <c r="G685" s="220" t="s">
        <v>71</v>
      </c>
      <c r="H685" s="221">
        <v>13900</v>
      </c>
      <c r="I685" s="221">
        <v>33410</v>
      </c>
      <c r="J685" s="221">
        <v>19510</v>
      </c>
    </row>
    <row r="686" spans="1:10" x14ac:dyDescent="0.3">
      <c r="A686" s="217">
        <v>682</v>
      </c>
      <c r="B686" s="217" t="s">
        <v>2840</v>
      </c>
      <c r="C686" s="218">
        <v>46203</v>
      </c>
      <c r="D686" s="219" t="s">
        <v>2852</v>
      </c>
      <c r="E686" s="218">
        <v>46203</v>
      </c>
      <c r="F686" s="219" t="s">
        <v>2853</v>
      </c>
      <c r="G686" s="220" t="s">
        <v>90</v>
      </c>
      <c r="H686" s="221">
        <v>13970</v>
      </c>
      <c r="I686" s="221">
        <v>32550</v>
      </c>
      <c r="J686" s="221">
        <v>18580</v>
      </c>
    </row>
    <row r="687" spans="1:10" x14ac:dyDescent="0.3">
      <c r="A687" s="217">
        <v>683</v>
      </c>
      <c r="B687" s="217" t="s">
        <v>2843</v>
      </c>
      <c r="C687" s="218">
        <v>46203</v>
      </c>
      <c r="D687" s="219" t="s">
        <v>895</v>
      </c>
      <c r="E687" s="218">
        <v>46203</v>
      </c>
      <c r="F687" s="219" t="s">
        <v>2854</v>
      </c>
      <c r="G687" s="220" t="s">
        <v>840</v>
      </c>
      <c r="H687" s="221">
        <v>14090</v>
      </c>
      <c r="I687" s="221">
        <v>32610</v>
      </c>
      <c r="J687" s="221">
        <v>18520</v>
      </c>
    </row>
    <row r="688" spans="1:10" x14ac:dyDescent="0.3">
      <c r="A688" s="217">
        <v>684</v>
      </c>
      <c r="B688" s="217" t="s">
        <v>2846</v>
      </c>
      <c r="C688" s="218">
        <v>46203</v>
      </c>
      <c r="D688" s="219" t="s">
        <v>2855</v>
      </c>
      <c r="E688" s="218">
        <v>46203</v>
      </c>
      <c r="F688" s="219" t="s">
        <v>2856</v>
      </c>
      <c r="G688" s="220" t="s">
        <v>337</v>
      </c>
      <c r="H688" s="221">
        <v>13950</v>
      </c>
      <c r="I688" s="221">
        <v>33520</v>
      </c>
      <c r="J688" s="221">
        <v>19570</v>
      </c>
    </row>
    <row r="689" spans="1:10" x14ac:dyDescent="0.3">
      <c r="A689" s="217">
        <v>685</v>
      </c>
      <c r="B689" s="217" t="s">
        <v>2857</v>
      </c>
      <c r="C689" s="218">
        <v>46203</v>
      </c>
      <c r="D689" s="219" t="s">
        <v>2858</v>
      </c>
      <c r="E689" s="218">
        <v>46203</v>
      </c>
      <c r="F689" s="219" t="s">
        <v>2859</v>
      </c>
      <c r="G689" s="220" t="s">
        <v>55</v>
      </c>
      <c r="H689" s="221">
        <v>13880</v>
      </c>
      <c r="I689" s="221">
        <v>33920</v>
      </c>
      <c r="J689" s="221">
        <v>20040</v>
      </c>
    </row>
    <row r="690" spans="1:10" x14ac:dyDescent="0.3">
      <c r="A690" s="217">
        <v>686</v>
      </c>
      <c r="B690" s="217" t="s">
        <v>2860</v>
      </c>
      <c r="C690" s="218">
        <v>46203</v>
      </c>
      <c r="D690" s="219" t="s">
        <v>2861</v>
      </c>
      <c r="E690" s="218">
        <v>46203</v>
      </c>
      <c r="F690" s="219" t="s">
        <v>2862</v>
      </c>
      <c r="G690" s="220" t="s">
        <v>85</v>
      </c>
      <c r="H690" s="221">
        <v>13950</v>
      </c>
      <c r="I690" s="221">
        <v>33770</v>
      </c>
      <c r="J690" s="221">
        <v>19820</v>
      </c>
    </row>
    <row r="691" spans="1:10" x14ac:dyDescent="0.3">
      <c r="A691" s="217">
        <v>687</v>
      </c>
      <c r="B691" s="217" t="s">
        <v>2863</v>
      </c>
      <c r="C691" s="218">
        <v>46203</v>
      </c>
      <c r="D691" s="219" t="s">
        <v>2864</v>
      </c>
      <c r="E691" s="218">
        <v>46203</v>
      </c>
      <c r="F691" s="219" t="s">
        <v>2865</v>
      </c>
      <c r="G691" s="220" t="s">
        <v>843</v>
      </c>
      <c r="H691" s="221">
        <v>14150</v>
      </c>
      <c r="I691" s="221">
        <v>34070</v>
      </c>
      <c r="J691" s="221">
        <v>19920</v>
      </c>
    </row>
    <row r="692" spans="1:10" x14ac:dyDescent="0.3">
      <c r="A692" s="217">
        <v>688</v>
      </c>
      <c r="B692" s="217" t="s">
        <v>2866</v>
      </c>
      <c r="C692" s="218">
        <v>46203</v>
      </c>
      <c r="D692" s="219" t="s">
        <v>2618</v>
      </c>
      <c r="E692" s="218">
        <v>46203</v>
      </c>
      <c r="F692" s="219" t="s">
        <v>2867</v>
      </c>
      <c r="G692" s="220" t="s">
        <v>80</v>
      </c>
      <c r="H692" s="221">
        <v>13940</v>
      </c>
      <c r="I692" s="221">
        <v>31980</v>
      </c>
      <c r="J692" s="221">
        <v>18040</v>
      </c>
    </row>
    <row r="693" spans="1:10" x14ac:dyDescent="0.3">
      <c r="A693" s="217">
        <v>689</v>
      </c>
      <c r="B693" s="217" t="s">
        <v>2868</v>
      </c>
      <c r="C693" s="218">
        <v>46203</v>
      </c>
      <c r="D693" s="219" t="s">
        <v>2869</v>
      </c>
      <c r="E693" s="218">
        <v>46203</v>
      </c>
      <c r="F693" s="219" t="s">
        <v>2870</v>
      </c>
      <c r="G693" s="220" t="s">
        <v>143</v>
      </c>
      <c r="H693" s="221">
        <v>13930</v>
      </c>
      <c r="I693" s="221">
        <v>33760</v>
      </c>
      <c r="J693" s="221">
        <v>19830</v>
      </c>
    </row>
    <row r="694" spans="1:10" x14ac:dyDescent="0.3">
      <c r="A694" s="217">
        <v>690</v>
      </c>
      <c r="B694" s="217" t="s">
        <v>2871</v>
      </c>
      <c r="C694" s="218">
        <v>46203</v>
      </c>
      <c r="D694" s="219" t="s">
        <v>2872</v>
      </c>
      <c r="E694" s="218">
        <v>46203</v>
      </c>
      <c r="F694" s="219" t="s">
        <v>2873</v>
      </c>
      <c r="G694" s="220" t="s">
        <v>335</v>
      </c>
      <c r="H694" s="221">
        <v>13920</v>
      </c>
      <c r="I694" s="221">
        <v>32190</v>
      </c>
      <c r="J694" s="221">
        <v>18270</v>
      </c>
    </row>
    <row r="695" spans="1:10" x14ac:dyDescent="0.3">
      <c r="A695" s="217">
        <v>691</v>
      </c>
      <c r="B695" s="217" t="s">
        <v>2874</v>
      </c>
      <c r="C695" s="218">
        <v>46203</v>
      </c>
      <c r="D695" s="219" t="s">
        <v>870</v>
      </c>
      <c r="E695" s="218">
        <v>46203</v>
      </c>
      <c r="F695" s="219" t="s">
        <v>2875</v>
      </c>
      <c r="G695" s="220" t="s">
        <v>336</v>
      </c>
      <c r="H695" s="221">
        <v>13850</v>
      </c>
      <c r="I695" s="221">
        <v>32330</v>
      </c>
      <c r="J695" s="221">
        <v>18480</v>
      </c>
    </row>
    <row r="696" spans="1:10" x14ac:dyDescent="0.3">
      <c r="A696" s="217">
        <v>692</v>
      </c>
      <c r="B696" s="217" t="s">
        <v>2876</v>
      </c>
      <c r="C696" s="218">
        <v>46203</v>
      </c>
      <c r="D696" s="219" t="s">
        <v>2877</v>
      </c>
      <c r="E696" s="218">
        <v>46203</v>
      </c>
      <c r="F696" s="219" t="s">
        <v>2878</v>
      </c>
      <c r="G696" s="220" t="s">
        <v>845</v>
      </c>
      <c r="H696" s="221">
        <v>13930</v>
      </c>
      <c r="I696" s="221">
        <v>32940</v>
      </c>
      <c r="J696" s="221">
        <v>19010</v>
      </c>
    </row>
    <row r="697" spans="1:10" x14ac:dyDescent="0.3">
      <c r="A697" s="217">
        <v>693</v>
      </c>
      <c r="B697" s="217" t="s">
        <v>2879</v>
      </c>
      <c r="C697" s="218">
        <v>46203</v>
      </c>
      <c r="D697" s="219" t="s">
        <v>2880</v>
      </c>
      <c r="E697" s="218">
        <v>46203</v>
      </c>
      <c r="F697" s="219" t="s">
        <v>2881</v>
      </c>
      <c r="G697" s="220" t="s">
        <v>537</v>
      </c>
      <c r="H697" s="221">
        <v>13990</v>
      </c>
      <c r="I697" s="221">
        <v>34410</v>
      </c>
      <c r="J697" s="221">
        <v>20420</v>
      </c>
    </row>
    <row r="698" spans="1:10" x14ac:dyDescent="0.3">
      <c r="A698" s="217">
        <v>694</v>
      </c>
      <c r="B698" s="217" t="s">
        <v>2882</v>
      </c>
      <c r="C698" s="218">
        <v>46203</v>
      </c>
      <c r="D698" s="219" t="s">
        <v>2883</v>
      </c>
      <c r="E698" s="218">
        <v>46203</v>
      </c>
      <c r="F698" s="219" t="s">
        <v>2884</v>
      </c>
      <c r="G698" s="220" t="s">
        <v>43</v>
      </c>
      <c r="H698" s="221">
        <v>14070</v>
      </c>
      <c r="I698" s="221">
        <v>33040</v>
      </c>
      <c r="J698" s="221">
        <v>18970</v>
      </c>
    </row>
    <row r="699" spans="1:10" x14ac:dyDescent="0.3">
      <c r="A699" s="217">
        <v>695</v>
      </c>
      <c r="B699" s="217" t="s">
        <v>2885</v>
      </c>
      <c r="C699" s="218">
        <v>46203</v>
      </c>
      <c r="D699" s="219" t="s">
        <v>2886</v>
      </c>
      <c r="E699" s="218">
        <v>46203</v>
      </c>
      <c r="F699" s="219" t="s">
        <v>2887</v>
      </c>
      <c r="G699" s="220" t="s">
        <v>64</v>
      </c>
      <c r="H699" s="221">
        <v>14040</v>
      </c>
      <c r="I699" s="221">
        <v>29940</v>
      </c>
      <c r="J699" s="221">
        <v>15900</v>
      </c>
    </row>
    <row r="700" spans="1:10" x14ac:dyDescent="0.3">
      <c r="A700" s="217">
        <v>696</v>
      </c>
      <c r="B700" s="217" t="s">
        <v>2888</v>
      </c>
      <c r="C700" s="218">
        <v>46203</v>
      </c>
      <c r="D700" s="219" t="s">
        <v>2889</v>
      </c>
      <c r="E700" s="218">
        <v>46203</v>
      </c>
      <c r="F700" s="219" t="s">
        <v>2890</v>
      </c>
      <c r="G700" s="220" t="s">
        <v>71</v>
      </c>
      <c r="H700" s="221">
        <v>13860</v>
      </c>
      <c r="I700" s="221">
        <v>31460</v>
      </c>
      <c r="J700" s="221">
        <v>17600</v>
      </c>
    </row>
    <row r="701" spans="1:10" x14ac:dyDescent="0.3">
      <c r="A701" s="217">
        <v>697</v>
      </c>
      <c r="B701" s="217" t="s">
        <v>2891</v>
      </c>
      <c r="C701" s="218">
        <v>46203</v>
      </c>
      <c r="D701" s="219" t="s">
        <v>2892</v>
      </c>
      <c r="E701" s="218">
        <v>46203</v>
      </c>
      <c r="F701" s="219" t="s">
        <v>2893</v>
      </c>
      <c r="G701" s="220" t="s">
        <v>90</v>
      </c>
      <c r="H701" s="221">
        <v>13930</v>
      </c>
      <c r="I701" s="221">
        <v>31140</v>
      </c>
      <c r="J701" s="221">
        <v>17210</v>
      </c>
    </row>
    <row r="702" spans="1:10" x14ac:dyDescent="0.3">
      <c r="A702" s="217">
        <v>698</v>
      </c>
      <c r="B702" s="217" t="s">
        <v>2894</v>
      </c>
      <c r="C702" s="218">
        <v>46203</v>
      </c>
      <c r="D702" s="219" t="s">
        <v>2895</v>
      </c>
      <c r="E702" s="218">
        <v>46203</v>
      </c>
      <c r="F702" s="219" t="s">
        <v>2896</v>
      </c>
      <c r="G702" s="220" t="s">
        <v>337</v>
      </c>
      <c r="H702" s="221">
        <v>13930</v>
      </c>
      <c r="I702" s="221">
        <v>31210</v>
      </c>
      <c r="J702" s="221">
        <v>17280</v>
      </c>
    </row>
    <row r="703" spans="1:10" x14ac:dyDescent="0.3">
      <c r="A703" s="217">
        <v>699</v>
      </c>
      <c r="B703" s="217" t="s">
        <v>2897</v>
      </c>
      <c r="C703" s="218">
        <v>46203</v>
      </c>
      <c r="D703" s="219" t="s">
        <v>2898</v>
      </c>
      <c r="E703" s="218">
        <v>46203</v>
      </c>
      <c r="F703" s="219" t="s">
        <v>2899</v>
      </c>
      <c r="G703" s="220" t="s">
        <v>840</v>
      </c>
      <c r="H703" s="221">
        <v>14050</v>
      </c>
      <c r="I703" s="221">
        <v>31140</v>
      </c>
      <c r="J703" s="221">
        <v>17090</v>
      </c>
    </row>
    <row r="704" spans="1:10" x14ac:dyDescent="0.3">
      <c r="A704" s="217">
        <v>700</v>
      </c>
      <c r="B704" s="217" t="s">
        <v>2900</v>
      </c>
      <c r="C704" s="218">
        <v>46203</v>
      </c>
      <c r="D704" s="219" t="s">
        <v>2901</v>
      </c>
      <c r="E704" s="218">
        <v>46203</v>
      </c>
      <c r="F704" s="219" t="s">
        <v>2902</v>
      </c>
      <c r="G704" s="220" t="s">
        <v>55</v>
      </c>
      <c r="H704" s="221">
        <v>13840</v>
      </c>
      <c r="I704" s="221">
        <v>30780</v>
      </c>
      <c r="J704" s="221">
        <v>16940</v>
      </c>
    </row>
    <row r="705" spans="1:10" x14ac:dyDescent="0.3">
      <c r="A705" s="217">
        <v>701</v>
      </c>
      <c r="B705" s="217" t="s">
        <v>2903</v>
      </c>
      <c r="C705" s="218">
        <v>46203</v>
      </c>
      <c r="D705" s="219" t="s">
        <v>2904</v>
      </c>
      <c r="E705" s="218">
        <v>46203</v>
      </c>
      <c r="F705" s="219" t="s">
        <v>2905</v>
      </c>
      <c r="G705" s="220" t="s">
        <v>85</v>
      </c>
      <c r="H705" s="221">
        <v>13910</v>
      </c>
      <c r="I705" s="221">
        <v>30570</v>
      </c>
      <c r="J705" s="221">
        <v>16660</v>
      </c>
    </row>
    <row r="706" spans="1:10" x14ac:dyDescent="0.3">
      <c r="A706" s="217">
        <v>702</v>
      </c>
      <c r="B706" s="217" t="s">
        <v>2906</v>
      </c>
      <c r="C706" s="218">
        <v>46203</v>
      </c>
      <c r="D706" s="219" t="s">
        <v>2907</v>
      </c>
      <c r="E706" s="218">
        <v>46203</v>
      </c>
      <c r="F706" s="219" t="s">
        <v>2908</v>
      </c>
      <c r="G706" s="220" t="s">
        <v>843</v>
      </c>
      <c r="H706" s="221">
        <v>14150</v>
      </c>
      <c r="I706" s="221">
        <v>32810</v>
      </c>
      <c r="J706" s="221">
        <v>18660</v>
      </c>
    </row>
    <row r="707" spans="1:10" x14ac:dyDescent="0.3">
      <c r="A707" s="217">
        <v>703</v>
      </c>
      <c r="B707" s="217" t="s">
        <v>2909</v>
      </c>
      <c r="C707" s="218">
        <v>46203</v>
      </c>
      <c r="D707" s="219" t="s">
        <v>2910</v>
      </c>
      <c r="E707" s="218">
        <v>46203</v>
      </c>
      <c r="F707" s="219" t="s">
        <v>2911</v>
      </c>
      <c r="G707" s="220" t="s">
        <v>80</v>
      </c>
      <c r="H707" s="221">
        <v>13900</v>
      </c>
      <c r="I707" s="221">
        <v>30770</v>
      </c>
      <c r="J707" s="221">
        <v>16870</v>
      </c>
    </row>
    <row r="708" spans="1:10" x14ac:dyDescent="0.3">
      <c r="A708" s="217">
        <v>704</v>
      </c>
      <c r="B708" s="217" t="s">
        <v>2912</v>
      </c>
      <c r="C708" s="218">
        <v>46203</v>
      </c>
      <c r="D708" s="219" t="s">
        <v>2913</v>
      </c>
      <c r="E708" s="218">
        <v>46203</v>
      </c>
      <c r="F708" s="219" t="s">
        <v>2914</v>
      </c>
      <c r="G708" s="220" t="s">
        <v>143</v>
      </c>
      <c r="H708" s="221">
        <v>13800</v>
      </c>
      <c r="I708" s="221">
        <v>30870</v>
      </c>
      <c r="J708" s="221">
        <v>17070</v>
      </c>
    </row>
    <row r="709" spans="1:10" x14ac:dyDescent="0.3">
      <c r="A709" s="217">
        <v>705</v>
      </c>
      <c r="B709" s="217" t="s">
        <v>2915</v>
      </c>
      <c r="C709" s="218">
        <v>46203</v>
      </c>
      <c r="D709" s="219" t="s">
        <v>2916</v>
      </c>
      <c r="E709" s="218">
        <v>46203</v>
      </c>
      <c r="F709" s="219" t="s">
        <v>2917</v>
      </c>
      <c r="G709" s="220" t="s">
        <v>335</v>
      </c>
      <c r="H709" s="221">
        <v>13860</v>
      </c>
      <c r="I709" s="221">
        <v>30370</v>
      </c>
      <c r="J709" s="221">
        <v>16510</v>
      </c>
    </row>
    <row r="710" spans="1:10" x14ac:dyDescent="0.3">
      <c r="A710" s="217">
        <v>706</v>
      </c>
      <c r="B710" s="217" t="s">
        <v>2918</v>
      </c>
      <c r="C710" s="218">
        <v>46203</v>
      </c>
      <c r="D710" s="219" t="s">
        <v>2919</v>
      </c>
      <c r="E710" s="218">
        <v>46203</v>
      </c>
      <c r="F710" s="219" t="s">
        <v>2920</v>
      </c>
      <c r="G710" s="220" t="s">
        <v>845</v>
      </c>
      <c r="H710" s="221">
        <v>13930</v>
      </c>
      <c r="I710" s="221">
        <v>29390</v>
      </c>
      <c r="J710" s="221">
        <v>15460</v>
      </c>
    </row>
    <row r="711" spans="1:10" x14ac:dyDescent="0.3">
      <c r="A711" s="217">
        <v>707</v>
      </c>
      <c r="B711" s="217" t="s">
        <v>2921</v>
      </c>
      <c r="C711" s="218">
        <v>46203</v>
      </c>
      <c r="D711" s="219" t="s">
        <v>894</v>
      </c>
      <c r="E711" s="218">
        <v>46203</v>
      </c>
      <c r="F711" s="219" t="s">
        <v>2922</v>
      </c>
      <c r="G711" s="220" t="s">
        <v>336</v>
      </c>
      <c r="H711" s="221">
        <v>13810</v>
      </c>
      <c r="I711" s="221">
        <v>31200</v>
      </c>
      <c r="J711" s="221">
        <v>17390</v>
      </c>
    </row>
    <row r="712" spans="1:10" x14ac:dyDescent="0.3">
      <c r="A712" s="217">
        <v>708</v>
      </c>
      <c r="B712" s="217" t="s">
        <v>2923</v>
      </c>
      <c r="C712" s="218">
        <v>46203</v>
      </c>
      <c r="D712" s="219" t="s">
        <v>2924</v>
      </c>
      <c r="E712" s="218">
        <v>46203</v>
      </c>
      <c r="F712" s="219" t="s">
        <v>2925</v>
      </c>
      <c r="G712" s="220" t="s">
        <v>537</v>
      </c>
      <c r="H712" s="221">
        <v>14010</v>
      </c>
      <c r="I712" s="221">
        <v>29920</v>
      </c>
      <c r="J712" s="221">
        <v>15910</v>
      </c>
    </row>
    <row r="713" spans="1:10" x14ac:dyDescent="0.3">
      <c r="A713" s="217">
        <v>709</v>
      </c>
      <c r="B713" s="217" t="s">
        <v>2926</v>
      </c>
      <c r="C713" s="218">
        <v>46203</v>
      </c>
      <c r="D713" s="219" t="s">
        <v>2927</v>
      </c>
      <c r="E713" s="218">
        <v>46203</v>
      </c>
      <c r="F713" s="219" t="s">
        <v>2928</v>
      </c>
      <c r="G713" s="220" t="s">
        <v>43</v>
      </c>
      <c r="H713" s="221">
        <v>14010</v>
      </c>
      <c r="I713" s="221">
        <v>30400</v>
      </c>
      <c r="J713" s="221">
        <v>16390</v>
      </c>
    </row>
    <row r="714" spans="1:10" x14ac:dyDescent="0.3">
      <c r="A714" s="217">
        <v>710</v>
      </c>
      <c r="B714" s="217" t="s">
        <v>2929</v>
      </c>
      <c r="C714" s="218">
        <v>46203</v>
      </c>
      <c r="D714" s="219" t="s">
        <v>2930</v>
      </c>
      <c r="E714" s="218">
        <v>46203</v>
      </c>
      <c r="F714" s="219" t="s">
        <v>2931</v>
      </c>
      <c r="G714" s="220" t="s">
        <v>64</v>
      </c>
      <c r="H714" s="221">
        <v>13990</v>
      </c>
      <c r="I714" s="221">
        <v>29620</v>
      </c>
      <c r="J714" s="221">
        <v>15630</v>
      </c>
    </row>
    <row r="715" spans="1:10" x14ac:dyDescent="0.3">
      <c r="A715" s="217">
        <v>711</v>
      </c>
      <c r="B715" s="217" t="s">
        <v>2932</v>
      </c>
      <c r="C715" s="218">
        <v>46203</v>
      </c>
      <c r="D715" s="219" t="s">
        <v>2933</v>
      </c>
      <c r="E715" s="218">
        <v>46203</v>
      </c>
      <c r="F715" s="219" t="s">
        <v>2934</v>
      </c>
      <c r="G715" s="220" t="s">
        <v>71</v>
      </c>
      <c r="H715" s="221">
        <v>13840</v>
      </c>
      <c r="I715" s="221">
        <v>30800</v>
      </c>
      <c r="J715" s="221">
        <v>16960</v>
      </c>
    </row>
    <row r="716" spans="1:10" x14ac:dyDescent="0.3">
      <c r="A716" s="217">
        <v>712</v>
      </c>
      <c r="B716" s="217" t="s">
        <v>2935</v>
      </c>
      <c r="C716" s="218">
        <v>46203</v>
      </c>
      <c r="D716" s="219" t="s">
        <v>2936</v>
      </c>
      <c r="E716" s="218">
        <v>46203</v>
      </c>
      <c r="F716" s="219" t="s">
        <v>2937</v>
      </c>
      <c r="G716" s="220" t="s">
        <v>337</v>
      </c>
      <c r="H716" s="221">
        <v>13900</v>
      </c>
      <c r="I716" s="221">
        <v>29980</v>
      </c>
      <c r="J716" s="221">
        <v>16080</v>
      </c>
    </row>
    <row r="717" spans="1:10" x14ac:dyDescent="0.3">
      <c r="A717" s="217">
        <v>713</v>
      </c>
      <c r="B717" s="217" t="s">
        <v>2938</v>
      </c>
      <c r="C717" s="218">
        <v>46203</v>
      </c>
      <c r="D717" s="219" t="s">
        <v>2939</v>
      </c>
      <c r="E717" s="218">
        <v>46203</v>
      </c>
      <c r="F717" s="219" t="s">
        <v>2940</v>
      </c>
      <c r="G717" s="220" t="s">
        <v>840</v>
      </c>
      <c r="H717" s="221">
        <v>14000</v>
      </c>
      <c r="I717" s="221">
        <v>29540</v>
      </c>
      <c r="J717" s="221">
        <v>15540</v>
      </c>
    </row>
    <row r="718" spans="1:10" x14ac:dyDescent="0.3">
      <c r="A718" s="217">
        <v>714</v>
      </c>
      <c r="B718" s="217" t="s">
        <v>2941</v>
      </c>
      <c r="C718" s="218">
        <v>46203</v>
      </c>
      <c r="D718" s="219" t="s">
        <v>2942</v>
      </c>
      <c r="E718" s="218">
        <v>46203</v>
      </c>
      <c r="F718" s="219" t="s">
        <v>2943</v>
      </c>
      <c r="G718" s="220" t="s">
        <v>55</v>
      </c>
      <c r="H718" s="221">
        <v>13820</v>
      </c>
      <c r="I718" s="221">
        <v>28590</v>
      </c>
      <c r="J718" s="221">
        <v>14770</v>
      </c>
    </row>
    <row r="719" spans="1:10" x14ac:dyDescent="0.3">
      <c r="A719" s="217">
        <v>715</v>
      </c>
      <c r="B719" s="217" t="s">
        <v>2944</v>
      </c>
      <c r="C719" s="218">
        <v>46203</v>
      </c>
      <c r="D719" s="219" t="s">
        <v>2945</v>
      </c>
      <c r="E719" s="218">
        <v>46203</v>
      </c>
      <c r="F719" s="219" t="s">
        <v>2946</v>
      </c>
      <c r="G719" s="220" t="s">
        <v>85</v>
      </c>
      <c r="H719" s="221">
        <v>13850</v>
      </c>
      <c r="I719" s="221">
        <v>28800</v>
      </c>
      <c r="J719" s="221">
        <v>14950</v>
      </c>
    </row>
    <row r="720" spans="1:10" x14ac:dyDescent="0.3">
      <c r="A720" s="217">
        <v>716</v>
      </c>
      <c r="B720" s="217" t="s">
        <v>2947</v>
      </c>
      <c r="C720" s="218">
        <v>46203</v>
      </c>
      <c r="D720" s="219" t="s">
        <v>2948</v>
      </c>
      <c r="E720" s="218">
        <v>46203</v>
      </c>
      <c r="F720" s="219" t="s">
        <v>2949</v>
      </c>
      <c r="G720" s="220" t="s">
        <v>843</v>
      </c>
      <c r="H720" s="221">
        <v>14060</v>
      </c>
      <c r="I720" s="221">
        <v>30050</v>
      </c>
      <c r="J720" s="221">
        <v>15990</v>
      </c>
    </row>
    <row r="721" spans="1:10" x14ac:dyDescent="0.3">
      <c r="A721" s="217">
        <v>717</v>
      </c>
      <c r="B721" s="217" t="s">
        <v>2950</v>
      </c>
      <c r="C721" s="218">
        <v>46203</v>
      </c>
      <c r="D721" s="219" t="s">
        <v>2951</v>
      </c>
      <c r="E721" s="218">
        <v>46203</v>
      </c>
      <c r="F721" s="219" t="s">
        <v>2952</v>
      </c>
      <c r="G721" s="220" t="s">
        <v>143</v>
      </c>
      <c r="H721" s="221">
        <v>13870</v>
      </c>
      <c r="I721" s="221">
        <v>30100</v>
      </c>
      <c r="J721" s="221">
        <v>16230</v>
      </c>
    </row>
    <row r="722" spans="1:10" x14ac:dyDescent="0.3">
      <c r="A722" s="217">
        <v>718</v>
      </c>
      <c r="B722" s="217" t="s">
        <v>2953</v>
      </c>
      <c r="C722" s="218">
        <v>46203</v>
      </c>
      <c r="D722" s="219" t="s">
        <v>2954</v>
      </c>
      <c r="E722" s="218">
        <v>46203</v>
      </c>
      <c r="F722" s="219" t="s">
        <v>2955</v>
      </c>
      <c r="G722" s="220" t="s">
        <v>80</v>
      </c>
      <c r="H722" s="221">
        <v>13880</v>
      </c>
      <c r="I722" s="221">
        <v>30770</v>
      </c>
      <c r="J722" s="221">
        <v>16890</v>
      </c>
    </row>
    <row r="723" spans="1:10" x14ac:dyDescent="0.3">
      <c r="A723" s="217">
        <v>719</v>
      </c>
      <c r="B723" s="217" t="s">
        <v>2956</v>
      </c>
      <c r="C723" s="218">
        <v>46203</v>
      </c>
      <c r="D723" s="219" t="s">
        <v>2957</v>
      </c>
      <c r="E723" s="218">
        <v>46203</v>
      </c>
      <c r="F723" s="219" t="s">
        <v>2958</v>
      </c>
      <c r="G723" s="220" t="s">
        <v>335</v>
      </c>
      <c r="H723" s="221">
        <v>13820</v>
      </c>
      <c r="I723" s="221">
        <v>31240</v>
      </c>
      <c r="J723" s="221">
        <v>17420</v>
      </c>
    </row>
    <row r="724" spans="1:10" x14ac:dyDescent="0.3">
      <c r="A724" s="217">
        <v>720</v>
      </c>
      <c r="B724" s="217" t="s">
        <v>2959</v>
      </c>
      <c r="C724" s="218">
        <v>46203</v>
      </c>
      <c r="D724" s="219" t="s">
        <v>2960</v>
      </c>
      <c r="E724" s="218">
        <v>46203</v>
      </c>
      <c r="F724" s="219" t="s">
        <v>2961</v>
      </c>
      <c r="G724" s="220" t="s">
        <v>845</v>
      </c>
      <c r="H724" s="221">
        <v>13890</v>
      </c>
      <c r="I724" s="221">
        <v>32020</v>
      </c>
      <c r="J724" s="221">
        <v>18130</v>
      </c>
    </row>
    <row r="725" spans="1:10" x14ac:dyDescent="0.3">
      <c r="A725" s="217">
        <v>721</v>
      </c>
      <c r="B725" s="217" t="s">
        <v>2962</v>
      </c>
      <c r="C725" s="218">
        <v>46203</v>
      </c>
      <c r="D725" s="219" t="s">
        <v>2963</v>
      </c>
      <c r="E725" s="218">
        <v>46203</v>
      </c>
      <c r="F725" s="219" t="s">
        <v>2964</v>
      </c>
      <c r="G725" s="220" t="s">
        <v>336</v>
      </c>
      <c r="H725" s="221">
        <v>13800</v>
      </c>
      <c r="I725" s="221">
        <v>30620</v>
      </c>
      <c r="J725" s="221">
        <v>16820</v>
      </c>
    </row>
    <row r="726" spans="1:10" x14ac:dyDescent="0.3">
      <c r="A726" s="217">
        <v>722</v>
      </c>
      <c r="B726" s="217" t="s">
        <v>2965</v>
      </c>
      <c r="C726" s="218">
        <v>46203</v>
      </c>
      <c r="D726" s="219" t="s">
        <v>2966</v>
      </c>
      <c r="E726" s="218">
        <v>46203</v>
      </c>
      <c r="F726" s="219" t="s">
        <v>2967</v>
      </c>
      <c r="G726" s="220" t="s">
        <v>90</v>
      </c>
      <c r="H726" s="221">
        <v>13870</v>
      </c>
      <c r="I726" s="221">
        <v>32110</v>
      </c>
      <c r="J726" s="221">
        <v>18240</v>
      </c>
    </row>
    <row r="727" spans="1:10" x14ac:dyDescent="0.3">
      <c r="A727" s="217">
        <v>723</v>
      </c>
      <c r="B727" s="217" t="s">
        <v>2968</v>
      </c>
      <c r="C727" s="218">
        <v>46203</v>
      </c>
      <c r="D727" s="219" t="s">
        <v>1710</v>
      </c>
      <c r="E727" s="218">
        <v>46203</v>
      </c>
      <c r="F727" s="219" t="s">
        <v>2969</v>
      </c>
      <c r="G727" s="220" t="s">
        <v>537</v>
      </c>
      <c r="H727" s="221">
        <v>13930</v>
      </c>
      <c r="I727" s="221">
        <v>33570</v>
      </c>
      <c r="J727" s="221">
        <v>19640</v>
      </c>
    </row>
    <row r="728" spans="1:10" x14ac:dyDescent="0.3">
      <c r="A728" s="217">
        <v>724</v>
      </c>
      <c r="B728" s="217" t="s">
        <v>2970</v>
      </c>
      <c r="C728" s="218">
        <v>46203</v>
      </c>
      <c r="D728" s="219" t="s">
        <v>2971</v>
      </c>
      <c r="E728" s="218">
        <v>46203</v>
      </c>
      <c r="F728" s="219" t="s">
        <v>2972</v>
      </c>
      <c r="G728" s="220" t="s">
        <v>43</v>
      </c>
      <c r="H728" s="221">
        <v>13980</v>
      </c>
      <c r="I728" s="221">
        <v>29160</v>
      </c>
      <c r="J728" s="221">
        <v>15180</v>
      </c>
    </row>
    <row r="729" spans="1:10" x14ac:dyDescent="0.3">
      <c r="A729" s="217">
        <v>725</v>
      </c>
      <c r="B729" s="217" t="s">
        <v>2973</v>
      </c>
      <c r="C729" s="218">
        <v>46203</v>
      </c>
      <c r="D729" s="219" t="s">
        <v>2974</v>
      </c>
      <c r="E729" s="218">
        <v>46203</v>
      </c>
      <c r="F729" s="219" t="s">
        <v>2975</v>
      </c>
      <c r="G729" s="220" t="s">
        <v>64</v>
      </c>
      <c r="H729" s="221">
        <v>14000</v>
      </c>
      <c r="I729" s="221">
        <v>31190</v>
      </c>
      <c r="J729" s="221">
        <v>17190</v>
      </c>
    </row>
    <row r="730" spans="1:10" x14ac:dyDescent="0.3">
      <c r="A730" s="217">
        <v>726</v>
      </c>
      <c r="B730" s="217" t="s">
        <v>2976</v>
      </c>
      <c r="C730" s="218">
        <v>46203</v>
      </c>
      <c r="D730" s="219" t="s">
        <v>2977</v>
      </c>
      <c r="E730" s="218">
        <v>46203</v>
      </c>
      <c r="F730" s="219" t="s">
        <v>2978</v>
      </c>
      <c r="G730" s="220" t="s">
        <v>71</v>
      </c>
      <c r="H730" s="221">
        <v>13820</v>
      </c>
      <c r="I730" s="221">
        <v>30890</v>
      </c>
      <c r="J730" s="221">
        <v>17070</v>
      </c>
    </row>
    <row r="731" spans="1:10" x14ac:dyDescent="0.3">
      <c r="A731" s="217">
        <v>727</v>
      </c>
      <c r="B731" s="217" t="s">
        <v>2979</v>
      </c>
      <c r="C731" s="218">
        <v>46203</v>
      </c>
      <c r="D731" s="219" t="s">
        <v>2980</v>
      </c>
      <c r="E731" s="218">
        <v>46203</v>
      </c>
      <c r="F731" s="219" t="s">
        <v>2981</v>
      </c>
      <c r="G731" s="220" t="s">
        <v>337</v>
      </c>
      <c r="H731" s="221">
        <v>13870</v>
      </c>
      <c r="I731" s="221">
        <v>31900</v>
      </c>
      <c r="J731" s="221">
        <v>18030</v>
      </c>
    </row>
    <row r="732" spans="1:10" x14ac:dyDescent="0.3">
      <c r="A732" s="217">
        <v>728</v>
      </c>
      <c r="B732" s="217" t="s">
        <v>2982</v>
      </c>
      <c r="C732" s="218">
        <v>46203</v>
      </c>
      <c r="D732" s="219" t="s">
        <v>2983</v>
      </c>
      <c r="E732" s="218">
        <v>46203</v>
      </c>
      <c r="F732" s="219" t="s">
        <v>2984</v>
      </c>
      <c r="G732" s="220" t="s">
        <v>55</v>
      </c>
      <c r="H732" s="221">
        <v>13770</v>
      </c>
      <c r="I732" s="221">
        <v>30770</v>
      </c>
      <c r="J732" s="221">
        <v>17000</v>
      </c>
    </row>
    <row r="733" spans="1:10" x14ac:dyDescent="0.3">
      <c r="A733" s="217">
        <v>729</v>
      </c>
      <c r="B733" s="217" t="s">
        <v>2985</v>
      </c>
      <c r="C733" s="218">
        <v>46203</v>
      </c>
      <c r="D733" s="219" t="s">
        <v>2986</v>
      </c>
      <c r="E733" s="218">
        <v>46203</v>
      </c>
      <c r="F733" s="219" t="s">
        <v>2987</v>
      </c>
      <c r="G733" s="220" t="s">
        <v>840</v>
      </c>
      <c r="H733" s="221">
        <v>13970</v>
      </c>
      <c r="I733" s="221">
        <v>32980</v>
      </c>
      <c r="J733" s="221">
        <v>19010</v>
      </c>
    </row>
    <row r="734" spans="1:10" x14ac:dyDescent="0.3">
      <c r="A734" s="217">
        <v>730</v>
      </c>
      <c r="B734" s="217" t="s">
        <v>2988</v>
      </c>
      <c r="C734" s="218">
        <v>46203</v>
      </c>
      <c r="D734" s="219" t="s">
        <v>2989</v>
      </c>
      <c r="E734" s="218">
        <v>46203</v>
      </c>
      <c r="F734" s="219" t="s">
        <v>2990</v>
      </c>
      <c r="G734" s="220" t="s">
        <v>843</v>
      </c>
      <c r="H734" s="221">
        <v>14060</v>
      </c>
      <c r="I734" s="221">
        <v>30280</v>
      </c>
      <c r="J734" s="221">
        <v>16220</v>
      </c>
    </row>
    <row r="735" spans="1:10" x14ac:dyDescent="0.3">
      <c r="A735" s="217">
        <v>731</v>
      </c>
      <c r="B735" s="217" t="s">
        <v>2991</v>
      </c>
      <c r="C735" s="218">
        <v>46203</v>
      </c>
      <c r="D735" s="219" t="s">
        <v>2992</v>
      </c>
      <c r="E735" s="218">
        <v>46203</v>
      </c>
      <c r="F735" s="219" t="s">
        <v>2993</v>
      </c>
      <c r="G735" s="220" t="s">
        <v>143</v>
      </c>
      <c r="H735" s="221">
        <v>13850</v>
      </c>
      <c r="I735" s="221">
        <v>30920</v>
      </c>
      <c r="J735" s="221">
        <v>17070</v>
      </c>
    </row>
    <row r="736" spans="1:10" x14ac:dyDescent="0.3">
      <c r="A736" s="217">
        <v>732</v>
      </c>
      <c r="B736" s="217" t="s">
        <v>2994</v>
      </c>
      <c r="C736" s="218">
        <v>46203</v>
      </c>
      <c r="D736" s="219" t="s">
        <v>2995</v>
      </c>
      <c r="E736" s="218">
        <v>46203</v>
      </c>
      <c r="F736" s="219" t="s">
        <v>2996</v>
      </c>
      <c r="G736" s="220" t="s">
        <v>80</v>
      </c>
      <c r="H736" s="221">
        <v>13840</v>
      </c>
      <c r="I736" s="221">
        <v>30440</v>
      </c>
      <c r="J736" s="221">
        <v>16600</v>
      </c>
    </row>
    <row r="737" spans="1:10" x14ac:dyDescent="0.3">
      <c r="A737" s="217">
        <v>733</v>
      </c>
      <c r="B737" s="217" t="s">
        <v>2997</v>
      </c>
      <c r="C737" s="218">
        <v>46203</v>
      </c>
      <c r="D737" s="219" t="s">
        <v>2998</v>
      </c>
      <c r="E737" s="218">
        <v>46203</v>
      </c>
      <c r="F737" s="219" t="s">
        <v>2999</v>
      </c>
      <c r="G737" s="220" t="s">
        <v>85</v>
      </c>
      <c r="H737" s="221">
        <v>13850</v>
      </c>
      <c r="I737" s="221">
        <v>30340</v>
      </c>
      <c r="J737" s="221">
        <v>16490</v>
      </c>
    </row>
    <row r="738" spans="1:10" x14ac:dyDescent="0.3">
      <c r="A738" s="217">
        <v>734</v>
      </c>
      <c r="B738" s="217" t="s">
        <v>3000</v>
      </c>
      <c r="C738" s="218">
        <v>46203</v>
      </c>
      <c r="D738" s="219" t="s">
        <v>3001</v>
      </c>
      <c r="E738" s="218">
        <v>46203</v>
      </c>
      <c r="F738" s="219" t="s">
        <v>856</v>
      </c>
      <c r="G738" s="220" t="s">
        <v>845</v>
      </c>
      <c r="H738" s="221">
        <v>13890</v>
      </c>
      <c r="I738" s="221">
        <v>29930</v>
      </c>
      <c r="J738" s="221">
        <v>16040</v>
      </c>
    </row>
    <row r="739" spans="1:10" x14ac:dyDescent="0.3">
      <c r="A739" s="217">
        <v>735</v>
      </c>
      <c r="B739" s="217" t="s">
        <v>3002</v>
      </c>
      <c r="C739" s="218">
        <v>46203</v>
      </c>
      <c r="D739" s="219" t="s">
        <v>3003</v>
      </c>
      <c r="E739" s="218">
        <v>46203</v>
      </c>
      <c r="F739" s="219" t="s">
        <v>3004</v>
      </c>
      <c r="G739" s="220" t="s">
        <v>335</v>
      </c>
      <c r="H739" s="221">
        <v>13850</v>
      </c>
      <c r="I739" s="221">
        <v>32460</v>
      </c>
      <c r="J739" s="221">
        <v>18610</v>
      </c>
    </row>
    <row r="740" spans="1:10" x14ac:dyDescent="0.3">
      <c r="A740" s="217">
        <v>736</v>
      </c>
      <c r="B740" s="217" t="s">
        <v>3005</v>
      </c>
      <c r="C740" s="218">
        <v>46203</v>
      </c>
      <c r="D740" s="219" t="s">
        <v>3006</v>
      </c>
      <c r="E740" s="218">
        <v>46203</v>
      </c>
      <c r="F740" s="219" t="s">
        <v>3007</v>
      </c>
      <c r="G740" s="220" t="s">
        <v>336</v>
      </c>
      <c r="H740" s="221">
        <v>13790</v>
      </c>
      <c r="I740" s="221">
        <v>31040</v>
      </c>
      <c r="J740" s="221">
        <v>17250</v>
      </c>
    </row>
    <row r="741" spans="1:10" x14ac:dyDescent="0.3">
      <c r="A741" s="217">
        <v>737</v>
      </c>
      <c r="B741" s="217" t="s">
        <v>3008</v>
      </c>
      <c r="C741" s="218">
        <v>46203</v>
      </c>
      <c r="D741" s="219" t="s">
        <v>3009</v>
      </c>
      <c r="E741" s="218">
        <v>46203</v>
      </c>
      <c r="F741" s="219" t="s">
        <v>3010</v>
      </c>
      <c r="G741" s="220" t="s">
        <v>90</v>
      </c>
      <c r="H741" s="221">
        <v>13870</v>
      </c>
      <c r="I741" s="221">
        <v>29500</v>
      </c>
      <c r="J741" s="221">
        <v>15630</v>
      </c>
    </row>
    <row r="742" spans="1:10" x14ac:dyDescent="0.3">
      <c r="A742" s="217">
        <v>738</v>
      </c>
      <c r="B742" s="217" t="s">
        <v>3011</v>
      </c>
      <c r="C742" s="218">
        <v>46203</v>
      </c>
      <c r="D742" s="219" t="s">
        <v>3012</v>
      </c>
      <c r="E742" s="218">
        <v>46203</v>
      </c>
      <c r="F742" s="219" t="s">
        <v>3013</v>
      </c>
      <c r="G742" s="220" t="s">
        <v>537</v>
      </c>
      <c r="H742" s="221">
        <v>13940</v>
      </c>
      <c r="I742" s="221">
        <v>33620</v>
      </c>
      <c r="J742" s="221">
        <v>19680</v>
      </c>
    </row>
    <row r="743" spans="1:10" x14ac:dyDescent="0.3">
      <c r="A743" s="217">
        <v>739</v>
      </c>
      <c r="B743" s="217" t="s">
        <v>3014</v>
      </c>
      <c r="C743" s="218">
        <v>46203</v>
      </c>
      <c r="D743" s="219" t="s">
        <v>3015</v>
      </c>
      <c r="E743" s="218">
        <v>46203</v>
      </c>
      <c r="F743" s="219" t="s">
        <v>3016</v>
      </c>
      <c r="G743" s="220" t="s">
        <v>43</v>
      </c>
      <c r="H743" s="221">
        <v>13940</v>
      </c>
      <c r="I743" s="221">
        <v>34360</v>
      </c>
      <c r="J743" s="221">
        <v>20420</v>
      </c>
    </row>
    <row r="744" spans="1:10" x14ac:dyDescent="0.3">
      <c r="A744" s="217">
        <v>740</v>
      </c>
      <c r="B744" s="217" t="s">
        <v>3017</v>
      </c>
      <c r="C744" s="218">
        <v>46203</v>
      </c>
      <c r="D744" s="219" t="s">
        <v>3018</v>
      </c>
      <c r="E744" s="218">
        <v>46203</v>
      </c>
      <c r="F744" s="219" t="s">
        <v>3019</v>
      </c>
      <c r="G744" s="220" t="s">
        <v>64</v>
      </c>
      <c r="H744" s="221">
        <v>13920</v>
      </c>
      <c r="I744" s="221">
        <v>32860</v>
      </c>
      <c r="J744" s="221">
        <v>18940</v>
      </c>
    </row>
    <row r="745" spans="1:10" x14ac:dyDescent="0.3">
      <c r="A745" s="217">
        <v>741</v>
      </c>
      <c r="B745" s="217" t="s">
        <v>3020</v>
      </c>
      <c r="C745" s="218">
        <v>46203</v>
      </c>
      <c r="D745" s="219" t="s">
        <v>2560</v>
      </c>
      <c r="E745" s="218">
        <v>46203</v>
      </c>
      <c r="F745" s="219" t="s">
        <v>3021</v>
      </c>
      <c r="G745" s="220" t="s">
        <v>71</v>
      </c>
      <c r="H745" s="221">
        <v>13790</v>
      </c>
      <c r="I745" s="221">
        <v>33460</v>
      </c>
      <c r="J745" s="221">
        <v>19670</v>
      </c>
    </row>
    <row r="746" spans="1:10" x14ac:dyDescent="0.3">
      <c r="A746" s="217">
        <v>742</v>
      </c>
      <c r="B746" s="217" t="s">
        <v>3022</v>
      </c>
      <c r="C746" s="218">
        <v>46203</v>
      </c>
      <c r="D746" s="219" t="s">
        <v>3023</v>
      </c>
      <c r="E746" s="218">
        <v>46203</v>
      </c>
      <c r="F746" s="219" t="s">
        <v>3024</v>
      </c>
      <c r="G746" s="220" t="s">
        <v>337</v>
      </c>
      <c r="H746" s="221">
        <v>13850</v>
      </c>
      <c r="I746" s="221">
        <v>33870</v>
      </c>
      <c r="J746" s="221">
        <v>20020</v>
      </c>
    </row>
    <row r="747" spans="1:10" x14ac:dyDescent="0.3">
      <c r="A747" s="217">
        <v>743</v>
      </c>
      <c r="B747" s="217" t="s">
        <v>3025</v>
      </c>
      <c r="C747" s="218">
        <v>46203</v>
      </c>
      <c r="D747" s="219" t="s">
        <v>3026</v>
      </c>
      <c r="E747" s="218">
        <v>46203</v>
      </c>
      <c r="F747" s="219" t="s">
        <v>3027</v>
      </c>
      <c r="G747" s="220" t="s">
        <v>840</v>
      </c>
      <c r="H747" s="221">
        <v>14010</v>
      </c>
      <c r="I747" s="221">
        <v>33870</v>
      </c>
      <c r="J747" s="221">
        <v>19860</v>
      </c>
    </row>
    <row r="748" spans="1:10" x14ac:dyDescent="0.3">
      <c r="A748" s="217">
        <v>744</v>
      </c>
      <c r="B748" s="217" t="s">
        <v>3028</v>
      </c>
      <c r="C748" s="218">
        <v>46203</v>
      </c>
      <c r="D748" s="219" t="s">
        <v>3029</v>
      </c>
      <c r="E748" s="218">
        <v>46203</v>
      </c>
      <c r="F748" s="219" t="s">
        <v>3030</v>
      </c>
      <c r="G748" s="220" t="s">
        <v>55</v>
      </c>
      <c r="H748" s="221">
        <v>13760</v>
      </c>
      <c r="I748" s="221">
        <v>33320</v>
      </c>
      <c r="J748" s="221">
        <v>19560</v>
      </c>
    </row>
    <row r="749" spans="1:10" x14ac:dyDescent="0.3">
      <c r="A749" s="217">
        <v>745</v>
      </c>
      <c r="B749" s="217" t="s">
        <v>3031</v>
      </c>
      <c r="C749" s="218">
        <v>46203</v>
      </c>
      <c r="D749" s="219" t="s">
        <v>3032</v>
      </c>
      <c r="E749" s="218">
        <v>46203</v>
      </c>
      <c r="F749" s="219" t="s">
        <v>3033</v>
      </c>
      <c r="G749" s="220" t="s">
        <v>843</v>
      </c>
      <c r="H749" s="221">
        <v>14050</v>
      </c>
      <c r="I749" s="221">
        <v>33790</v>
      </c>
      <c r="J749" s="221">
        <v>19740</v>
      </c>
    </row>
    <row r="750" spans="1:10" x14ac:dyDescent="0.3">
      <c r="A750" s="217">
        <v>746</v>
      </c>
      <c r="B750" s="217" t="s">
        <v>3034</v>
      </c>
      <c r="C750" s="218">
        <v>46203</v>
      </c>
      <c r="D750" s="219" t="s">
        <v>3035</v>
      </c>
      <c r="E750" s="218">
        <v>46203</v>
      </c>
      <c r="F750" s="219" t="s">
        <v>3036</v>
      </c>
      <c r="G750" s="220" t="s">
        <v>143</v>
      </c>
      <c r="H750" s="221">
        <v>13810</v>
      </c>
      <c r="I750" s="221">
        <v>32350</v>
      </c>
      <c r="J750" s="221">
        <v>18540</v>
      </c>
    </row>
    <row r="751" spans="1:10" x14ac:dyDescent="0.3">
      <c r="A751" s="217">
        <v>747</v>
      </c>
      <c r="B751" s="217" t="s">
        <v>3037</v>
      </c>
      <c r="C751" s="218">
        <v>46203</v>
      </c>
      <c r="D751" s="219" t="s">
        <v>3038</v>
      </c>
      <c r="E751" s="218">
        <v>46203</v>
      </c>
      <c r="F751" s="219" t="s">
        <v>3039</v>
      </c>
      <c r="G751" s="220" t="s">
        <v>80</v>
      </c>
      <c r="H751" s="221">
        <v>13930</v>
      </c>
      <c r="I751" s="221">
        <v>32590</v>
      </c>
      <c r="J751" s="221">
        <v>18660</v>
      </c>
    </row>
    <row r="752" spans="1:10" x14ac:dyDescent="0.3">
      <c r="A752" s="217">
        <v>748</v>
      </c>
      <c r="B752" s="217" t="s">
        <v>3040</v>
      </c>
      <c r="C752" s="218">
        <v>46203</v>
      </c>
      <c r="D752" s="219" t="s">
        <v>3041</v>
      </c>
      <c r="E752" s="218">
        <v>46203</v>
      </c>
      <c r="F752" s="219" t="s">
        <v>3042</v>
      </c>
      <c r="G752" s="220" t="s">
        <v>845</v>
      </c>
      <c r="H752" s="221">
        <v>13820</v>
      </c>
      <c r="I752" s="221">
        <v>32910</v>
      </c>
      <c r="J752" s="221">
        <v>19090</v>
      </c>
    </row>
    <row r="753" spans="1:10" x14ac:dyDescent="0.3">
      <c r="A753" s="217">
        <v>749</v>
      </c>
      <c r="B753" s="217" t="s">
        <v>3043</v>
      </c>
      <c r="C753" s="218">
        <v>46203</v>
      </c>
      <c r="D753" s="219" t="s">
        <v>3044</v>
      </c>
      <c r="E753" s="218">
        <v>46203</v>
      </c>
      <c r="F753" s="219" t="s">
        <v>3045</v>
      </c>
      <c r="G753" s="220" t="s">
        <v>335</v>
      </c>
      <c r="H753" s="221">
        <v>13770</v>
      </c>
      <c r="I753" s="221">
        <v>32900</v>
      </c>
      <c r="J753" s="221">
        <v>19130</v>
      </c>
    </row>
    <row r="754" spans="1:10" x14ac:dyDescent="0.3">
      <c r="A754" s="217">
        <v>750</v>
      </c>
      <c r="B754" s="217" t="s">
        <v>3046</v>
      </c>
      <c r="C754" s="218">
        <v>46203</v>
      </c>
      <c r="D754" s="219" t="s">
        <v>3047</v>
      </c>
      <c r="E754" s="218">
        <v>46203</v>
      </c>
      <c r="F754" s="219" t="s">
        <v>3048</v>
      </c>
      <c r="G754" s="220" t="s">
        <v>336</v>
      </c>
      <c r="H754" s="221">
        <v>13750</v>
      </c>
      <c r="I754" s="221">
        <v>33740</v>
      </c>
      <c r="J754" s="221">
        <v>19990</v>
      </c>
    </row>
    <row r="755" spans="1:10" x14ac:dyDescent="0.3">
      <c r="A755" s="217">
        <v>751</v>
      </c>
      <c r="B755" s="217" t="s">
        <v>3049</v>
      </c>
      <c r="C755" s="218">
        <v>46203</v>
      </c>
      <c r="D755" s="219" t="s">
        <v>3050</v>
      </c>
      <c r="E755" s="218">
        <v>46203</v>
      </c>
      <c r="F755" s="219" t="s">
        <v>3051</v>
      </c>
      <c r="G755" s="220" t="s">
        <v>90</v>
      </c>
      <c r="H755" s="221">
        <v>13830</v>
      </c>
      <c r="I755" s="221">
        <v>32770</v>
      </c>
      <c r="J755" s="221">
        <v>18940</v>
      </c>
    </row>
    <row r="756" spans="1:10" x14ac:dyDescent="0.3">
      <c r="A756" s="217">
        <v>752</v>
      </c>
      <c r="B756" s="217" t="s">
        <v>3052</v>
      </c>
      <c r="C756" s="218">
        <v>46203</v>
      </c>
      <c r="D756" s="219" t="s">
        <v>3053</v>
      </c>
      <c r="E756" s="218">
        <v>46203</v>
      </c>
      <c r="F756" s="219" t="s">
        <v>3054</v>
      </c>
      <c r="G756" s="220" t="s">
        <v>537</v>
      </c>
      <c r="H756" s="221">
        <v>13930</v>
      </c>
      <c r="I756" s="221">
        <v>33580</v>
      </c>
      <c r="J756" s="221">
        <v>19650</v>
      </c>
    </row>
    <row r="757" spans="1:10" x14ac:dyDescent="0.3">
      <c r="A757" s="217">
        <v>753</v>
      </c>
      <c r="B757" s="217" t="s">
        <v>3055</v>
      </c>
      <c r="C757" s="218">
        <v>46203</v>
      </c>
      <c r="D757" s="219" t="s">
        <v>3056</v>
      </c>
      <c r="E757" s="218">
        <v>46203</v>
      </c>
      <c r="F757" s="219" t="s">
        <v>3057</v>
      </c>
      <c r="G757" s="220" t="s">
        <v>43</v>
      </c>
      <c r="H757" s="221">
        <v>13930</v>
      </c>
      <c r="I757" s="221">
        <v>32510</v>
      </c>
      <c r="J757" s="221">
        <v>18580</v>
      </c>
    </row>
    <row r="758" spans="1:10" x14ac:dyDescent="0.3">
      <c r="A758" s="217">
        <v>754</v>
      </c>
      <c r="B758" s="217" t="s">
        <v>3058</v>
      </c>
      <c r="C758" s="218">
        <v>46203</v>
      </c>
      <c r="D758" s="219" t="s">
        <v>3059</v>
      </c>
      <c r="E758" s="218">
        <v>46203</v>
      </c>
      <c r="F758" s="219" t="s">
        <v>3060</v>
      </c>
      <c r="G758" s="220" t="s">
        <v>64</v>
      </c>
      <c r="H758" s="221">
        <v>13880</v>
      </c>
      <c r="I758" s="221">
        <v>32840</v>
      </c>
      <c r="J758" s="221">
        <v>18960</v>
      </c>
    </row>
    <row r="759" spans="1:10" x14ac:dyDescent="0.3">
      <c r="A759" s="217">
        <v>755</v>
      </c>
      <c r="B759" s="217" t="s">
        <v>3061</v>
      </c>
      <c r="C759" s="218">
        <v>46203</v>
      </c>
      <c r="D759" s="219" t="s">
        <v>852</v>
      </c>
      <c r="E759" s="218">
        <v>46203</v>
      </c>
      <c r="F759" s="219" t="s">
        <v>3062</v>
      </c>
      <c r="G759" s="220" t="s">
        <v>337</v>
      </c>
      <c r="H759" s="221">
        <v>13800</v>
      </c>
      <c r="I759" s="221">
        <v>30670</v>
      </c>
      <c r="J759" s="221">
        <v>16870</v>
      </c>
    </row>
    <row r="760" spans="1:10" x14ac:dyDescent="0.3">
      <c r="A760" s="217">
        <v>756</v>
      </c>
      <c r="B760" s="217" t="s">
        <v>3063</v>
      </c>
      <c r="C760" s="218">
        <v>46203</v>
      </c>
      <c r="D760" s="219" t="s">
        <v>3064</v>
      </c>
      <c r="E760" s="218">
        <v>46203</v>
      </c>
      <c r="F760" s="219" t="s">
        <v>3065</v>
      </c>
      <c r="G760" s="220" t="s">
        <v>55</v>
      </c>
      <c r="H760" s="221">
        <v>13710</v>
      </c>
      <c r="I760" s="221">
        <v>29690</v>
      </c>
      <c r="J760" s="221">
        <v>15980</v>
      </c>
    </row>
    <row r="761" spans="1:10" x14ac:dyDescent="0.3">
      <c r="A761" s="217">
        <v>757</v>
      </c>
      <c r="B761" s="217" t="s">
        <v>3066</v>
      </c>
      <c r="C761" s="218">
        <v>46203</v>
      </c>
      <c r="D761" s="219" t="s">
        <v>3067</v>
      </c>
      <c r="E761" s="218">
        <v>46203</v>
      </c>
      <c r="F761" s="219" t="s">
        <v>3068</v>
      </c>
      <c r="G761" s="220" t="s">
        <v>143</v>
      </c>
      <c r="H761" s="221">
        <v>13790</v>
      </c>
      <c r="I761" s="221">
        <v>29380</v>
      </c>
      <c r="J761" s="221">
        <v>15590</v>
      </c>
    </row>
    <row r="762" spans="1:10" x14ac:dyDescent="0.3">
      <c r="A762" s="217">
        <v>758</v>
      </c>
      <c r="B762" s="217" t="s">
        <v>3069</v>
      </c>
      <c r="C762" s="218">
        <v>46203</v>
      </c>
      <c r="D762" s="219" t="s">
        <v>3070</v>
      </c>
      <c r="E762" s="218">
        <v>46203</v>
      </c>
      <c r="F762" s="219" t="s">
        <v>3071</v>
      </c>
      <c r="G762" s="220" t="s">
        <v>843</v>
      </c>
      <c r="H762" s="221">
        <v>14010</v>
      </c>
      <c r="I762" s="221">
        <v>30180</v>
      </c>
      <c r="J762" s="221">
        <v>16170</v>
      </c>
    </row>
    <row r="763" spans="1:10" x14ac:dyDescent="0.3">
      <c r="A763" s="217">
        <v>759</v>
      </c>
      <c r="B763" s="217" t="s">
        <v>3072</v>
      </c>
      <c r="C763" s="218">
        <v>46203</v>
      </c>
      <c r="D763" s="219" t="s">
        <v>3073</v>
      </c>
      <c r="E763" s="218">
        <v>46203</v>
      </c>
      <c r="F763" s="219" t="s">
        <v>3074</v>
      </c>
      <c r="G763" s="220" t="s">
        <v>80</v>
      </c>
      <c r="H763" s="221">
        <v>14250</v>
      </c>
      <c r="I763" s="221">
        <v>30580</v>
      </c>
      <c r="J763" s="221">
        <v>16330</v>
      </c>
    </row>
    <row r="764" spans="1:10" x14ac:dyDescent="0.3">
      <c r="A764" s="217">
        <v>760</v>
      </c>
      <c r="B764" s="217" t="s">
        <v>3075</v>
      </c>
      <c r="C764" s="218">
        <v>46203</v>
      </c>
      <c r="D764" s="219" t="s">
        <v>3076</v>
      </c>
      <c r="E764" s="218">
        <v>46203</v>
      </c>
      <c r="F764" s="219" t="s">
        <v>3077</v>
      </c>
      <c r="G764" s="220" t="s">
        <v>335</v>
      </c>
      <c r="H764" s="221">
        <v>13750</v>
      </c>
      <c r="I764" s="221">
        <v>28460</v>
      </c>
      <c r="J764" s="221">
        <v>14710</v>
      </c>
    </row>
    <row r="765" spans="1:10" x14ac:dyDescent="0.3">
      <c r="A765" s="217">
        <v>761</v>
      </c>
      <c r="B765" s="217" t="s">
        <v>3078</v>
      </c>
      <c r="C765" s="218">
        <v>46203</v>
      </c>
      <c r="D765" s="219" t="s">
        <v>3079</v>
      </c>
      <c r="E765" s="218">
        <v>46203</v>
      </c>
      <c r="F765" s="219" t="s">
        <v>3080</v>
      </c>
      <c r="G765" s="220" t="s">
        <v>845</v>
      </c>
      <c r="H765" s="221">
        <v>13990</v>
      </c>
      <c r="I765" s="221">
        <v>29670</v>
      </c>
      <c r="J765" s="221">
        <v>15680</v>
      </c>
    </row>
    <row r="766" spans="1:10" x14ac:dyDescent="0.3">
      <c r="A766" s="312" t="s">
        <v>320</v>
      </c>
      <c r="B766" s="312"/>
      <c r="C766" s="312"/>
      <c r="D766" s="312"/>
      <c r="E766" s="312"/>
      <c r="F766" s="312"/>
      <c r="G766" s="312"/>
      <c r="H766" s="312"/>
      <c r="I766" s="312"/>
      <c r="J766" s="222">
        <f>SUM(J5:J765)</f>
        <v>14093420</v>
      </c>
    </row>
    <row r="767" spans="1:10" x14ac:dyDescent="0.3">
      <c r="A767" s="142"/>
      <c r="B767" s="142"/>
      <c r="C767" s="129"/>
      <c r="D767" s="120"/>
      <c r="E767" s="120"/>
      <c r="F767" s="120"/>
      <c r="G767" s="309" t="s">
        <v>3082</v>
      </c>
      <c r="H767" s="309"/>
      <c r="I767" s="309"/>
      <c r="J767" s="309"/>
    </row>
    <row r="768" spans="1:10" x14ac:dyDescent="0.3">
      <c r="A768" s="310" t="s">
        <v>333</v>
      </c>
      <c r="B768" s="310"/>
      <c r="C768" s="310"/>
      <c r="D768" s="310"/>
      <c r="E768" s="310"/>
      <c r="F768" s="310"/>
      <c r="G768" s="303" t="s">
        <v>45</v>
      </c>
      <c r="H768" s="303"/>
      <c r="I768" s="303"/>
      <c r="J768" s="303"/>
    </row>
    <row r="769" spans="1:10" x14ac:dyDescent="0.3">
      <c r="A769" s="143"/>
      <c r="B769" s="303" t="s">
        <v>830</v>
      </c>
      <c r="C769" s="303"/>
      <c r="D769" s="303" t="s">
        <v>325</v>
      </c>
      <c r="E769" s="303"/>
      <c r="F769" s="223"/>
      <c r="G769" s="303" t="s">
        <v>831</v>
      </c>
      <c r="H769" s="303"/>
      <c r="I769" s="303" t="s">
        <v>325</v>
      </c>
      <c r="J769" s="303"/>
    </row>
    <row r="770" spans="1:10" x14ac:dyDescent="0.3">
      <c r="A770" s="144"/>
      <c r="B770" s="144"/>
      <c r="C770" s="224"/>
      <c r="D770" s="123"/>
      <c r="E770" s="123"/>
      <c r="F770" s="123"/>
      <c r="G770" s="123"/>
      <c r="H770" s="225"/>
      <c r="I770" s="225"/>
      <c r="J770" s="123"/>
    </row>
    <row r="771" spans="1:10" x14ac:dyDescent="0.3">
      <c r="A771" s="144"/>
      <c r="B771" s="144"/>
      <c r="C771" s="224"/>
      <c r="D771" s="123"/>
      <c r="E771" s="123"/>
      <c r="F771" s="123"/>
      <c r="G771" s="123"/>
      <c r="H771" s="225"/>
      <c r="I771" s="225"/>
      <c r="J771" s="123"/>
    </row>
    <row r="772" spans="1:10" x14ac:dyDescent="0.3">
      <c r="A772" s="144"/>
      <c r="B772" s="144"/>
      <c r="C772" s="224"/>
      <c r="D772" s="123"/>
      <c r="E772" s="123"/>
      <c r="F772" s="123"/>
      <c r="G772" s="123"/>
      <c r="H772" s="225"/>
      <c r="I772" s="225"/>
      <c r="J772" s="123"/>
    </row>
    <row r="773" spans="1:10" x14ac:dyDescent="0.3">
      <c r="A773" s="144"/>
      <c r="B773" s="303"/>
      <c r="C773" s="303"/>
      <c r="D773" s="303" t="s">
        <v>837</v>
      </c>
      <c r="E773" s="303"/>
      <c r="F773" s="123"/>
      <c r="G773" s="123"/>
      <c r="H773" s="225"/>
      <c r="I773" s="225"/>
      <c r="J773" s="123"/>
    </row>
    <row r="774" spans="1:10" x14ac:dyDescent="0.3">
      <c r="A774" s="145"/>
      <c r="B774" s="303" t="s">
        <v>833</v>
      </c>
      <c r="C774" s="303"/>
      <c r="D774" s="303"/>
      <c r="E774" s="303"/>
      <c r="F774" s="122"/>
      <c r="G774" s="303" t="s">
        <v>834</v>
      </c>
      <c r="H774" s="303"/>
      <c r="I774" s="304" t="s">
        <v>832</v>
      </c>
      <c r="J774" s="304"/>
    </row>
  </sheetData>
  <mergeCells count="16">
    <mergeCell ref="B769:C769"/>
    <mergeCell ref="D769:E769"/>
    <mergeCell ref="G769:H769"/>
    <mergeCell ref="I769:J769"/>
    <mergeCell ref="B773:C773"/>
    <mergeCell ref="D773:E774"/>
    <mergeCell ref="B774:C774"/>
    <mergeCell ref="G774:H774"/>
    <mergeCell ref="I774:J774"/>
    <mergeCell ref="A768:F768"/>
    <mergeCell ref="G768:J768"/>
    <mergeCell ref="A1:F1"/>
    <mergeCell ref="A2:F2"/>
    <mergeCell ref="A3:J3"/>
    <mergeCell ref="A766:I766"/>
    <mergeCell ref="G767:J767"/>
  </mergeCells>
  <pageMargins left="0.7" right="0.7" top="0.75" bottom="0.75" header="0.3" footer="0.3"/>
  <pageSetup paperSize="9" scale="62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E322-80EB-45E6-A524-E5A30D666C1D}">
  <dimension ref="A1:I33"/>
  <sheetViews>
    <sheetView zoomScaleNormal="100" workbookViewId="0">
      <selection activeCell="E7" sqref="E7"/>
    </sheetView>
  </sheetViews>
  <sheetFormatPr defaultColWidth="7.77734375" defaultRowHeight="18.75" x14ac:dyDescent="0.3"/>
  <cols>
    <col min="1" max="1" width="14.5546875" style="229" customWidth="1"/>
    <col min="2" max="2" width="14.77734375" style="230" customWidth="1"/>
    <col min="3" max="3" width="9.33203125" style="228" customWidth="1"/>
    <col min="4" max="4" width="10.21875" style="228" customWidth="1"/>
    <col min="5" max="5" width="16.88671875" style="228" customWidth="1"/>
    <col min="6" max="6" width="16.109375" style="228" customWidth="1"/>
    <col min="7" max="7" width="20.33203125" style="228" customWidth="1"/>
    <col min="8" max="16384" width="7.77734375" style="228"/>
  </cols>
  <sheetData>
    <row r="1" spans="1:8" ht="27" customHeight="1" x14ac:dyDescent="0.3">
      <c r="A1" s="314" t="s">
        <v>3084</v>
      </c>
      <c r="B1" s="314"/>
      <c r="C1" s="314"/>
      <c r="D1" s="314"/>
      <c r="E1" s="314"/>
      <c r="F1" s="314"/>
      <c r="G1" s="314"/>
      <c r="H1" s="251"/>
    </row>
    <row r="2" spans="1:8" s="253" customFormat="1" ht="30.75" customHeight="1" x14ac:dyDescent="0.3">
      <c r="A2" s="252" t="s">
        <v>15</v>
      </c>
      <c r="B2" s="253" t="s">
        <v>22</v>
      </c>
      <c r="C2" s="253" t="s">
        <v>16</v>
      </c>
      <c r="D2" s="253" t="s">
        <v>18</v>
      </c>
      <c r="E2" s="253" t="s">
        <v>19</v>
      </c>
      <c r="F2" s="253" t="s">
        <v>20</v>
      </c>
      <c r="G2" s="253" t="s">
        <v>24</v>
      </c>
      <c r="H2" s="254"/>
    </row>
    <row r="3" spans="1:8" ht="24" customHeight="1" x14ac:dyDescent="0.3">
      <c r="A3" s="218">
        <v>46230</v>
      </c>
      <c r="B3" s="231" t="s">
        <v>3108</v>
      </c>
      <c r="C3" s="228" t="s">
        <v>334</v>
      </c>
      <c r="D3" s="232">
        <v>75</v>
      </c>
      <c r="E3" s="255">
        <v>25760</v>
      </c>
      <c r="F3" s="256">
        <v>46226</v>
      </c>
      <c r="G3" s="228" t="s">
        <v>527</v>
      </c>
      <c r="H3" s="251"/>
    </row>
    <row r="4" spans="1:8" ht="24" customHeight="1" x14ac:dyDescent="0.3">
      <c r="A4" s="218">
        <v>46230</v>
      </c>
      <c r="B4" s="231" t="s">
        <v>3108</v>
      </c>
      <c r="C4" s="228" t="s">
        <v>334</v>
      </c>
      <c r="D4" s="232">
        <v>396</v>
      </c>
      <c r="E4" s="255">
        <v>25760</v>
      </c>
      <c r="F4" s="256">
        <v>46226</v>
      </c>
      <c r="G4" s="228" t="s">
        <v>527</v>
      </c>
      <c r="H4" s="251"/>
    </row>
    <row r="5" spans="1:8" ht="24" customHeight="1" x14ac:dyDescent="0.3">
      <c r="A5" s="218">
        <v>46230</v>
      </c>
      <c r="B5" s="231" t="s">
        <v>310</v>
      </c>
      <c r="C5" s="228" t="s">
        <v>334</v>
      </c>
      <c r="D5" s="232">
        <v>291</v>
      </c>
      <c r="E5" s="255">
        <v>25760</v>
      </c>
      <c r="F5" s="256">
        <v>46226</v>
      </c>
      <c r="G5" s="228" t="s">
        <v>527</v>
      </c>
      <c r="H5" s="251"/>
    </row>
    <row r="6" spans="1:8" ht="24" customHeight="1" x14ac:dyDescent="0.3">
      <c r="A6" s="218">
        <v>46230</v>
      </c>
      <c r="B6" s="231" t="s">
        <v>3104</v>
      </c>
      <c r="C6" s="228" t="s">
        <v>334</v>
      </c>
      <c r="D6" s="232">
        <v>349</v>
      </c>
      <c r="E6" s="255">
        <v>25760</v>
      </c>
      <c r="F6" s="256">
        <v>46226</v>
      </c>
      <c r="G6" s="228" t="s">
        <v>527</v>
      </c>
      <c r="H6" s="251"/>
    </row>
    <row r="7" spans="1:8" ht="24" customHeight="1" x14ac:dyDescent="0.3">
      <c r="A7" s="218">
        <v>46230</v>
      </c>
      <c r="B7" s="231" t="s">
        <v>3107</v>
      </c>
      <c r="C7" s="228" t="s">
        <v>334</v>
      </c>
      <c r="D7" s="232">
        <v>440</v>
      </c>
      <c r="E7" s="255">
        <v>25760</v>
      </c>
      <c r="F7" s="256">
        <v>46226</v>
      </c>
      <c r="G7" s="228" t="s">
        <v>527</v>
      </c>
      <c r="H7" s="251"/>
    </row>
    <row r="8" spans="1:8" ht="24" customHeight="1" x14ac:dyDescent="0.3">
      <c r="A8" s="218">
        <v>46230</v>
      </c>
      <c r="B8" s="231" t="s">
        <v>301</v>
      </c>
      <c r="C8" s="228" t="s">
        <v>334</v>
      </c>
      <c r="D8" s="232">
        <v>204</v>
      </c>
      <c r="E8" s="255">
        <v>25760</v>
      </c>
      <c r="F8" s="256">
        <v>46226</v>
      </c>
      <c r="G8" s="228" t="s">
        <v>527</v>
      </c>
      <c r="H8" s="251"/>
    </row>
    <row r="9" spans="1:8" ht="24" customHeight="1" x14ac:dyDescent="0.3">
      <c r="A9" s="218">
        <v>46230</v>
      </c>
      <c r="B9" s="231" t="s">
        <v>3103</v>
      </c>
      <c r="C9" s="228" t="s">
        <v>334</v>
      </c>
      <c r="D9" s="232">
        <v>238</v>
      </c>
      <c r="E9" s="255">
        <v>25760</v>
      </c>
      <c r="F9" s="256">
        <v>46226</v>
      </c>
      <c r="G9" s="228" t="s">
        <v>527</v>
      </c>
      <c r="H9" s="251"/>
    </row>
    <row r="10" spans="1:8" ht="24" customHeight="1" x14ac:dyDescent="0.3">
      <c r="A10" s="218">
        <v>46231</v>
      </c>
      <c r="B10" s="231" t="s">
        <v>3106</v>
      </c>
      <c r="C10" s="228" t="s">
        <v>334</v>
      </c>
      <c r="D10" s="232">
        <v>394</v>
      </c>
      <c r="E10" s="255">
        <v>25760</v>
      </c>
      <c r="F10" s="256">
        <v>46226</v>
      </c>
      <c r="G10" s="228" t="s">
        <v>527</v>
      </c>
      <c r="H10" s="251"/>
    </row>
    <row r="11" spans="1:8" ht="24" customHeight="1" x14ac:dyDescent="0.3">
      <c r="A11" s="218">
        <v>46231</v>
      </c>
      <c r="B11" s="231" t="s">
        <v>304</v>
      </c>
      <c r="C11" s="228" t="s">
        <v>334</v>
      </c>
      <c r="D11" s="232">
        <v>401</v>
      </c>
      <c r="E11" s="255">
        <v>25760</v>
      </c>
      <c r="F11" s="256">
        <v>46226</v>
      </c>
      <c r="G11" s="228" t="s">
        <v>527</v>
      </c>
      <c r="H11" s="251"/>
    </row>
    <row r="12" spans="1:8" ht="24" customHeight="1" x14ac:dyDescent="0.3">
      <c r="A12" s="218">
        <v>46231</v>
      </c>
      <c r="B12" s="231" t="s">
        <v>310</v>
      </c>
      <c r="C12" s="228" t="s">
        <v>334</v>
      </c>
      <c r="D12" s="232">
        <v>264</v>
      </c>
      <c r="E12" s="255">
        <v>25760</v>
      </c>
      <c r="F12" s="256">
        <v>46226</v>
      </c>
      <c r="G12" s="228" t="s">
        <v>527</v>
      </c>
      <c r="H12" s="251"/>
    </row>
    <row r="13" spans="1:8" ht="24" customHeight="1" x14ac:dyDescent="0.3">
      <c r="A13" s="218">
        <v>46231</v>
      </c>
      <c r="B13" s="231" t="s">
        <v>3110</v>
      </c>
      <c r="C13" s="228" t="s">
        <v>334</v>
      </c>
      <c r="D13" s="232">
        <v>324</v>
      </c>
      <c r="E13" s="255">
        <v>25760</v>
      </c>
      <c r="F13" s="256">
        <v>46226</v>
      </c>
      <c r="G13" s="228" t="s">
        <v>527</v>
      </c>
      <c r="H13" s="251"/>
    </row>
    <row r="14" spans="1:8" ht="24" customHeight="1" x14ac:dyDescent="0.3">
      <c r="A14" s="218">
        <v>46231</v>
      </c>
      <c r="B14" s="231" t="s">
        <v>3104</v>
      </c>
      <c r="C14" s="228" t="s">
        <v>334</v>
      </c>
      <c r="D14" s="232">
        <v>377</v>
      </c>
      <c r="E14" s="255">
        <v>25760</v>
      </c>
      <c r="F14" s="256">
        <v>46226</v>
      </c>
      <c r="G14" s="228" t="s">
        <v>527</v>
      </c>
      <c r="H14" s="251"/>
    </row>
    <row r="15" spans="1:8" ht="24" customHeight="1" x14ac:dyDescent="0.3">
      <c r="A15" s="218">
        <v>46232</v>
      </c>
      <c r="B15" s="231" t="s">
        <v>3109</v>
      </c>
      <c r="C15" s="228" t="s">
        <v>334</v>
      </c>
      <c r="D15" s="232">
        <v>454</v>
      </c>
      <c r="E15" s="255">
        <v>25760</v>
      </c>
      <c r="F15" s="256">
        <v>46226</v>
      </c>
      <c r="G15" s="228" t="s">
        <v>527</v>
      </c>
      <c r="H15" s="251"/>
    </row>
    <row r="16" spans="1:8" ht="24" customHeight="1" x14ac:dyDescent="0.3">
      <c r="A16" s="218">
        <v>46232</v>
      </c>
      <c r="B16" s="231" t="s">
        <v>4032</v>
      </c>
      <c r="C16" s="228" t="s">
        <v>334</v>
      </c>
      <c r="D16" s="232">
        <v>420</v>
      </c>
      <c r="E16" s="255">
        <v>25760</v>
      </c>
      <c r="F16" s="256">
        <v>46226</v>
      </c>
      <c r="G16" s="228" t="s">
        <v>527</v>
      </c>
      <c r="H16" s="251"/>
    </row>
    <row r="17" spans="1:9" ht="24" customHeight="1" x14ac:dyDescent="0.3">
      <c r="A17" s="218">
        <v>46232</v>
      </c>
      <c r="B17" s="231" t="s">
        <v>3103</v>
      </c>
      <c r="C17" s="228" t="s">
        <v>334</v>
      </c>
      <c r="D17" s="232">
        <v>363</v>
      </c>
      <c r="E17" s="255">
        <v>25760</v>
      </c>
      <c r="F17" s="256">
        <v>46226</v>
      </c>
      <c r="G17" s="228" t="s">
        <v>527</v>
      </c>
      <c r="H17" s="251"/>
    </row>
    <row r="18" spans="1:9" ht="24" customHeight="1" x14ac:dyDescent="0.3">
      <c r="A18" s="218">
        <v>46232</v>
      </c>
      <c r="B18" s="231" t="s">
        <v>3108</v>
      </c>
      <c r="C18" s="228" t="s">
        <v>334</v>
      </c>
      <c r="D18" s="232">
        <v>478</v>
      </c>
      <c r="E18" s="255">
        <v>25760</v>
      </c>
      <c r="F18" s="256">
        <v>46226</v>
      </c>
      <c r="G18" s="228" t="s">
        <v>527</v>
      </c>
      <c r="H18" s="251"/>
    </row>
    <row r="19" spans="1:9" ht="24" customHeight="1" x14ac:dyDescent="0.3">
      <c r="A19" s="218">
        <v>46232</v>
      </c>
      <c r="B19" s="231" t="s">
        <v>301</v>
      </c>
      <c r="C19" s="228" t="s">
        <v>334</v>
      </c>
      <c r="D19" s="232">
        <v>366</v>
      </c>
      <c r="E19" s="255">
        <v>25760</v>
      </c>
      <c r="F19" s="256">
        <v>46226</v>
      </c>
      <c r="G19" s="228" t="s">
        <v>527</v>
      </c>
      <c r="H19" s="251"/>
    </row>
    <row r="20" spans="1:9" ht="24" customHeight="1" x14ac:dyDescent="0.3">
      <c r="A20" s="218">
        <v>46232</v>
      </c>
      <c r="B20" s="231" t="s">
        <v>3105</v>
      </c>
      <c r="C20" s="228" t="s">
        <v>334</v>
      </c>
      <c r="D20" s="232">
        <v>104</v>
      </c>
      <c r="E20" s="255">
        <v>25760</v>
      </c>
      <c r="F20" s="256">
        <v>46226</v>
      </c>
      <c r="G20" s="228" t="s">
        <v>527</v>
      </c>
      <c r="H20" s="251"/>
    </row>
    <row r="21" spans="1:9" ht="24" customHeight="1" x14ac:dyDescent="0.3">
      <c r="A21" s="218">
        <v>46234</v>
      </c>
      <c r="B21" s="231" t="s">
        <v>3108</v>
      </c>
      <c r="C21" s="228" t="s">
        <v>334</v>
      </c>
      <c r="D21" s="232">
        <v>431</v>
      </c>
      <c r="E21" s="255">
        <v>25760</v>
      </c>
      <c r="F21" s="256">
        <v>46226</v>
      </c>
      <c r="G21" s="228" t="s">
        <v>527</v>
      </c>
      <c r="H21" s="251"/>
    </row>
    <row r="22" spans="1:9" ht="24" customHeight="1" x14ac:dyDescent="0.3">
      <c r="A22" s="218">
        <v>46234</v>
      </c>
      <c r="B22" s="231" t="s">
        <v>307</v>
      </c>
      <c r="C22" s="228" t="s">
        <v>334</v>
      </c>
      <c r="D22" s="232">
        <v>309</v>
      </c>
      <c r="E22" s="255">
        <v>25760</v>
      </c>
      <c r="F22" s="256">
        <v>46226</v>
      </c>
      <c r="G22" s="228" t="s">
        <v>527</v>
      </c>
      <c r="H22" s="251"/>
    </row>
    <row r="23" spans="1:9" ht="24" customHeight="1" x14ac:dyDescent="0.3">
      <c r="A23" s="218">
        <v>46234</v>
      </c>
      <c r="B23" s="231" t="s">
        <v>4032</v>
      </c>
      <c r="C23" s="228" t="s">
        <v>334</v>
      </c>
      <c r="D23" s="232">
        <v>191</v>
      </c>
      <c r="E23" s="255">
        <v>25760</v>
      </c>
      <c r="F23" s="256">
        <v>46226</v>
      </c>
      <c r="G23" s="228" t="s">
        <v>527</v>
      </c>
      <c r="H23" s="251"/>
    </row>
    <row r="24" spans="1:9" ht="24" customHeight="1" x14ac:dyDescent="0.3">
      <c r="A24" s="218">
        <v>46234</v>
      </c>
      <c r="B24" s="231" t="s">
        <v>4032</v>
      </c>
      <c r="C24" s="228" t="s">
        <v>334</v>
      </c>
      <c r="D24" s="232">
        <v>264</v>
      </c>
      <c r="E24" s="255">
        <v>25760</v>
      </c>
      <c r="F24" s="256">
        <v>46226</v>
      </c>
      <c r="G24" s="228" t="s">
        <v>527</v>
      </c>
      <c r="H24" s="251"/>
    </row>
    <row r="25" spans="1:9" s="197" customFormat="1" x14ac:dyDescent="0.3">
      <c r="A25" s="257" t="s">
        <v>320</v>
      </c>
      <c r="B25" s="258"/>
      <c r="C25" s="258"/>
      <c r="D25" s="263">
        <f>SUBTOTAL(109,TBL_GIAONHANDAU7[Số lượng (lít)])</f>
        <v>7133</v>
      </c>
      <c r="E25" s="228"/>
      <c r="F25" s="230"/>
      <c r="G25" s="228"/>
    </row>
    <row r="26" spans="1:9" s="197" customFormat="1" x14ac:dyDescent="0.3">
      <c r="A26" s="259"/>
      <c r="D26" s="260"/>
      <c r="F26" s="261"/>
    </row>
    <row r="27" spans="1:9" customFormat="1" x14ac:dyDescent="0.3">
      <c r="A27" s="238" t="s">
        <v>333</v>
      </c>
      <c r="B27" s="238"/>
      <c r="C27" s="238"/>
      <c r="D27" s="238"/>
      <c r="E27" s="287" t="s">
        <v>45</v>
      </c>
      <c r="F27" s="287"/>
      <c r="G27" s="287"/>
      <c r="H27" s="287"/>
      <c r="I27" s="240"/>
    </row>
    <row r="28" spans="1:9" customFormat="1" x14ac:dyDescent="0.3">
      <c r="A28" s="287" t="s">
        <v>830</v>
      </c>
      <c r="B28" s="287"/>
      <c r="C28" s="287" t="s">
        <v>325</v>
      </c>
      <c r="D28" s="287"/>
      <c r="E28" s="287" t="s">
        <v>831</v>
      </c>
      <c r="F28" s="287"/>
      <c r="G28" s="287" t="s">
        <v>325</v>
      </c>
      <c r="H28" s="287"/>
    </row>
    <row r="29" spans="1:9" customFormat="1" x14ac:dyDescent="0.3">
      <c r="A29" s="239"/>
      <c r="B29" s="239"/>
      <c r="C29" s="239"/>
      <c r="D29" s="239"/>
      <c r="E29" s="239"/>
      <c r="F29" s="239"/>
      <c r="G29" s="239"/>
      <c r="H29" s="239"/>
    </row>
    <row r="30" spans="1:9" customFormat="1" x14ac:dyDescent="0.3">
      <c r="A30" s="239"/>
      <c r="B30" s="239"/>
      <c r="C30" s="239"/>
      <c r="D30" s="239"/>
      <c r="E30" s="239"/>
      <c r="F30" s="239"/>
      <c r="G30" s="239"/>
      <c r="H30" s="239"/>
    </row>
    <row r="31" spans="1:9" customFormat="1" x14ac:dyDescent="0.3">
      <c r="A31" s="241"/>
      <c r="B31" s="241"/>
      <c r="C31" s="241"/>
      <c r="D31" s="241"/>
      <c r="F31" s="241"/>
      <c r="G31" s="241"/>
      <c r="H31" s="262"/>
    </row>
    <row r="32" spans="1:9" customFormat="1" x14ac:dyDescent="0.3">
      <c r="A32" s="241"/>
      <c r="B32" s="241"/>
      <c r="C32" s="241"/>
      <c r="D32" s="241"/>
      <c r="F32" s="241"/>
      <c r="G32" s="241"/>
      <c r="H32" s="262"/>
    </row>
    <row r="33" spans="1:8" customFormat="1" x14ac:dyDescent="0.3">
      <c r="A33" s="287" t="s">
        <v>833</v>
      </c>
      <c r="B33" s="287"/>
      <c r="C33" s="287" t="s">
        <v>837</v>
      </c>
      <c r="D33" s="287"/>
      <c r="E33" s="287" t="s">
        <v>834</v>
      </c>
      <c r="F33" s="287"/>
      <c r="G33" s="313" t="s">
        <v>832</v>
      </c>
      <c r="H33" s="313"/>
    </row>
  </sheetData>
  <mergeCells count="10">
    <mergeCell ref="A33:B33"/>
    <mergeCell ref="C33:D33"/>
    <mergeCell ref="E33:F33"/>
    <mergeCell ref="G33:H33"/>
    <mergeCell ref="A1:G1"/>
    <mergeCell ref="E27:H27"/>
    <mergeCell ref="A28:B28"/>
    <mergeCell ref="C28:D28"/>
    <mergeCell ref="E28:F28"/>
    <mergeCell ref="G28:H28"/>
  </mergeCells>
  <pageMargins left="0.7" right="0.7" top="0.75" bottom="0.75" header="0.3" footer="0.3"/>
  <pageSetup paperSize="9" scale="63" orientation="portrait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649B-C74D-417F-87B8-15144F4F79D9}">
  <dimension ref="A1:J335"/>
  <sheetViews>
    <sheetView topLeftCell="A295" zoomScaleNormal="100" workbookViewId="0">
      <selection activeCell="G331" sqref="G331"/>
    </sheetView>
  </sheetViews>
  <sheetFormatPr defaultRowHeight="18.75" x14ac:dyDescent="0.3"/>
  <cols>
    <col min="1" max="1" width="7.33203125" customWidth="1"/>
    <col min="3" max="3" width="10.77734375" style="226" customWidth="1"/>
    <col min="4" max="4" width="10.44140625" style="226" customWidth="1"/>
    <col min="5" max="5" width="11.44140625" style="226" customWidth="1"/>
    <col min="6" max="6" width="11.109375" style="226" customWidth="1"/>
    <col min="7" max="7" width="12.77734375" customWidth="1"/>
    <col min="8" max="9" width="11.6640625" customWidth="1"/>
    <col min="10" max="10" width="13.5546875" customWidth="1"/>
  </cols>
  <sheetData>
    <row r="1" spans="1:10" x14ac:dyDescent="0.3">
      <c r="A1" s="315" t="s">
        <v>333</v>
      </c>
      <c r="B1" s="315"/>
      <c r="C1" s="315"/>
      <c r="D1" s="315"/>
      <c r="E1" s="315"/>
      <c r="F1" s="315"/>
    </row>
    <row r="2" spans="1:10" x14ac:dyDescent="0.3">
      <c r="A2" s="315" t="s">
        <v>835</v>
      </c>
      <c r="B2" s="315"/>
      <c r="C2" s="315"/>
      <c r="D2" s="315"/>
      <c r="E2" s="315"/>
      <c r="F2" s="315"/>
    </row>
    <row r="3" spans="1:10" ht="60.75" customHeight="1" x14ac:dyDescent="0.3">
      <c r="A3" s="306" t="s">
        <v>4035</v>
      </c>
      <c r="B3" s="307"/>
      <c r="C3" s="307"/>
      <c r="D3" s="307"/>
      <c r="E3" s="307"/>
      <c r="F3" s="307"/>
      <c r="G3" s="307"/>
      <c r="H3" s="307"/>
      <c r="I3" s="307"/>
      <c r="J3" s="307"/>
    </row>
    <row r="4" spans="1:10" x14ac:dyDescent="0.3">
      <c r="A4" s="160" t="s">
        <v>0</v>
      </c>
      <c r="B4" s="160" t="s">
        <v>1</v>
      </c>
      <c r="C4" s="160" t="s">
        <v>2</v>
      </c>
      <c r="D4" s="160" t="s">
        <v>3</v>
      </c>
      <c r="E4" s="160" t="s">
        <v>4</v>
      </c>
      <c r="F4" s="160" t="s">
        <v>5</v>
      </c>
      <c r="G4" s="161" t="s">
        <v>6</v>
      </c>
      <c r="H4" s="161" t="s">
        <v>7</v>
      </c>
      <c r="I4" s="161" t="s">
        <v>8</v>
      </c>
      <c r="J4" s="161" t="s">
        <v>9</v>
      </c>
    </row>
    <row r="5" spans="1:10" x14ac:dyDescent="0.3">
      <c r="A5" s="217">
        <v>1</v>
      </c>
      <c r="B5" s="217" t="s">
        <v>3113</v>
      </c>
      <c r="C5" s="218">
        <v>46230</v>
      </c>
      <c r="D5" s="219" t="s">
        <v>3114</v>
      </c>
      <c r="E5" s="218">
        <v>46230</v>
      </c>
      <c r="F5" s="219" t="s">
        <v>3115</v>
      </c>
      <c r="G5" s="220" t="s">
        <v>335</v>
      </c>
      <c r="H5" s="221">
        <v>14010</v>
      </c>
      <c r="I5" s="221">
        <v>31810</v>
      </c>
      <c r="J5" s="221">
        <v>17800</v>
      </c>
    </row>
    <row r="6" spans="1:10" x14ac:dyDescent="0.3">
      <c r="A6" s="217">
        <v>2</v>
      </c>
      <c r="B6" s="217" t="s">
        <v>3116</v>
      </c>
      <c r="C6" s="218">
        <v>46230</v>
      </c>
      <c r="D6" s="219" t="s">
        <v>3117</v>
      </c>
      <c r="E6" s="218">
        <v>46230</v>
      </c>
      <c r="F6" s="219" t="s">
        <v>3118</v>
      </c>
      <c r="G6" s="220" t="s">
        <v>43</v>
      </c>
      <c r="H6" s="221">
        <v>13890</v>
      </c>
      <c r="I6" s="221">
        <v>33210</v>
      </c>
      <c r="J6" s="221">
        <v>19320</v>
      </c>
    </row>
    <row r="7" spans="1:10" x14ac:dyDescent="0.3">
      <c r="A7" s="217">
        <v>3</v>
      </c>
      <c r="B7" s="217" t="s">
        <v>3119</v>
      </c>
      <c r="C7" s="218">
        <v>46230</v>
      </c>
      <c r="D7" s="219" t="s">
        <v>3120</v>
      </c>
      <c r="E7" s="218">
        <v>46230</v>
      </c>
      <c r="F7" s="219" t="s">
        <v>3121</v>
      </c>
      <c r="G7" s="220" t="s">
        <v>843</v>
      </c>
      <c r="H7" s="221">
        <v>14090</v>
      </c>
      <c r="I7" s="221">
        <v>33120</v>
      </c>
      <c r="J7" s="221">
        <v>19030</v>
      </c>
    </row>
    <row r="8" spans="1:10" x14ac:dyDescent="0.3">
      <c r="A8" s="217">
        <v>4</v>
      </c>
      <c r="B8" s="217" t="s">
        <v>3122</v>
      </c>
      <c r="C8" s="218">
        <v>46230</v>
      </c>
      <c r="D8" s="219" t="s">
        <v>3123</v>
      </c>
      <c r="E8" s="218">
        <v>46230</v>
      </c>
      <c r="F8" s="219" t="s">
        <v>3124</v>
      </c>
      <c r="G8" s="220" t="s">
        <v>64</v>
      </c>
      <c r="H8" s="221">
        <v>13840</v>
      </c>
      <c r="I8" s="221">
        <v>32300</v>
      </c>
      <c r="J8" s="221">
        <v>18460</v>
      </c>
    </row>
    <row r="9" spans="1:10" x14ac:dyDescent="0.3">
      <c r="A9" s="217">
        <v>5</v>
      </c>
      <c r="B9" s="217" t="s">
        <v>3125</v>
      </c>
      <c r="C9" s="218">
        <v>46230</v>
      </c>
      <c r="D9" s="219" t="s">
        <v>3126</v>
      </c>
      <c r="E9" s="218">
        <v>46230</v>
      </c>
      <c r="F9" s="219" t="s">
        <v>3127</v>
      </c>
      <c r="G9" s="220" t="s">
        <v>336</v>
      </c>
      <c r="H9" s="221">
        <v>13610</v>
      </c>
      <c r="I9" s="221">
        <v>32350</v>
      </c>
      <c r="J9" s="221">
        <v>18740</v>
      </c>
    </row>
    <row r="10" spans="1:10" x14ac:dyDescent="0.3">
      <c r="A10" s="217">
        <v>6</v>
      </c>
      <c r="B10" s="217" t="s">
        <v>3128</v>
      </c>
      <c r="C10" s="218">
        <v>46230</v>
      </c>
      <c r="D10" s="219" t="s">
        <v>3129</v>
      </c>
      <c r="E10" s="218">
        <v>46230</v>
      </c>
      <c r="F10" s="219" t="s">
        <v>3130</v>
      </c>
      <c r="G10" s="220" t="s">
        <v>840</v>
      </c>
      <c r="H10" s="221">
        <v>13950</v>
      </c>
      <c r="I10" s="221">
        <v>33300</v>
      </c>
      <c r="J10" s="221">
        <v>19350</v>
      </c>
    </row>
    <row r="11" spans="1:10" x14ac:dyDescent="0.3">
      <c r="A11" s="217">
        <v>7</v>
      </c>
      <c r="B11" s="217" t="s">
        <v>3131</v>
      </c>
      <c r="C11" s="218">
        <v>46230</v>
      </c>
      <c r="D11" s="219" t="s">
        <v>3132</v>
      </c>
      <c r="E11" s="218">
        <v>46230</v>
      </c>
      <c r="F11" s="219" t="s">
        <v>3133</v>
      </c>
      <c r="G11" s="220" t="s">
        <v>143</v>
      </c>
      <c r="H11" s="221">
        <v>13870</v>
      </c>
      <c r="I11" s="221">
        <v>33790</v>
      </c>
      <c r="J11" s="221">
        <v>19920</v>
      </c>
    </row>
    <row r="12" spans="1:10" x14ac:dyDescent="0.3">
      <c r="A12" s="217">
        <v>8</v>
      </c>
      <c r="B12" s="217" t="s">
        <v>3134</v>
      </c>
      <c r="C12" s="218">
        <v>46230</v>
      </c>
      <c r="D12" s="219" t="s">
        <v>3135</v>
      </c>
      <c r="E12" s="218">
        <v>46230</v>
      </c>
      <c r="F12" s="219" t="s">
        <v>3136</v>
      </c>
      <c r="G12" s="220" t="s">
        <v>90</v>
      </c>
      <c r="H12" s="221">
        <v>13810</v>
      </c>
      <c r="I12" s="221">
        <v>32840</v>
      </c>
      <c r="J12" s="221">
        <v>19030</v>
      </c>
    </row>
    <row r="13" spans="1:10" x14ac:dyDescent="0.3">
      <c r="A13" s="217">
        <v>9</v>
      </c>
      <c r="B13" s="217" t="s">
        <v>3137</v>
      </c>
      <c r="C13" s="218">
        <v>46230</v>
      </c>
      <c r="D13" s="219" t="s">
        <v>3138</v>
      </c>
      <c r="E13" s="218">
        <v>46230</v>
      </c>
      <c r="F13" s="219" t="s">
        <v>3139</v>
      </c>
      <c r="G13" s="220" t="s">
        <v>337</v>
      </c>
      <c r="H13" s="221">
        <v>13820</v>
      </c>
      <c r="I13" s="221">
        <v>32500</v>
      </c>
      <c r="J13" s="221">
        <v>18680</v>
      </c>
    </row>
    <row r="14" spans="1:10" x14ac:dyDescent="0.3">
      <c r="A14" s="217">
        <v>10</v>
      </c>
      <c r="B14" s="217" t="s">
        <v>3140</v>
      </c>
      <c r="C14" s="218">
        <v>46230</v>
      </c>
      <c r="D14" s="219" t="s">
        <v>3141</v>
      </c>
      <c r="E14" s="218">
        <v>46230</v>
      </c>
      <c r="F14" s="219" t="s">
        <v>3142</v>
      </c>
      <c r="G14" s="220" t="s">
        <v>85</v>
      </c>
      <c r="H14" s="221">
        <v>13740</v>
      </c>
      <c r="I14" s="221">
        <v>34080</v>
      </c>
      <c r="J14" s="221">
        <v>20340</v>
      </c>
    </row>
    <row r="15" spans="1:10" x14ac:dyDescent="0.3">
      <c r="A15" s="217">
        <v>11</v>
      </c>
      <c r="B15" s="217" t="s">
        <v>3143</v>
      </c>
      <c r="C15" s="218">
        <v>46230</v>
      </c>
      <c r="D15" s="219" t="s">
        <v>3144</v>
      </c>
      <c r="E15" s="218">
        <v>46230</v>
      </c>
      <c r="F15" s="219" t="s">
        <v>3145</v>
      </c>
      <c r="G15" s="220" t="s">
        <v>80</v>
      </c>
      <c r="H15" s="221">
        <v>14020</v>
      </c>
      <c r="I15" s="221">
        <v>34730</v>
      </c>
      <c r="J15" s="221">
        <v>20710</v>
      </c>
    </row>
    <row r="16" spans="1:10" x14ac:dyDescent="0.3">
      <c r="A16" s="217">
        <v>12</v>
      </c>
      <c r="B16" s="217" t="s">
        <v>3146</v>
      </c>
      <c r="C16" s="218">
        <v>46230</v>
      </c>
      <c r="D16" s="219" t="s">
        <v>3147</v>
      </c>
      <c r="E16" s="218">
        <v>46230</v>
      </c>
      <c r="F16" s="219" t="s">
        <v>3148</v>
      </c>
      <c r="G16" s="220" t="s">
        <v>55</v>
      </c>
      <c r="H16" s="221">
        <v>13590</v>
      </c>
      <c r="I16" s="221">
        <v>33380</v>
      </c>
      <c r="J16" s="221">
        <v>19790</v>
      </c>
    </row>
    <row r="17" spans="1:10" x14ac:dyDescent="0.3">
      <c r="A17" s="217">
        <v>13</v>
      </c>
      <c r="B17" s="217" t="s">
        <v>3149</v>
      </c>
      <c r="C17" s="218">
        <v>46230</v>
      </c>
      <c r="D17" s="219" t="s">
        <v>3150</v>
      </c>
      <c r="E17" s="218">
        <v>46230</v>
      </c>
      <c r="F17" s="219" t="s">
        <v>3151</v>
      </c>
      <c r="G17" s="220" t="s">
        <v>43</v>
      </c>
      <c r="H17" s="221">
        <v>13820</v>
      </c>
      <c r="I17" s="221">
        <v>33810</v>
      </c>
      <c r="J17" s="221">
        <v>19990</v>
      </c>
    </row>
    <row r="18" spans="1:10" x14ac:dyDescent="0.3">
      <c r="A18" s="217">
        <v>14</v>
      </c>
      <c r="B18" s="217" t="s">
        <v>3152</v>
      </c>
      <c r="C18" s="218">
        <v>46230</v>
      </c>
      <c r="D18" s="219" t="s">
        <v>3153</v>
      </c>
      <c r="E18" s="218">
        <v>46230</v>
      </c>
      <c r="F18" s="219" t="s">
        <v>3154</v>
      </c>
      <c r="G18" s="220" t="s">
        <v>843</v>
      </c>
      <c r="H18" s="221">
        <v>14070</v>
      </c>
      <c r="I18" s="221">
        <v>34780</v>
      </c>
      <c r="J18" s="221">
        <v>20710</v>
      </c>
    </row>
    <row r="19" spans="1:10" x14ac:dyDescent="0.3">
      <c r="A19" s="217">
        <v>15</v>
      </c>
      <c r="B19" s="217" t="s">
        <v>3155</v>
      </c>
      <c r="C19" s="218">
        <v>46230</v>
      </c>
      <c r="D19" s="219" t="s">
        <v>3156</v>
      </c>
      <c r="E19" s="218">
        <v>46230</v>
      </c>
      <c r="F19" s="219" t="s">
        <v>3157</v>
      </c>
      <c r="G19" s="220" t="s">
        <v>336</v>
      </c>
      <c r="H19" s="221">
        <v>13610</v>
      </c>
      <c r="I19" s="221">
        <v>33670</v>
      </c>
      <c r="J19" s="221">
        <v>20060</v>
      </c>
    </row>
    <row r="20" spans="1:10" x14ac:dyDescent="0.3">
      <c r="A20" s="217">
        <v>16</v>
      </c>
      <c r="B20" s="217" t="s">
        <v>3158</v>
      </c>
      <c r="C20" s="218">
        <v>46230</v>
      </c>
      <c r="D20" s="219" t="s">
        <v>3159</v>
      </c>
      <c r="E20" s="218">
        <v>46230</v>
      </c>
      <c r="F20" s="219" t="s">
        <v>3160</v>
      </c>
      <c r="G20" s="220" t="s">
        <v>840</v>
      </c>
      <c r="H20" s="221">
        <v>13920</v>
      </c>
      <c r="I20" s="221">
        <v>33900</v>
      </c>
      <c r="J20" s="221">
        <v>19980</v>
      </c>
    </row>
    <row r="21" spans="1:10" x14ac:dyDescent="0.3">
      <c r="A21" s="217">
        <v>17</v>
      </c>
      <c r="B21" s="217" t="s">
        <v>3161</v>
      </c>
      <c r="C21" s="218">
        <v>46230</v>
      </c>
      <c r="D21" s="219" t="s">
        <v>3162</v>
      </c>
      <c r="E21" s="218">
        <v>46230</v>
      </c>
      <c r="F21" s="219" t="s">
        <v>3163</v>
      </c>
      <c r="G21" s="220" t="s">
        <v>337</v>
      </c>
      <c r="H21" s="221">
        <v>13810</v>
      </c>
      <c r="I21" s="221">
        <v>32930</v>
      </c>
      <c r="J21" s="221">
        <v>19120</v>
      </c>
    </row>
    <row r="22" spans="1:10" x14ac:dyDescent="0.3">
      <c r="A22" s="217">
        <v>18</v>
      </c>
      <c r="B22" s="217" t="s">
        <v>3164</v>
      </c>
      <c r="C22" s="218">
        <v>46230</v>
      </c>
      <c r="D22" s="219" t="s">
        <v>3165</v>
      </c>
      <c r="E22" s="218">
        <v>46230</v>
      </c>
      <c r="F22" s="219" t="s">
        <v>3166</v>
      </c>
      <c r="G22" s="220" t="s">
        <v>90</v>
      </c>
      <c r="H22" s="221">
        <v>13770</v>
      </c>
      <c r="I22" s="221">
        <v>33680</v>
      </c>
      <c r="J22" s="221">
        <v>19910</v>
      </c>
    </row>
    <row r="23" spans="1:10" x14ac:dyDescent="0.3">
      <c r="A23" s="217">
        <v>19</v>
      </c>
      <c r="B23" s="217" t="s">
        <v>3167</v>
      </c>
      <c r="C23" s="218">
        <v>46230</v>
      </c>
      <c r="D23" s="219" t="s">
        <v>3168</v>
      </c>
      <c r="E23" s="218">
        <v>46230</v>
      </c>
      <c r="F23" s="219" t="s">
        <v>3169</v>
      </c>
      <c r="G23" s="220" t="s">
        <v>143</v>
      </c>
      <c r="H23" s="221">
        <v>13820</v>
      </c>
      <c r="I23" s="221">
        <v>33410</v>
      </c>
      <c r="J23" s="221">
        <v>19590</v>
      </c>
    </row>
    <row r="24" spans="1:10" x14ac:dyDescent="0.3">
      <c r="A24" s="217">
        <v>20</v>
      </c>
      <c r="B24" s="217" t="s">
        <v>3170</v>
      </c>
      <c r="C24" s="218">
        <v>46230</v>
      </c>
      <c r="D24" s="219" t="s">
        <v>3171</v>
      </c>
      <c r="E24" s="218">
        <v>46230</v>
      </c>
      <c r="F24" s="219" t="s">
        <v>3172</v>
      </c>
      <c r="G24" s="220" t="s">
        <v>85</v>
      </c>
      <c r="H24" s="221">
        <v>13730</v>
      </c>
      <c r="I24" s="221">
        <v>34020</v>
      </c>
      <c r="J24" s="221">
        <v>20290</v>
      </c>
    </row>
    <row r="25" spans="1:10" x14ac:dyDescent="0.3">
      <c r="A25" s="217">
        <v>21</v>
      </c>
      <c r="B25" s="217" t="s">
        <v>3173</v>
      </c>
      <c r="C25" s="218">
        <v>46230</v>
      </c>
      <c r="D25" s="219" t="s">
        <v>3174</v>
      </c>
      <c r="E25" s="218">
        <v>46230</v>
      </c>
      <c r="F25" s="219" t="s">
        <v>3175</v>
      </c>
      <c r="G25" s="220" t="s">
        <v>80</v>
      </c>
      <c r="H25" s="221">
        <v>13990</v>
      </c>
      <c r="I25" s="221">
        <v>33390</v>
      </c>
      <c r="J25" s="221">
        <v>19400</v>
      </c>
    </row>
    <row r="26" spans="1:10" x14ac:dyDescent="0.3">
      <c r="A26" s="217">
        <v>22</v>
      </c>
      <c r="B26" s="217" t="s">
        <v>3176</v>
      </c>
      <c r="C26" s="218">
        <v>46230</v>
      </c>
      <c r="D26" s="219" t="s">
        <v>3177</v>
      </c>
      <c r="E26" s="218">
        <v>46230</v>
      </c>
      <c r="F26" s="219" t="s">
        <v>3178</v>
      </c>
      <c r="G26" s="220" t="s">
        <v>55</v>
      </c>
      <c r="H26" s="221">
        <v>13580</v>
      </c>
      <c r="I26" s="221">
        <v>33010</v>
      </c>
      <c r="J26" s="221">
        <v>19430</v>
      </c>
    </row>
    <row r="27" spans="1:10" x14ac:dyDescent="0.3">
      <c r="A27" s="217">
        <v>23</v>
      </c>
      <c r="B27" s="217" t="s">
        <v>3179</v>
      </c>
      <c r="C27" s="218">
        <v>46230</v>
      </c>
      <c r="D27" s="219" t="s">
        <v>1268</v>
      </c>
      <c r="E27" s="218">
        <v>46230</v>
      </c>
      <c r="F27" s="219" t="s">
        <v>1747</v>
      </c>
      <c r="G27" s="220" t="s">
        <v>335</v>
      </c>
      <c r="H27" s="221">
        <v>14030</v>
      </c>
      <c r="I27" s="221">
        <v>32890</v>
      </c>
      <c r="J27" s="221">
        <v>18860</v>
      </c>
    </row>
    <row r="28" spans="1:10" x14ac:dyDescent="0.3">
      <c r="A28" s="217">
        <v>24</v>
      </c>
      <c r="B28" s="217" t="s">
        <v>3180</v>
      </c>
      <c r="C28" s="218">
        <v>46230</v>
      </c>
      <c r="D28" s="219" t="s">
        <v>3181</v>
      </c>
      <c r="E28" s="218">
        <v>46230</v>
      </c>
      <c r="F28" s="219" t="s">
        <v>3182</v>
      </c>
      <c r="G28" s="220" t="s">
        <v>43</v>
      </c>
      <c r="H28" s="221">
        <v>13800</v>
      </c>
      <c r="I28" s="221">
        <v>34220</v>
      </c>
      <c r="J28" s="221">
        <v>20420</v>
      </c>
    </row>
    <row r="29" spans="1:10" x14ac:dyDescent="0.3">
      <c r="A29" s="217">
        <v>25</v>
      </c>
      <c r="B29" s="217" t="s">
        <v>3183</v>
      </c>
      <c r="C29" s="218">
        <v>46230</v>
      </c>
      <c r="D29" s="219" t="s">
        <v>3184</v>
      </c>
      <c r="E29" s="218">
        <v>46230</v>
      </c>
      <c r="F29" s="219" t="s">
        <v>3185</v>
      </c>
      <c r="G29" s="220" t="s">
        <v>843</v>
      </c>
      <c r="H29" s="221">
        <v>14030</v>
      </c>
      <c r="I29" s="221">
        <v>34350</v>
      </c>
      <c r="J29" s="221">
        <v>20320</v>
      </c>
    </row>
    <row r="30" spans="1:10" x14ac:dyDescent="0.3">
      <c r="A30" s="217">
        <v>26</v>
      </c>
      <c r="B30" s="217" t="s">
        <v>3186</v>
      </c>
      <c r="C30" s="218">
        <v>46230</v>
      </c>
      <c r="D30" s="219" t="s">
        <v>623</v>
      </c>
      <c r="E30" s="218">
        <v>46230</v>
      </c>
      <c r="F30" s="219" t="s">
        <v>3187</v>
      </c>
      <c r="G30" s="220" t="s">
        <v>336</v>
      </c>
      <c r="H30" s="221">
        <v>13580</v>
      </c>
      <c r="I30" s="221">
        <v>34230</v>
      </c>
      <c r="J30" s="221">
        <v>20650</v>
      </c>
    </row>
    <row r="31" spans="1:10" x14ac:dyDescent="0.3">
      <c r="A31" s="217">
        <v>27</v>
      </c>
      <c r="B31" s="217" t="s">
        <v>3188</v>
      </c>
      <c r="C31" s="218">
        <v>46230</v>
      </c>
      <c r="D31" s="219" t="s">
        <v>3189</v>
      </c>
      <c r="E31" s="218">
        <v>46230</v>
      </c>
      <c r="F31" s="219" t="s">
        <v>3190</v>
      </c>
      <c r="G31" s="220" t="s">
        <v>840</v>
      </c>
      <c r="H31" s="221">
        <v>13890</v>
      </c>
      <c r="I31" s="221">
        <v>33820</v>
      </c>
      <c r="J31" s="221">
        <v>19930</v>
      </c>
    </row>
    <row r="32" spans="1:10" x14ac:dyDescent="0.3">
      <c r="A32" s="217">
        <v>28</v>
      </c>
      <c r="B32" s="217" t="s">
        <v>3191</v>
      </c>
      <c r="C32" s="218">
        <v>46230</v>
      </c>
      <c r="D32" s="219" t="s">
        <v>3192</v>
      </c>
      <c r="E32" s="218">
        <v>46230</v>
      </c>
      <c r="F32" s="219" t="s">
        <v>3193</v>
      </c>
      <c r="G32" s="220" t="s">
        <v>337</v>
      </c>
      <c r="H32" s="221">
        <v>13790</v>
      </c>
      <c r="I32" s="221">
        <v>33340</v>
      </c>
      <c r="J32" s="221">
        <v>19550</v>
      </c>
    </row>
    <row r="33" spans="1:10" x14ac:dyDescent="0.3">
      <c r="A33" s="217">
        <v>29</v>
      </c>
      <c r="B33" s="217" t="s">
        <v>3194</v>
      </c>
      <c r="C33" s="218">
        <v>46230</v>
      </c>
      <c r="D33" s="219" t="s">
        <v>3195</v>
      </c>
      <c r="E33" s="218">
        <v>46230</v>
      </c>
      <c r="F33" s="219" t="s">
        <v>3100</v>
      </c>
      <c r="G33" s="220" t="s">
        <v>64</v>
      </c>
      <c r="H33" s="221">
        <v>13780</v>
      </c>
      <c r="I33" s="221">
        <v>34430</v>
      </c>
      <c r="J33" s="221">
        <v>20650</v>
      </c>
    </row>
    <row r="34" spans="1:10" x14ac:dyDescent="0.3">
      <c r="A34" s="217">
        <v>30</v>
      </c>
      <c r="B34" s="217" t="s">
        <v>3196</v>
      </c>
      <c r="C34" s="218">
        <v>46230</v>
      </c>
      <c r="D34" s="219" t="s">
        <v>3197</v>
      </c>
      <c r="E34" s="218">
        <v>46230</v>
      </c>
      <c r="F34" s="219" t="s">
        <v>3198</v>
      </c>
      <c r="G34" s="220" t="s">
        <v>90</v>
      </c>
      <c r="H34" s="221">
        <v>13760</v>
      </c>
      <c r="I34" s="221">
        <v>33640</v>
      </c>
      <c r="J34" s="221">
        <v>19880</v>
      </c>
    </row>
    <row r="35" spans="1:10" x14ac:dyDescent="0.3">
      <c r="A35" s="217">
        <v>31</v>
      </c>
      <c r="B35" s="217" t="s">
        <v>3199</v>
      </c>
      <c r="C35" s="218">
        <v>46230</v>
      </c>
      <c r="D35" s="219" t="s">
        <v>3200</v>
      </c>
      <c r="E35" s="218">
        <v>46230</v>
      </c>
      <c r="F35" s="219" t="s">
        <v>3201</v>
      </c>
      <c r="G35" s="220" t="s">
        <v>143</v>
      </c>
      <c r="H35" s="221">
        <v>13820</v>
      </c>
      <c r="I35" s="221">
        <v>34470</v>
      </c>
      <c r="J35" s="221">
        <v>20650</v>
      </c>
    </row>
    <row r="36" spans="1:10" x14ac:dyDescent="0.3">
      <c r="A36" s="217">
        <v>32</v>
      </c>
      <c r="B36" s="217" t="s">
        <v>3202</v>
      </c>
      <c r="C36" s="218">
        <v>46230</v>
      </c>
      <c r="D36" s="219" t="s">
        <v>3095</v>
      </c>
      <c r="E36" s="218">
        <v>46230</v>
      </c>
      <c r="F36" s="219" t="s">
        <v>3203</v>
      </c>
      <c r="G36" s="220" t="s">
        <v>80</v>
      </c>
      <c r="H36" s="221">
        <v>13970</v>
      </c>
      <c r="I36" s="221">
        <v>34940</v>
      </c>
      <c r="J36" s="221">
        <v>20970</v>
      </c>
    </row>
    <row r="37" spans="1:10" x14ac:dyDescent="0.3">
      <c r="A37" s="217">
        <v>33</v>
      </c>
      <c r="B37" s="217" t="s">
        <v>3204</v>
      </c>
      <c r="C37" s="218">
        <v>46230</v>
      </c>
      <c r="D37" s="219" t="s">
        <v>1292</v>
      </c>
      <c r="E37" s="218">
        <v>46230</v>
      </c>
      <c r="F37" s="219" t="s">
        <v>3205</v>
      </c>
      <c r="G37" s="220" t="s">
        <v>55</v>
      </c>
      <c r="H37" s="221">
        <v>13950</v>
      </c>
      <c r="I37" s="221">
        <v>34690</v>
      </c>
      <c r="J37" s="221">
        <v>20740</v>
      </c>
    </row>
    <row r="38" spans="1:10" x14ac:dyDescent="0.3">
      <c r="A38" s="217">
        <v>34</v>
      </c>
      <c r="B38" s="217" t="s">
        <v>3206</v>
      </c>
      <c r="C38" s="218">
        <v>46230</v>
      </c>
      <c r="D38" s="219" t="s">
        <v>3207</v>
      </c>
      <c r="E38" s="218">
        <v>46230</v>
      </c>
      <c r="F38" s="219" t="s">
        <v>3085</v>
      </c>
      <c r="G38" s="220" t="s">
        <v>43</v>
      </c>
      <c r="H38" s="221">
        <v>13780</v>
      </c>
      <c r="I38" s="221">
        <v>33470</v>
      </c>
      <c r="J38" s="221">
        <v>19690</v>
      </c>
    </row>
    <row r="39" spans="1:10" x14ac:dyDescent="0.3">
      <c r="A39" s="217">
        <v>35</v>
      </c>
      <c r="B39" s="217" t="s">
        <v>3208</v>
      </c>
      <c r="C39" s="218">
        <v>46230</v>
      </c>
      <c r="D39" s="219" t="s">
        <v>3209</v>
      </c>
      <c r="E39" s="218">
        <v>46230</v>
      </c>
      <c r="F39" s="219" t="s">
        <v>3210</v>
      </c>
      <c r="G39" s="220" t="s">
        <v>843</v>
      </c>
      <c r="H39" s="221">
        <v>14010</v>
      </c>
      <c r="I39" s="221">
        <v>34430</v>
      </c>
      <c r="J39" s="221">
        <v>20420</v>
      </c>
    </row>
    <row r="40" spans="1:10" x14ac:dyDescent="0.3">
      <c r="A40" s="217">
        <v>36</v>
      </c>
      <c r="B40" s="217" t="s">
        <v>3211</v>
      </c>
      <c r="C40" s="218">
        <v>46230</v>
      </c>
      <c r="D40" s="219" t="s">
        <v>3212</v>
      </c>
      <c r="E40" s="218">
        <v>46230</v>
      </c>
      <c r="F40" s="219" t="s">
        <v>3213</v>
      </c>
      <c r="G40" s="220" t="s">
        <v>336</v>
      </c>
      <c r="H40" s="221">
        <v>13930</v>
      </c>
      <c r="I40" s="221">
        <v>34390</v>
      </c>
      <c r="J40" s="221">
        <v>20460</v>
      </c>
    </row>
    <row r="41" spans="1:10" x14ac:dyDescent="0.3">
      <c r="A41" s="217">
        <v>37</v>
      </c>
      <c r="B41" s="217" t="s">
        <v>3214</v>
      </c>
      <c r="C41" s="218">
        <v>46230</v>
      </c>
      <c r="D41" s="219" t="s">
        <v>3215</v>
      </c>
      <c r="E41" s="218">
        <v>46230</v>
      </c>
      <c r="F41" s="219" t="s">
        <v>3216</v>
      </c>
      <c r="G41" s="220" t="s">
        <v>840</v>
      </c>
      <c r="H41" s="221">
        <v>13880</v>
      </c>
      <c r="I41" s="221">
        <v>34100</v>
      </c>
      <c r="J41" s="221">
        <v>20220</v>
      </c>
    </row>
    <row r="42" spans="1:10" x14ac:dyDescent="0.3">
      <c r="A42" s="217">
        <v>38</v>
      </c>
      <c r="B42" s="217" t="s">
        <v>3217</v>
      </c>
      <c r="C42" s="218">
        <v>46230</v>
      </c>
      <c r="D42" s="219" t="s">
        <v>3218</v>
      </c>
      <c r="E42" s="218">
        <v>46230</v>
      </c>
      <c r="F42" s="219" t="s">
        <v>3219</v>
      </c>
      <c r="G42" s="220" t="s">
        <v>337</v>
      </c>
      <c r="H42" s="221">
        <v>13760</v>
      </c>
      <c r="I42" s="221">
        <v>34470</v>
      </c>
      <c r="J42" s="221">
        <v>20710</v>
      </c>
    </row>
    <row r="43" spans="1:10" x14ac:dyDescent="0.3">
      <c r="A43" s="217">
        <v>39</v>
      </c>
      <c r="B43" s="217" t="s">
        <v>3220</v>
      </c>
      <c r="C43" s="218">
        <v>46230</v>
      </c>
      <c r="D43" s="219" t="s">
        <v>3221</v>
      </c>
      <c r="E43" s="218">
        <v>46230</v>
      </c>
      <c r="F43" s="219" t="s">
        <v>3222</v>
      </c>
      <c r="G43" s="220" t="s">
        <v>90</v>
      </c>
      <c r="H43" s="221">
        <v>13730</v>
      </c>
      <c r="I43" s="221">
        <v>34630</v>
      </c>
      <c r="J43" s="221">
        <v>20900</v>
      </c>
    </row>
    <row r="44" spans="1:10" x14ac:dyDescent="0.3">
      <c r="A44" s="217">
        <v>40</v>
      </c>
      <c r="B44" s="217" t="s">
        <v>3223</v>
      </c>
      <c r="C44" s="218">
        <v>46230</v>
      </c>
      <c r="D44" s="219" t="s">
        <v>3224</v>
      </c>
      <c r="E44" s="218">
        <v>46230</v>
      </c>
      <c r="F44" s="219" t="s">
        <v>3225</v>
      </c>
      <c r="G44" s="220" t="s">
        <v>335</v>
      </c>
      <c r="H44" s="221">
        <v>13960</v>
      </c>
      <c r="I44" s="221">
        <v>33880</v>
      </c>
      <c r="J44" s="221">
        <v>19920</v>
      </c>
    </row>
    <row r="45" spans="1:10" x14ac:dyDescent="0.3">
      <c r="A45" s="217">
        <v>41</v>
      </c>
      <c r="B45" s="217" t="s">
        <v>3226</v>
      </c>
      <c r="C45" s="218">
        <v>46230</v>
      </c>
      <c r="D45" s="219" t="s">
        <v>3227</v>
      </c>
      <c r="E45" s="218">
        <v>46230</v>
      </c>
      <c r="F45" s="219" t="s">
        <v>3228</v>
      </c>
      <c r="G45" s="220" t="s">
        <v>64</v>
      </c>
      <c r="H45" s="221">
        <v>14050</v>
      </c>
      <c r="I45" s="221">
        <v>33630</v>
      </c>
      <c r="J45" s="221">
        <v>19580</v>
      </c>
    </row>
    <row r="46" spans="1:10" x14ac:dyDescent="0.3">
      <c r="A46" s="217">
        <v>42</v>
      </c>
      <c r="B46" s="217" t="s">
        <v>3229</v>
      </c>
      <c r="C46" s="218">
        <v>46230</v>
      </c>
      <c r="D46" s="219" t="s">
        <v>3230</v>
      </c>
      <c r="E46" s="218">
        <v>46230</v>
      </c>
      <c r="F46" s="219" t="s">
        <v>3231</v>
      </c>
      <c r="G46" s="220" t="s">
        <v>143</v>
      </c>
      <c r="H46" s="221">
        <v>13810</v>
      </c>
      <c r="I46" s="221">
        <v>33560</v>
      </c>
      <c r="J46" s="221">
        <v>19750</v>
      </c>
    </row>
    <row r="47" spans="1:10" x14ac:dyDescent="0.3">
      <c r="A47" s="217">
        <v>43</v>
      </c>
      <c r="B47" s="217" t="s">
        <v>3232</v>
      </c>
      <c r="C47" s="218">
        <v>46230</v>
      </c>
      <c r="D47" s="219" t="s">
        <v>3233</v>
      </c>
      <c r="E47" s="218">
        <v>46230</v>
      </c>
      <c r="F47" s="219" t="s">
        <v>3234</v>
      </c>
      <c r="G47" s="220" t="s">
        <v>55</v>
      </c>
      <c r="H47" s="221">
        <v>13920</v>
      </c>
      <c r="I47" s="221">
        <v>33660</v>
      </c>
      <c r="J47" s="221">
        <v>19740</v>
      </c>
    </row>
    <row r="48" spans="1:10" x14ac:dyDescent="0.3">
      <c r="A48" s="217">
        <v>44</v>
      </c>
      <c r="B48" s="217" t="s">
        <v>3235</v>
      </c>
      <c r="C48" s="218">
        <v>46230</v>
      </c>
      <c r="D48" s="219" t="s">
        <v>3236</v>
      </c>
      <c r="E48" s="218">
        <v>46230</v>
      </c>
      <c r="F48" s="219" t="s">
        <v>3237</v>
      </c>
      <c r="G48" s="220" t="s">
        <v>80</v>
      </c>
      <c r="H48" s="221">
        <v>14170</v>
      </c>
      <c r="I48" s="221">
        <v>33890</v>
      </c>
      <c r="J48" s="221">
        <v>19720</v>
      </c>
    </row>
    <row r="49" spans="1:10" x14ac:dyDescent="0.3">
      <c r="A49" s="217">
        <v>45</v>
      </c>
      <c r="B49" s="217" t="s">
        <v>3238</v>
      </c>
      <c r="C49" s="218">
        <v>46231</v>
      </c>
      <c r="D49" s="219" t="s">
        <v>2852</v>
      </c>
      <c r="E49" s="218">
        <v>46231</v>
      </c>
      <c r="F49" s="219" t="s">
        <v>3239</v>
      </c>
      <c r="G49" s="220" t="s">
        <v>336</v>
      </c>
      <c r="H49" s="221">
        <v>13840</v>
      </c>
      <c r="I49" s="221">
        <v>34310</v>
      </c>
      <c r="J49" s="221">
        <v>20470</v>
      </c>
    </row>
    <row r="50" spans="1:10" x14ac:dyDescent="0.3">
      <c r="A50" s="217">
        <v>46</v>
      </c>
      <c r="B50" s="217" t="s">
        <v>3240</v>
      </c>
      <c r="C50" s="218">
        <v>46231</v>
      </c>
      <c r="D50" s="219" t="s">
        <v>3241</v>
      </c>
      <c r="E50" s="218">
        <v>46231</v>
      </c>
      <c r="F50" s="219" t="s">
        <v>3242</v>
      </c>
      <c r="G50" s="220" t="s">
        <v>843</v>
      </c>
      <c r="H50" s="221">
        <v>14170</v>
      </c>
      <c r="I50" s="221">
        <v>34460</v>
      </c>
      <c r="J50" s="221">
        <v>20290</v>
      </c>
    </row>
    <row r="51" spans="1:10" x14ac:dyDescent="0.3">
      <c r="A51" s="217">
        <v>47</v>
      </c>
      <c r="B51" s="217" t="s">
        <v>3243</v>
      </c>
      <c r="C51" s="218">
        <v>46231</v>
      </c>
      <c r="D51" s="219" t="s">
        <v>3244</v>
      </c>
      <c r="E51" s="218">
        <v>46231</v>
      </c>
      <c r="F51" s="219" t="s">
        <v>3245</v>
      </c>
      <c r="G51" s="220" t="s">
        <v>840</v>
      </c>
      <c r="H51" s="221">
        <v>14060</v>
      </c>
      <c r="I51" s="221">
        <v>34510</v>
      </c>
      <c r="J51" s="221">
        <v>20450</v>
      </c>
    </row>
    <row r="52" spans="1:10" x14ac:dyDescent="0.3">
      <c r="A52" s="217">
        <v>48</v>
      </c>
      <c r="B52" s="217" t="s">
        <v>3246</v>
      </c>
      <c r="C52" s="218">
        <v>46231</v>
      </c>
      <c r="D52" s="219" t="s">
        <v>3247</v>
      </c>
      <c r="E52" s="218">
        <v>46231</v>
      </c>
      <c r="F52" s="219" t="s">
        <v>1102</v>
      </c>
      <c r="G52" s="220" t="s">
        <v>64</v>
      </c>
      <c r="H52" s="221">
        <v>13970</v>
      </c>
      <c r="I52" s="221">
        <v>34080</v>
      </c>
      <c r="J52" s="221">
        <v>20110</v>
      </c>
    </row>
    <row r="53" spans="1:10" x14ac:dyDescent="0.3">
      <c r="A53" s="217">
        <v>49</v>
      </c>
      <c r="B53" s="217" t="s">
        <v>3248</v>
      </c>
      <c r="C53" s="218">
        <v>46231</v>
      </c>
      <c r="D53" s="219" t="s">
        <v>3249</v>
      </c>
      <c r="E53" s="218">
        <v>46231</v>
      </c>
      <c r="F53" s="219" t="s">
        <v>3250</v>
      </c>
      <c r="G53" s="220" t="s">
        <v>55</v>
      </c>
      <c r="H53" s="221">
        <v>13860</v>
      </c>
      <c r="I53" s="221">
        <v>33170</v>
      </c>
      <c r="J53" s="221">
        <v>19310</v>
      </c>
    </row>
    <row r="54" spans="1:10" x14ac:dyDescent="0.3">
      <c r="A54" s="217">
        <v>50</v>
      </c>
      <c r="B54" s="217" t="s">
        <v>3251</v>
      </c>
      <c r="C54" s="218">
        <v>46231</v>
      </c>
      <c r="D54" s="219" t="s">
        <v>3252</v>
      </c>
      <c r="E54" s="218">
        <v>46231</v>
      </c>
      <c r="F54" s="219" t="s">
        <v>3253</v>
      </c>
      <c r="G54" s="220" t="s">
        <v>85</v>
      </c>
      <c r="H54" s="221">
        <v>13690</v>
      </c>
      <c r="I54" s="221">
        <v>33600</v>
      </c>
      <c r="J54" s="221">
        <v>19910</v>
      </c>
    </row>
    <row r="55" spans="1:10" x14ac:dyDescent="0.3">
      <c r="A55" s="217">
        <v>51</v>
      </c>
      <c r="B55" s="217" t="s">
        <v>3254</v>
      </c>
      <c r="C55" s="218">
        <v>46231</v>
      </c>
      <c r="D55" s="219" t="s">
        <v>3102</v>
      </c>
      <c r="E55" s="218">
        <v>46231</v>
      </c>
      <c r="F55" s="219" t="s">
        <v>3255</v>
      </c>
      <c r="G55" s="220" t="s">
        <v>80</v>
      </c>
      <c r="H55" s="221">
        <v>14090</v>
      </c>
      <c r="I55" s="221">
        <v>35070</v>
      </c>
      <c r="J55" s="221">
        <v>20980</v>
      </c>
    </row>
    <row r="56" spans="1:10" x14ac:dyDescent="0.3">
      <c r="A56" s="217">
        <v>52</v>
      </c>
      <c r="B56" s="217" t="s">
        <v>3256</v>
      </c>
      <c r="C56" s="218">
        <v>46231</v>
      </c>
      <c r="D56" s="219" t="s">
        <v>1833</v>
      </c>
      <c r="E56" s="218">
        <v>46231</v>
      </c>
      <c r="F56" s="219" t="s">
        <v>3257</v>
      </c>
      <c r="G56" s="220" t="s">
        <v>143</v>
      </c>
      <c r="H56" s="221">
        <v>13740</v>
      </c>
      <c r="I56" s="221">
        <v>33730</v>
      </c>
      <c r="J56" s="221">
        <v>19990</v>
      </c>
    </row>
    <row r="57" spans="1:10" x14ac:dyDescent="0.3">
      <c r="A57" s="217">
        <v>53</v>
      </c>
      <c r="B57" s="217" t="s">
        <v>3258</v>
      </c>
      <c r="C57" s="218">
        <v>46231</v>
      </c>
      <c r="D57" s="219" t="s">
        <v>3259</v>
      </c>
      <c r="E57" s="218">
        <v>46231</v>
      </c>
      <c r="F57" s="219" t="s">
        <v>3260</v>
      </c>
      <c r="G57" s="220" t="s">
        <v>335</v>
      </c>
      <c r="H57" s="221">
        <v>13920</v>
      </c>
      <c r="I57" s="221">
        <v>33420</v>
      </c>
      <c r="J57" s="221">
        <v>19500</v>
      </c>
    </row>
    <row r="58" spans="1:10" x14ac:dyDescent="0.3">
      <c r="A58" s="217">
        <v>54</v>
      </c>
      <c r="B58" s="217" t="s">
        <v>3261</v>
      </c>
      <c r="C58" s="218">
        <v>46231</v>
      </c>
      <c r="D58" s="219" t="s">
        <v>3262</v>
      </c>
      <c r="E58" s="218">
        <v>46231</v>
      </c>
      <c r="F58" s="219" t="s">
        <v>3263</v>
      </c>
      <c r="G58" s="220" t="s">
        <v>337</v>
      </c>
      <c r="H58" s="221">
        <v>13730</v>
      </c>
      <c r="I58" s="221">
        <v>32830</v>
      </c>
      <c r="J58" s="221">
        <v>19100</v>
      </c>
    </row>
    <row r="59" spans="1:10" x14ac:dyDescent="0.3">
      <c r="A59" s="217">
        <v>55</v>
      </c>
      <c r="B59" s="217" t="s">
        <v>3264</v>
      </c>
      <c r="C59" s="218">
        <v>46231</v>
      </c>
      <c r="D59" s="219" t="s">
        <v>3265</v>
      </c>
      <c r="E59" s="218">
        <v>46231</v>
      </c>
      <c r="F59" s="219" t="s">
        <v>3266</v>
      </c>
      <c r="G59" s="220" t="s">
        <v>90</v>
      </c>
      <c r="H59" s="221">
        <v>13680</v>
      </c>
      <c r="I59" s="221">
        <v>32670</v>
      </c>
      <c r="J59" s="221">
        <v>18990</v>
      </c>
    </row>
    <row r="60" spans="1:10" x14ac:dyDescent="0.3">
      <c r="A60" s="217">
        <v>56</v>
      </c>
      <c r="B60" s="217" t="s">
        <v>3267</v>
      </c>
      <c r="C60" s="218">
        <v>46231</v>
      </c>
      <c r="D60" s="219" t="s">
        <v>3268</v>
      </c>
      <c r="E60" s="218">
        <v>46231</v>
      </c>
      <c r="F60" s="219" t="s">
        <v>3269</v>
      </c>
      <c r="G60" s="220" t="s">
        <v>43</v>
      </c>
      <c r="H60" s="221">
        <v>13900</v>
      </c>
      <c r="I60" s="221">
        <v>32970</v>
      </c>
      <c r="J60" s="221">
        <v>19070</v>
      </c>
    </row>
    <row r="61" spans="1:10" x14ac:dyDescent="0.3">
      <c r="A61" s="217">
        <v>57</v>
      </c>
      <c r="B61" s="217" t="s">
        <v>3270</v>
      </c>
      <c r="C61" s="218">
        <v>46231</v>
      </c>
      <c r="D61" s="219" t="s">
        <v>3271</v>
      </c>
      <c r="E61" s="218">
        <v>46231</v>
      </c>
      <c r="F61" s="219" t="s">
        <v>3272</v>
      </c>
      <c r="G61" s="220" t="s">
        <v>336</v>
      </c>
      <c r="H61" s="221">
        <v>13840</v>
      </c>
      <c r="I61" s="221">
        <v>32860</v>
      </c>
      <c r="J61" s="221">
        <v>19020</v>
      </c>
    </row>
    <row r="62" spans="1:10" x14ac:dyDescent="0.3">
      <c r="A62" s="217">
        <v>58</v>
      </c>
      <c r="B62" s="217" t="s">
        <v>3273</v>
      </c>
      <c r="C62" s="218">
        <v>46231</v>
      </c>
      <c r="D62" s="219" t="s">
        <v>3274</v>
      </c>
      <c r="E62" s="218">
        <v>46231</v>
      </c>
      <c r="F62" s="219" t="s">
        <v>3275</v>
      </c>
      <c r="G62" s="220" t="s">
        <v>840</v>
      </c>
      <c r="H62" s="221">
        <v>14030</v>
      </c>
      <c r="I62" s="221">
        <v>33590</v>
      </c>
      <c r="J62" s="221">
        <v>19560</v>
      </c>
    </row>
    <row r="63" spans="1:10" x14ac:dyDescent="0.3">
      <c r="A63" s="217">
        <v>59</v>
      </c>
      <c r="B63" s="217" t="s">
        <v>3276</v>
      </c>
      <c r="C63" s="218">
        <v>46231</v>
      </c>
      <c r="D63" s="219" t="s">
        <v>3277</v>
      </c>
      <c r="E63" s="218">
        <v>46231</v>
      </c>
      <c r="F63" s="219" t="s">
        <v>3278</v>
      </c>
      <c r="G63" s="220" t="s">
        <v>843</v>
      </c>
      <c r="H63" s="221">
        <v>14140</v>
      </c>
      <c r="I63" s="221">
        <v>34580</v>
      </c>
      <c r="J63" s="221">
        <v>20440</v>
      </c>
    </row>
    <row r="64" spans="1:10" x14ac:dyDescent="0.3">
      <c r="A64" s="217">
        <v>60</v>
      </c>
      <c r="B64" s="217" t="s">
        <v>3279</v>
      </c>
      <c r="C64" s="218">
        <v>46231</v>
      </c>
      <c r="D64" s="219" t="s">
        <v>3089</v>
      </c>
      <c r="E64" s="218">
        <v>46231</v>
      </c>
      <c r="F64" s="219" t="s">
        <v>3280</v>
      </c>
      <c r="G64" s="220" t="s">
        <v>64</v>
      </c>
      <c r="H64" s="221">
        <v>13940</v>
      </c>
      <c r="I64" s="221">
        <v>33700</v>
      </c>
      <c r="J64" s="221">
        <v>19760</v>
      </c>
    </row>
    <row r="65" spans="1:10" x14ac:dyDescent="0.3">
      <c r="A65" s="217">
        <v>61</v>
      </c>
      <c r="B65" s="217" t="s">
        <v>3281</v>
      </c>
      <c r="C65" s="218">
        <v>46231</v>
      </c>
      <c r="D65" s="219" t="s">
        <v>3282</v>
      </c>
      <c r="E65" s="218">
        <v>46231</v>
      </c>
      <c r="F65" s="219" t="s">
        <v>3283</v>
      </c>
      <c r="G65" s="220" t="s">
        <v>55</v>
      </c>
      <c r="H65" s="221">
        <v>13840</v>
      </c>
      <c r="I65" s="221">
        <v>33280</v>
      </c>
      <c r="J65" s="221">
        <v>19440</v>
      </c>
    </row>
    <row r="66" spans="1:10" x14ac:dyDescent="0.3">
      <c r="A66" s="217">
        <v>62</v>
      </c>
      <c r="B66" s="217" t="s">
        <v>3284</v>
      </c>
      <c r="C66" s="218">
        <v>46231</v>
      </c>
      <c r="D66" s="219" t="s">
        <v>239</v>
      </c>
      <c r="E66" s="218">
        <v>46231</v>
      </c>
      <c r="F66" s="219" t="s">
        <v>3285</v>
      </c>
      <c r="G66" s="220" t="s">
        <v>85</v>
      </c>
      <c r="H66" s="221">
        <v>13680</v>
      </c>
      <c r="I66" s="221">
        <v>33430</v>
      </c>
      <c r="J66" s="221">
        <v>19750</v>
      </c>
    </row>
    <row r="67" spans="1:10" x14ac:dyDescent="0.3">
      <c r="A67" s="217">
        <v>63</v>
      </c>
      <c r="B67" s="217" t="s">
        <v>3286</v>
      </c>
      <c r="C67" s="218">
        <v>46231</v>
      </c>
      <c r="D67" s="219" t="s">
        <v>3287</v>
      </c>
      <c r="E67" s="218">
        <v>46231</v>
      </c>
      <c r="F67" s="219" t="s">
        <v>3093</v>
      </c>
      <c r="G67" s="220" t="s">
        <v>143</v>
      </c>
      <c r="H67" s="221">
        <v>13740</v>
      </c>
      <c r="I67" s="221">
        <v>33710</v>
      </c>
      <c r="J67" s="221">
        <v>19970</v>
      </c>
    </row>
    <row r="68" spans="1:10" x14ac:dyDescent="0.3">
      <c r="A68" s="217">
        <v>64</v>
      </c>
      <c r="B68" s="217" t="s">
        <v>3288</v>
      </c>
      <c r="C68" s="218">
        <v>46231</v>
      </c>
      <c r="D68" s="219" t="s">
        <v>3289</v>
      </c>
      <c r="E68" s="218">
        <v>46231</v>
      </c>
      <c r="F68" s="219" t="s">
        <v>3290</v>
      </c>
      <c r="G68" s="220" t="s">
        <v>80</v>
      </c>
      <c r="H68" s="221">
        <v>14030</v>
      </c>
      <c r="I68" s="221">
        <v>34800</v>
      </c>
      <c r="J68" s="221">
        <v>20770</v>
      </c>
    </row>
    <row r="69" spans="1:10" x14ac:dyDescent="0.3">
      <c r="A69" s="217">
        <v>65</v>
      </c>
      <c r="B69" s="217" t="s">
        <v>3291</v>
      </c>
      <c r="C69" s="218">
        <v>46231</v>
      </c>
      <c r="D69" s="219" t="s">
        <v>3292</v>
      </c>
      <c r="E69" s="218">
        <v>46231</v>
      </c>
      <c r="F69" s="219" t="s">
        <v>3293</v>
      </c>
      <c r="G69" s="220" t="s">
        <v>335</v>
      </c>
      <c r="H69" s="221">
        <v>13890</v>
      </c>
      <c r="I69" s="221">
        <v>34450</v>
      </c>
      <c r="J69" s="221">
        <v>20560</v>
      </c>
    </row>
    <row r="70" spans="1:10" x14ac:dyDescent="0.3">
      <c r="A70" s="217">
        <v>66</v>
      </c>
      <c r="B70" s="217" t="s">
        <v>3294</v>
      </c>
      <c r="C70" s="218">
        <v>46231</v>
      </c>
      <c r="D70" s="219" t="s">
        <v>3295</v>
      </c>
      <c r="E70" s="218">
        <v>46231</v>
      </c>
      <c r="F70" s="219" t="s">
        <v>3296</v>
      </c>
      <c r="G70" s="220" t="s">
        <v>337</v>
      </c>
      <c r="H70" s="221">
        <v>13710</v>
      </c>
      <c r="I70" s="221">
        <v>33380</v>
      </c>
      <c r="J70" s="221">
        <v>19670</v>
      </c>
    </row>
    <row r="71" spans="1:10" x14ac:dyDescent="0.3">
      <c r="A71" s="217">
        <v>67</v>
      </c>
      <c r="B71" s="217" t="s">
        <v>3297</v>
      </c>
      <c r="C71" s="218">
        <v>46231</v>
      </c>
      <c r="D71" s="219" t="s">
        <v>3298</v>
      </c>
      <c r="E71" s="218">
        <v>46231</v>
      </c>
      <c r="F71" s="219" t="s">
        <v>3299</v>
      </c>
      <c r="G71" s="220" t="s">
        <v>90</v>
      </c>
      <c r="H71" s="221">
        <v>13670</v>
      </c>
      <c r="I71" s="221">
        <v>32650</v>
      </c>
      <c r="J71" s="221">
        <v>18980</v>
      </c>
    </row>
    <row r="72" spans="1:10" x14ac:dyDescent="0.3">
      <c r="A72" s="217">
        <v>68</v>
      </c>
      <c r="B72" s="217" t="s">
        <v>3300</v>
      </c>
      <c r="C72" s="218">
        <v>46231</v>
      </c>
      <c r="D72" s="219" t="s">
        <v>3301</v>
      </c>
      <c r="E72" s="218">
        <v>46231</v>
      </c>
      <c r="F72" s="219" t="s">
        <v>3302</v>
      </c>
      <c r="G72" s="220" t="s">
        <v>43</v>
      </c>
      <c r="H72" s="221">
        <v>13890</v>
      </c>
      <c r="I72" s="221">
        <v>33710</v>
      </c>
      <c r="J72" s="221">
        <v>19820</v>
      </c>
    </row>
    <row r="73" spans="1:10" x14ac:dyDescent="0.3">
      <c r="A73" s="217">
        <v>69</v>
      </c>
      <c r="B73" s="217" t="s">
        <v>3303</v>
      </c>
      <c r="C73" s="218">
        <v>46231</v>
      </c>
      <c r="D73" s="219" t="s">
        <v>3304</v>
      </c>
      <c r="E73" s="218">
        <v>46231</v>
      </c>
      <c r="F73" s="219" t="s">
        <v>3305</v>
      </c>
      <c r="G73" s="220" t="s">
        <v>840</v>
      </c>
      <c r="H73" s="221">
        <v>14000</v>
      </c>
      <c r="I73" s="221">
        <v>34280</v>
      </c>
      <c r="J73" s="221">
        <v>20280</v>
      </c>
    </row>
    <row r="74" spans="1:10" x14ac:dyDescent="0.3">
      <c r="A74" s="217">
        <v>70</v>
      </c>
      <c r="B74" s="217" t="s">
        <v>3306</v>
      </c>
      <c r="C74" s="218">
        <v>46231</v>
      </c>
      <c r="D74" s="219" t="s">
        <v>3307</v>
      </c>
      <c r="E74" s="218">
        <v>46231</v>
      </c>
      <c r="F74" s="219" t="s">
        <v>3308</v>
      </c>
      <c r="G74" s="220" t="s">
        <v>336</v>
      </c>
      <c r="H74" s="221">
        <v>13800</v>
      </c>
      <c r="I74" s="221">
        <v>34200</v>
      </c>
      <c r="J74" s="221">
        <v>20400</v>
      </c>
    </row>
    <row r="75" spans="1:10" x14ac:dyDescent="0.3">
      <c r="A75" s="217">
        <v>71</v>
      </c>
      <c r="B75" s="217" t="s">
        <v>3309</v>
      </c>
      <c r="C75" s="218">
        <v>46231</v>
      </c>
      <c r="D75" s="219" t="s">
        <v>3310</v>
      </c>
      <c r="E75" s="218">
        <v>46231</v>
      </c>
      <c r="F75" s="219" t="s">
        <v>3311</v>
      </c>
      <c r="G75" s="220" t="s">
        <v>843</v>
      </c>
      <c r="H75" s="221">
        <v>14120</v>
      </c>
      <c r="I75" s="221">
        <v>34660</v>
      </c>
      <c r="J75" s="221">
        <v>20540</v>
      </c>
    </row>
    <row r="76" spans="1:10" x14ac:dyDescent="0.3">
      <c r="A76" s="217">
        <v>72</v>
      </c>
      <c r="B76" s="217" t="s">
        <v>3312</v>
      </c>
      <c r="C76" s="218">
        <v>46231</v>
      </c>
      <c r="D76" s="219" t="s">
        <v>3313</v>
      </c>
      <c r="E76" s="218">
        <v>46231</v>
      </c>
      <c r="F76" s="219" t="s">
        <v>3314</v>
      </c>
      <c r="G76" s="220" t="s">
        <v>64</v>
      </c>
      <c r="H76" s="221">
        <v>13910</v>
      </c>
      <c r="I76" s="221">
        <v>33910</v>
      </c>
      <c r="J76" s="221">
        <v>20000</v>
      </c>
    </row>
    <row r="77" spans="1:10" x14ac:dyDescent="0.3">
      <c r="A77" s="217">
        <v>73</v>
      </c>
      <c r="B77" s="217" t="s">
        <v>3315</v>
      </c>
      <c r="C77" s="218">
        <v>46231</v>
      </c>
      <c r="D77" s="219" t="s">
        <v>3316</v>
      </c>
      <c r="E77" s="218">
        <v>46231</v>
      </c>
      <c r="F77" s="219" t="s">
        <v>3317</v>
      </c>
      <c r="G77" s="220" t="s">
        <v>55</v>
      </c>
      <c r="H77" s="221">
        <v>13800</v>
      </c>
      <c r="I77" s="221">
        <v>33800</v>
      </c>
      <c r="J77" s="221">
        <v>20000</v>
      </c>
    </row>
    <row r="78" spans="1:10" x14ac:dyDescent="0.3">
      <c r="A78" s="217">
        <v>74</v>
      </c>
      <c r="B78" s="217" t="s">
        <v>3318</v>
      </c>
      <c r="C78" s="218">
        <v>46231</v>
      </c>
      <c r="D78" s="219" t="s">
        <v>3319</v>
      </c>
      <c r="E78" s="218">
        <v>46231</v>
      </c>
      <c r="F78" s="219" t="s">
        <v>3320</v>
      </c>
      <c r="G78" s="220" t="s">
        <v>143</v>
      </c>
      <c r="H78" s="221">
        <v>13670</v>
      </c>
      <c r="I78" s="221">
        <v>33400</v>
      </c>
      <c r="J78" s="221">
        <v>19730</v>
      </c>
    </row>
    <row r="79" spans="1:10" x14ac:dyDescent="0.3">
      <c r="A79" s="217">
        <v>75</v>
      </c>
      <c r="B79" s="217" t="s">
        <v>3321</v>
      </c>
      <c r="C79" s="218">
        <v>46231</v>
      </c>
      <c r="D79" s="219" t="s">
        <v>3322</v>
      </c>
      <c r="E79" s="218">
        <v>46231</v>
      </c>
      <c r="F79" s="219" t="s">
        <v>3323</v>
      </c>
      <c r="G79" s="220" t="s">
        <v>85</v>
      </c>
      <c r="H79" s="221">
        <v>13690</v>
      </c>
      <c r="I79" s="221">
        <v>33120</v>
      </c>
      <c r="J79" s="221">
        <v>19430</v>
      </c>
    </row>
    <row r="80" spans="1:10" x14ac:dyDescent="0.3">
      <c r="A80" s="217">
        <v>76</v>
      </c>
      <c r="B80" s="217" t="s">
        <v>3324</v>
      </c>
      <c r="C80" s="218">
        <v>46231</v>
      </c>
      <c r="D80" s="219" t="s">
        <v>3325</v>
      </c>
      <c r="E80" s="218">
        <v>46231</v>
      </c>
      <c r="F80" s="219" t="s">
        <v>1211</v>
      </c>
      <c r="G80" s="220" t="s">
        <v>80</v>
      </c>
      <c r="H80" s="221">
        <v>14030</v>
      </c>
      <c r="I80" s="221">
        <v>33010</v>
      </c>
      <c r="J80" s="221">
        <v>18980</v>
      </c>
    </row>
    <row r="81" spans="1:10" x14ac:dyDescent="0.3">
      <c r="A81" s="217">
        <v>77</v>
      </c>
      <c r="B81" s="217" t="s">
        <v>3326</v>
      </c>
      <c r="C81" s="218">
        <v>46231</v>
      </c>
      <c r="D81" s="219" t="s">
        <v>3327</v>
      </c>
      <c r="E81" s="218">
        <v>46231</v>
      </c>
      <c r="F81" s="219" t="s">
        <v>3328</v>
      </c>
      <c r="G81" s="220" t="s">
        <v>335</v>
      </c>
      <c r="H81" s="221">
        <v>13980</v>
      </c>
      <c r="I81" s="221">
        <v>33990</v>
      </c>
      <c r="J81" s="221">
        <v>20010</v>
      </c>
    </row>
    <row r="82" spans="1:10" x14ac:dyDescent="0.3">
      <c r="A82" s="217">
        <v>78</v>
      </c>
      <c r="B82" s="217" t="s">
        <v>3329</v>
      </c>
      <c r="C82" s="218">
        <v>46231</v>
      </c>
      <c r="D82" s="219" t="s">
        <v>3330</v>
      </c>
      <c r="E82" s="218">
        <v>46231</v>
      </c>
      <c r="F82" s="219" t="s">
        <v>3331</v>
      </c>
      <c r="G82" s="220" t="s">
        <v>337</v>
      </c>
      <c r="H82" s="221">
        <v>13700</v>
      </c>
      <c r="I82" s="221">
        <v>33440</v>
      </c>
      <c r="J82" s="221">
        <v>19740</v>
      </c>
    </row>
    <row r="83" spans="1:10" x14ac:dyDescent="0.3">
      <c r="A83" s="217">
        <v>79</v>
      </c>
      <c r="B83" s="217" t="s">
        <v>3332</v>
      </c>
      <c r="C83" s="218">
        <v>46231</v>
      </c>
      <c r="D83" s="219" t="s">
        <v>3333</v>
      </c>
      <c r="E83" s="218">
        <v>46231</v>
      </c>
      <c r="F83" s="219" t="s">
        <v>3334</v>
      </c>
      <c r="G83" s="220" t="s">
        <v>90</v>
      </c>
      <c r="H83" s="221">
        <v>13630</v>
      </c>
      <c r="I83" s="221">
        <v>32860</v>
      </c>
      <c r="J83" s="221">
        <v>19230</v>
      </c>
    </row>
    <row r="84" spans="1:10" x14ac:dyDescent="0.3">
      <c r="A84" s="217">
        <v>80</v>
      </c>
      <c r="B84" s="217" t="s">
        <v>3335</v>
      </c>
      <c r="C84" s="218">
        <v>46231</v>
      </c>
      <c r="D84" s="219" t="s">
        <v>3336</v>
      </c>
      <c r="E84" s="218">
        <v>46231</v>
      </c>
      <c r="F84" s="219" t="s">
        <v>3337</v>
      </c>
      <c r="G84" s="220" t="s">
        <v>43</v>
      </c>
      <c r="H84" s="221">
        <v>13840</v>
      </c>
      <c r="I84" s="221">
        <v>33790</v>
      </c>
      <c r="J84" s="221">
        <v>19950</v>
      </c>
    </row>
    <row r="85" spans="1:10" x14ac:dyDescent="0.3">
      <c r="A85" s="217">
        <v>81</v>
      </c>
      <c r="B85" s="217" t="s">
        <v>3338</v>
      </c>
      <c r="C85" s="218">
        <v>46231</v>
      </c>
      <c r="D85" s="219" t="s">
        <v>3339</v>
      </c>
      <c r="E85" s="218">
        <v>46231</v>
      </c>
      <c r="F85" s="219" t="s">
        <v>3340</v>
      </c>
      <c r="G85" s="220" t="s">
        <v>840</v>
      </c>
      <c r="H85" s="221">
        <v>13970</v>
      </c>
      <c r="I85" s="221">
        <v>33940</v>
      </c>
      <c r="J85" s="221">
        <v>19970</v>
      </c>
    </row>
    <row r="86" spans="1:10" x14ac:dyDescent="0.3">
      <c r="A86" s="217">
        <v>82</v>
      </c>
      <c r="B86" s="217" t="s">
        <v>3341</v>
      </c>
      <c r="C86" s="218">
        <v>46231</v>
      </c>
      <c r="D86" s="219" t="s">
        <v>3342</v>
      </c>
      <c r="E86" s="218">
        <v>46231</v>
      </c>
      <c r="F86" s="219" t="s">
        <v>3343</v>
      </c>
      <c r="G86" s="220" t="s">
        <v>336</v>
      </c>
      <c r="H86" s="221">
        <v>13790</v>
      </c>
      <c r="I86" s="221">
        <v>34150</v>
      </c>
      <c r="J86" s="221">
        <v>20360</v>
      </c>
    </row>
    <row r="87" spans="1:10" x14ac:dyDescent="0.3">
      <c r="A87" s="217">
        <v>83</v>
      </c>
      <c r="B87" s="217" t="s">
        <v>3344</v>
      </c>
      <c r="C87" s="218">
        <v>46231</v>
      </c>
      <c r="D87" s="219" t="s">
        <v>3345</v>
      </c>
      <c r="E87" s="218">
        <v>46231</v>
      </c>
      <c r="F87" s="219" t="s">
        <v>3346</v>
      </c>
      <c r="G87" s="220" t="s">
        <v>843</v>
      </c>
      <c r="H87" s="221">
        <v>14090</v>
      </c>
      <c r="I87" s="221">
        <v>34140</v>
      </c>
      <c r="J87" s="221">
        <v>20050</v>
      </c>
    </row>
    <row r="88" spans="1:10" x14ac:dyDescent="0.3">
      <c r="A88" s="217">
        <v>84</v>
      </c>
      <c r="B88" s="217" t="s">
        <v>3347</v>
      </c>
      <c r="C88" s="218">
        <v>46231</v>
      </c>
      <c r="D88" s="219" t="s">
        <v>3348</v>
      </c>
      <c r="E88" s="218">
        <v>46231</v>
      </c>
      <c r="F88" s="219" t="s">
        <v>3349</v>
      </c>
      <c r="G88" s="220" t="s">
        <v>64</v>
      </c>
      <c r="H88" s="221">
        <v>13890</v>
      </c>
      <c r="I88" s="221">
        <v>35090</v>
      </c>
      <c r="J88" s="221">
        <v>21200</v>
      </c>
    </row>
    <row r="89" spans="1:10" x14ac:dyDescent="0.3">
      <c r="A89" s="217">
        <v>85</v>
      </c>
      <c r="B89" s="217" t="s">
        <v>3350</v>
      </c>
      <c r="C89" s="218">
        <v>46231</v>
      </c>
      <c r="D89" s="219" t="s">
        <v>3351</v>
      </c>
      <c r="E89" s="218">
        <v>46231</v>
      </c>
      <c r="F89" s="219" t="s">
        <v>3352</v>
      </c>
      <c r="G89" s="220" t="s">
        <v>55</v>
      </c>
      <c r="H89" s="221">
        <v>13770</v>
      </c>
      <c r="I89" s="221">
        <v>34050</v>
      </c>
      <c r="J89" s="221">
        <v>20280</v>
      </c>
    </row>
    <row r="90" spans="1:10" x14ac:dyDescent="0.3">
      <c r="A90" s="217">
        <v>86</v>
      </c>
      <c r="B90" s="217" t="s">
        <v>3353</v>
      </c>
      <c r="C90" s="218">
        <v>46231</v>
      </c>
      <c r="D90" s="219" t="s">
        <v>3354</v>
      </c>
      <c r="E90" s="218">
        <v>46231</v>
      </c>
      <c r="F90" s="219" t="s">
        <v>3355</v>
      </c>
      <c r="G90" s="220" t="s">
        <v>143</v>
      </c>
      <c r="H90" s="221">
        <v>13950</v>
      </c>
      <c r="I90" s="221">
        <v>32420</v>
      </c>
      <c r="J90" s="221">
        <v>18470</v>
      </c>
    </row>
    <row r="91" spans="1:10" x14ac:dyDescent="0.3">
      <c r="A91" s="217">
        <v>87</v>
      </c>
      <c r="B91" s="217" t="s">
        <v>3356</v>
      </c>
      <c r="C91" s="218">
        <v>46231</v>
      </c>
      <c r="D91" s="219" t="s">
        <v>3357</v>
      </c>
      <c r="E91" s="218">
        <v>46231</v>
      </c>
      <c r="F91" s="219" t="s">
        <v>3358</v>
      </c>
      <c r="G91" s="220" t="s">
        <v>85</v>
      </c>
      <c r="H91" s="221">
        <v>13610</v>
      </c>
      <c r="I91" s="221">
        <v>33930</v>
      </c>
      <c r="J91" s="221">
        <v>20320</v>
      </c>
    </row>
    <row r="92" spans="1:10" x14ac:dyDescent="0.3">
      <c r="A92" s="217">
        <v>88</v>
      </c>
      <c r="B92" s="217" t="s">
        <v>3359</v>
      </c>
      <c r="C92" s="218">
        <v>46231</v>
      </c>
      <c r="D92" s="219" t="s">
        <v>3360</v>
      </c>
      <c r="E92" s="218">
        <v>46231</v>
      </c>
      <c r="F92" s="219" t="s">
        <v>3361</v>
      </c>
      <c r="G92" s="220" t="s">
        <v>80</v>
      </c>
      <c r="H92" s="221">
        <v>13980</v>
      </c>
      <c r="I92" s="221">
        <v>33860</v>
      </c>
      <c r="J92" s="221">
        <v>19880</v>
      </c>
    </row>
    <row r="93" spans="1:10" x14ac:dyDescent="0.3">
      <c r="A93" s="217">
        <v>89</v>
      </c>
      <c r="B93" s="217" t="s">
        <v>3362</v>
      </c>
      <c r="C93" s="218">
        <v>46231</v>
      </c>
      <c r="D93" s="219" t="s">
        <v>3363</v>
      </c>
      <c r="E93" s="218">
        <v>46231</v>
      </c>
      <c r="F93" s="219" t="s">
        <v>3364</v>
      </c>
      <c r="G93" s="220" t="s">
        <v>337</v>
      </c>
      <c r="H93" s="221">
        <v>13970</v>
      </c>
      <c r="I93" s="221">
        <v>34550</v>
      </c>
      <c r="J93" s="221">
        <v>20580</v>
      </c>
    </row>
    <row r="94" spans="1:10" x14ac:dyDescent="0.3">
      <c r="A94" s="217">
        <v>90</v>
      </c>
      <c r="B94" s="217" t="s">
        <v>3365</v>
      </c>
      <c r="C94" s="218">
        <v>46231</v>
      </c>
      <c r="D94" s="219" t="s">
        <v>3366</v>
      </c>
      <c r="E94" s="218">
        <v>46231</v>
      </c>
      <c r="F94" s="219" t="s">
        <v>3367</v>
      </c>
      <c r="G94" s="220" t="s">
        <v>90</v>
      </c>
      <c r="H94" s="221">
        <v>13920</v>
      </c>
      <c r="I94" s="221">
        <v>32310</v>
      </c>
      <c r="J94" s="221">
        <v>18390</v>
      </c>
    </row>
    <row r="95" spans="1:10" x14ac:dyDescent="0.3">
      <c r="A95" s="217">
        <v>91</v>
      </c>
      <c r="B95" s="217" t="s">
        <v>3368</v>
      </c>
      <c r="C95" s="218">
        <v>46231</v>
      </c>
      <c r="D95" s="219" t="s">
        <v>3369</v>
      </c>
      <c r="E95" s="218">
        <v>46231</v>
      </c>
      <c r="F95" s="219" t="s">
        <v>3370</v>
      </c>
      <c r="G95" s="220" t="s">
        <v>840</v>
      </c>
      <c r="H95" s="221">
        <v>13950</v>
      </c>
      <c r="I95" s="221">
        <v>34040</v>
      </c>
      <c r="J95" s="221">
        <v>20090</v>
      </c>
    </row>
    <row r="96" spans="1:10" x14ac:dyDescent="0.3">
      <c r="A96" s="217">
        <v>92</v>
      </c>
      <c r="B96" s="217" t="s">
        <v>3371</v>
      </c>
      <c r="C96" s="218">
        <v>46231</v>
      </c>
      <c r="D96" s="219" t="s">
        <v>3372</v>
      </c>
      <c r="E96" s="218">
        <v>46231</v>
      </c>
      <c r="F96" s="219" t="s">
        <v>3373</v>
      </c>
      <c r="G96" s="220" t="s">
        <v>43</v>
      </c>
      <c r="H96" s="221">
        <v>13830</v>
      </c>
      <c r="I96" s="221">
        <v>34710</v>
      </c>
      <c r="J96" s="221">
        <v>20880</v>
      </c>
    </row>
    <row r="97" spans="1:10" x14ac:dyDescent="0.3">
      <c r="A97" s="217">
        <v>93</v>
      </c>
      <c r="B97" s="217" t="s">
        <v>3374</v>
      </c>
      <c r="C97" s="218">
        <v>46231</v>
      </c>
      <c r="D97" s="219" t="s">
        <v>3375</v>
      </c>
      <c r="E97" s="218">
        <v>46231</v>
      </c>
      <c r="F97" s="219" t="s">
        <v>3376</v>
      </c>
      <c r="G97" s="220" t="s">
        <v>336</v>
      </c>
      <c r="H97" s="221">
        <v>13850</v>
      </c>
      <c r="I97" s="221">
        <v>33510</v>
      </c>
      <c r="J97" s="221">
        <v>19660</v>
      </c>
    </row>
    <row r="98" spans="1:10" x14ac:dyDescent="0.3">
      <c r="A98" s="217">
        <v>94</v>
      </c>
      <c r="B98" s="217" t="s">
        <v>3377</v>
      </c>
      <c r="C98" s="218">
        <v>46231</v>
      </c>
      <c r="D98" s="219" t="s">
        <v>3378</v>
      </c>
      <c r="E98" s="218">
        <v>46231</v>
      </c>
      <c r="F98" s="219" t="s">
        <v>3379</v>
      </c>
      <c r="G98" s="220" t="s">
        <v>843</v>
      </c>
      <c r="H98" s="221">
        <v>14060</v>
      </c>
      <c r="I98" s="221">
        <v>34790</v>
      </c>
      <c r="J98" s="221">
        <v>20730</v>
      </c>
    </row>
    <row r="99" spans="1:10" x14ac:dyDescent="0.3">
      <c r="A99" s="217">
        <v>95</v>
      </c>
      <c r="B99" s="217" t="s">
        <v>3380</v>
      </c>
      <c r="C99" s="218">
        <v>46231</v>
      </c>
      <c r="D99" s="219" t="s">
        <v>3381</v>
      </c>
      <c r="E99" s="218">
        <v>46231</v>
      </c>
      <c r="F99" s="219" t="s">
        <v>3382</v>
      </c>
      <c r="G99" s="220" t="s">
        <v>64</v>
      </c>
      <c r="H99" s="221">
        <v>13870</v>
      </c>
      <c r="I99" s="221">
        <v>33790</v>
      </c>
      <c r="J99" s="221">
        <v>19920</v>
      </c>
    </row>
    <row r="100" spans="1:10" x14ac:dyDescent="0.3">
      <c r="A100" s="217">
        <v>96</v>
      </c>
      <c r="B100" s="217" t="s">
        <v>3383</v>
      </c>
      <c r="C100" s="218">
        <v>46231</v>
      </c>
      <c r="D100" s="219" t="s">
        <v>3384</v>
      </c>
      <c r="E100" s="218">
        <v>46231</v>
      </c>
      <c r="F100" s="219" t="s">
        <v>3385</v>
      </c>
      <c r="G100" s="220" t="s">
        <v>143</v>
      </c>
      <c r="H100" s="221">
        <v>13910</v>
      </c>
      <c r="I100" s="221">
        <v>33260</v>
      </c>
      <c r="J100" s="221">
        <v>19350</v>
      </c>
    </row>
    <row r="101" spans="1:10" x14ac:dyDescent="0.3">
      <c r="A101" s="217">
        <v>97</v>
      </c>
      <c r="B101" s="217" t="s">
        <v>3386</v>
      </c>
      <c r="C101" s="218">
        <v>46231</v>
      </c>
      <c r="D101" s="219" t="s">
        <v>3387</v>
      </c>
      <c r="E101" s="218">
        <v>46231</v>
      </c>
      <c r="F101" s="219" t="s">
        <v>3388</v>
      </c>
      <c r="G101" s="220" t="s">
        <v>80</v>
      </c>
      <c r="H101" s="221">
        <v>13960</v>
      </c>
      <c r="I101" s="221">
        <v>33950</v>
      </c>
      <c r="J101" s="221">
        <v>19990</v>
      </c>
    </row>
    <row r="102" spans="1:10" x14ac:dyDescent="0.3">
      <c r="A102" s="217">
        <v>98</v>
      </c>
      <c r="B102" s="217" t="s">
        <v>3389</v>
      </c>
      <c r="C102" s="218">
        <v>46231</v>
      </c>
      <c r="D102" s="219" t="s">
        <v>1295</v>
      </c>
      <c r="E102" s="218">
        <v>46231</v>
      </c>
      <c r="F102" s="219" t="s">
        <v>2808</v>
      </c>
      <c r="G102" s="220" t="s">
        <v>55</v>
      </c>
      <c r="H102" s="221">
        <v>13740</v>
      </c>
      <c r="I102" s="221">
        <v>32890</v>
      </c>
      <c r="J102" s="221">
        <v>19150</v>
      </c>
    </row>
    <row r="103" spans="1:10" x14ac:dyDescent="0.3">
      <c r="A103" s="217">
        <v>99</v>
      </c>
      <c r="B103" s="217" t="s">
        <v>3390</v>
      </c>
      <c r="C103" s="218">
        <v>46231</v>
      </c>
      <c r="D103" s="219" t="s">
        <v>3391</v>
      </c>
      <c r="E103" s="218">
        <v>46231</v>
      </c>
      <c r="F103" s="219" t="s">
        <v>3392</v>
      </c>
      <c r="G103" s="220" t="s">
        <v>85</v>
      </c>
      <c r="H103" s="221">
        <v>13560</v>
      </c>
      <c r="I103" s="221">
        <v>33730</v>
      </c>
      <c r="J103" s="221">
        <v>20170</v>
      </c>
    </row>
    <row r="104" spans="1:10" x14ac:dyDescent="0.3">
      <c r="A104" s="217">
        <v>100</v>
      </c>
      <c r="B104" s="217" t="s">
        <v>3393</v>
      </c>
      <c r="C104" s="218">
        <v>46231</v>
      </c>
      <c r="D104" s="219" t="s">
        <v>3394</v>
      </c>
      <c r="E104" s="218">
        <v>46231</v>
      </c>
      <c r="F104" s="219" t="s">
        <v>3395</v>
      </c>
      <c r="G104" s="220" t="s">
        <v>337</v>
      </c>
      <c r="H104" s="221">
        <v>13980</v>
      </c>
      <c r="I104" s="221">
        <v>34070</v>
      </c>
      <c r="J104" s="221">
        <v>20090</v>
      </c>
    </row>
    <row r="105" spans="1:10" x14ac:dyDescent="0.3">
      <c r="A105" s="217">
        <v>101</v>
      </c>
      <c r="B105" s="217" t="s">
        <v>3396</v>
      </c>
      <c r="C105" s="218">
        <v>46231</v>
      </c>
      <c r="D105" s="219" t="s">
        <v>3397</v>
      </c>
      <c r="E105" s="218">
        <v>46231</v>
      </c>
      <c r="F105" s="219" t="s">
        <v>3398</v>
      </c>
      <c r="G105" s="220" t="s">
        <v>90</v>
      </c>
      <c r="H105" s="221">
        <v>13900</v>
      </c>
      <c r="I105" s="221">
        <v>33460</v>
      </c>
      <c r="J105" s="221">
        <v>19560</v>
      </c>
    </row>
    <row r="106" spans="1:10" x14ac:dyDescent="0.3">
      <c r="A106" s="217">
        <v>102</v>
      </c>
      <c r="B106" s="217" t="s">
        <v>3399</v>
      </c>
      <c r="C106" s="218">
        <v>46231</v>
      </c>
      <c r="D106" s="219" t="s">
        <v>3400</v>
      </c>
      <c r="E106" s="218">
        <v>46231</v>
      </c>
      <c r="F106" s="219" t="s">
        <v>3401</v>
      </c>
      <c r="G106" s="220" t="s">
        <v>840</v>
      </c>
      <c r="H106" s="221">
        <v>13920</v>
      </c>
      <c r="I106" s="221">
        <v>33420</v>
      </c>
      <c r="J106" s="221">
        <v>19500</v>
      </c>
    </row>
    <row r="107" spans="1:10" x14ac:dyDescent="0.3">
      <c r="A107" s="217">
        <v>103</v>
      </c>
      <c r="B107" s="217" t="s">
        <v>3402</v>
      </c>
      <c r="C107" s="218">
        <v>46231</v>
      </c>
      <c r="D107" s="219" t="s">
        <v>3403</v>
      </c>
      <c r="E107" s="218">
        <v>46231</v>
      </c>
      <c r="F107" s="219" t="s">
        <v>3404</v>
      </c>
      <c r="G107" s="220" t="s">
        <v>336</v>
      </c>
      <c r="H107" s="221">
        <v>13820</v>
      </c>
      <c r="I107" s="221">
        <v>34610</v>
      </c>
      <c r="J107" s="221">
        <v>20790</v>
      </c>
    </row>
    <row r="108" spans="1:10" x14ac:dyDescent="0.3">
      <c r="A108" s="217">
        <v>104</v>
      </c>
      <c r="B108" s="217" t="s">
        <v>3405</v>
      </c>
      <c r="C108" s="218">
        <v>46231</v>
      </c>
      <c r="D108" s="219" t="s">
        <v>3406</v>
      </c>
      <c r="E108" s="218">
        <v>46231</v>
      </c>
      <c r="F108" s="219" t="s">
        <v>3407</v>
      </c>
      <c r="G108" s="220" t="s">
        <v>843</v>
      </c>
      <c r="H108" s="221">
        <v>14040</v>
      </c>
      <c r="I108" s="221">
        <v>33650</v>
      </c>
      <c r="J108" s="221">
        <v>19610</v>
      </c>
    </row>
    <row r="109" spans="1:10" x14ac:dyDescent="0.3">
      <c r="A109" s="217">
        <v>105</v>
      </c>
      <c r="B109" s="217" t="s">
        <v>3408</v>
      </c>
      <c r="C109" s="218">
        <v>46231</v>
      </c>
      <c r="D109" s="219" t="s">
        <v>3409</v>
      </c>
      <c r="E109" s="218">
        <v>46231</v>
      </c>
      <c r="F109" s="219" t="s">
        <v>3410</v>
      </c>
      <c r="G109" s="220" t="s">
        <v>143</v>
      </c>
      <c r="H109" s="221">
        <v>13910</v>
      </c>
      <c r="I109" s="221">
        <v>34700</v>
      </c>
      <c r="J109" s="221">
        <v>20790</v>
      </c>
    </row>
    <row r="110" spans="1:10" x14ac:dyDescent="0.3">
      <c r="A110" s="217">
        <v>106</v>
      </c>
      <c r="B110" s="217" t="s">
        <v>3411</v>
      </c>
      <c r="C110" s="218">
        <v>46231</v>
      </c>
      <c r="D110" s="219" t="s">
        <v>3412</v>
      </c>
      <c r="E110" s="218">
        <v>46231</v>
      </c>
      <c r="F110" s="219" t="s">
        <v>3413</v>
      </c>
      <c r="G110" s="220" t="s">
        <v>64</v>
      </c>
      <c r="H110" s="221">
        <v>13850</v>
      </c>
      <c r="I110" s="221">
        <v>32990</v>
      </c>
      <c r="J110" s="221">
        <v>19140</v>
      </c>
    </row>
    <row r="111" spans="1:10" x14ac:dyDescent="0.3">
      <c r="A111" s="217">
        <v>107</v>
      </c>
      <c r="B111" s="217" t="s">
        <v>3414</v>
      </c>
      <c r="C111" s="218">
        <v>46231</v>
      </c>
      <c r="D111" s="219" t="s">
        <v>3415</v>
      </c>
      <c r="E111" s="218">
        <v>46231</v>
      </c>
      <c r="F111" s="219" t="s">
        <v>3096</v>
      </c>
      <c r="G111" s="220" t="s">
        <v>80</v>
      </c>
      <c r="H111" s="221">
        <v>14000</v>
      </c>
      <c r="I111" s="221">
        <v>34180</v>
      </c>
      <c r="J111" s="221">
        <v>20180</v>
      </c>
    </row>
    <row r="112" spans="1:10" x14ac:dyDescent="0.3">
      <c r="A112" s="217">
        <v>108</v>
      </c>
      <c r="B112" s="217" t="s">
        <v>3416</v>
      </c>
      <c r="C112" s="218">
        <v>46231</v>
      </c>
      <c r="D112" s="219" t="s">
        <v>3417</v>
      </c>
      <c r="E112" s="218">
        <v>46231</v>
      </c>
      <c r="F112" s="219" t="s">
        <v>3418</v>
      </c>
      <c r="G112" s="220" t="s">
        <v>85</v>
      </c>
      <c r="H112" s="221">
        <v>13770</v>
      </c>
      <c r="I112" s="221">
        <v>33820</v>
      </c>
      <c r="J112" s="221">
        <v>20050</v>
      </c>
    </row>
    <row r="113" spans="1:10" x14ac:dyDescent="0.3">
      <c r="A113" s="217">
        <v>109</v>
      </c>
      <c r="B113" s="217" t="s">
        <v>3419</v>
      </c>
      <c r="C113" s="218">
        <v>46231</v>
      </c>
      <c r="D113" s="219" t="s">
        <v>3420</v>
      </c>
      <c r="E113" s="218">
        <v>46231</v>
      </c>
      <c r="F113" s="219" t="s">
        <v>3421</v>
      </c>
      <c r="G113" s="220" t="s">
        <v>55</v>
      </c>
      <c r="H113" s="221">
        <v>13760</v>
      </c>
      <c r="I113" s="221">
        <v>32050</v>
      </c>
      <c r="J113" s="221">
        <v>18290</v>
      </c>
    </row>
    <row r="114" spans="1:10" x14ac:dyDescent="0.3">
      <c r="A114" s="217">
        <v>110</v>
      </c>
      <c r="B114" s="217" t="s">
        <v>3422</v>
      </c>
      <c r="C114" s="218">
        <v>46231</v>
      </c>
      <c r="D114" s="219" t="s">
        <v>3423</v>
      </c>
      <c r="E114" s="218">
        <v>46231</v>
      </c>
      <c r="F114" s="219" t="s">
        <v>3424</v>
      </c>
      <c r="G114" s="220" t="s">
        <v>337</v>
      </c>
      <c r="H114" s="221">
        <v>13980</v>
      </c>
      <c r="I114" s="221">
        <v>31570</v>
      </c>
      <c r="J114" s="221">
        <v>17590</v>
      </c>
    </row>
    <row r="115" spans="1:10" x14ac:dyDescent="0.3">
      <c r="A115" s="217">
        <v>111</v>
      </c>
      <c r="B115" s="217" t="s">
        <v>3425</v>
      </c>
      <c r="C115" s="218">
        <v>46231</v>
      </c>
      <c r="D115" s="219" t="s">
        <v>3426</v>
      </c>
      <c r="E115" s="218">
        <v>46231</v>
      </c>
      <c r="F115" s="219" t="s">
        <v>3090</v>
      </c>
      <c r="G115" s="220" t="s">
        <v>90</v>
      </c>
      <c r="H115" s="221">
        <v>13850</v>
      </c>
      <c r="I115" s="221">
        <v>32870</v>
      </c>
      <c r="J115" s="221">
        <v>19020</v>
      </c>
    </row>
    <row r="116" spans="1:10" x14ac:dyDescent="0.3">
      <c r="A116" s="217">
        <v>112</v>
      </c>
      <c r="B116" s="217" t="s">
        <v>3427</v>
      </c>
      <c r="C116" s="218">
        <v>46232</v>
      </c>
      <c r="D116" s="219" t="s">
        <v>3428</v>
      </c>
      <c r="E116" s="218">
        <v>46232</v>
      </c>
      <c r="F116" s="219" t="s">
        <v>3429</v>
      </c>
      <c r="G116" s="220" t="s">
        <v>843</v>
      </c>
      <c r="H116" s="221">
        <v>14020</v>
      </c>
      <c r="I116" s="221">
        <v>34280</v>
      </c>
      <c r="J116" s="221">
        <v>20260</v>
      </c>
    </row>
    <row r="117" spans="1:10" x14ac:dyDescent="0.3">
      <c r="A117" s="217">
        <v>113</v>
      </c>
      <c r="B117" s="217" t="s">
        <v>3430</v>
      </c>
      <c r="C117" s="218">
        <v>46232</v>
      </c>
      <c r="D117" s="219" t="s">
        <v>3431</v>
      </c>
      <c r="E117" s="218">
        <v>46232</v>
      </c>
      <c r="F117" s="219" t="s">
        <v>3432</v>
      </c>
      <c r="G117" s="220" t="s">
        <v>64</v>
      </c>
      <c r="H117" s="221">
        <v>13850</v>
      </c>
      <c r="I117" s="221">
        <v>34330</v>
      </c>
      <c r="J117" s="221">
        <v>20480</v>
      </c>
    </row>
    <row r="118" spans="1:10" x14ac:dyDescent="0.3">
      <c r="A118" s="217">
        <v>114</v>
      </c>
      <c r="B118" s="217" t="s">
        <v>3433</v>
      </c>
      <c r="C118" s="218">
        <v>46232</v>
      </c>
      <c r="D118" s="219" t="s">
        <v>3434</v>
      </c>
      <c r="E118" s="218">
        <v>46232</v>
      </c>
      <c r="F118" s="219" t="s">
        <v>3435</v>
      </c>
      <c r="G118" s="220" t="s">
        <v>76</v>
      </c>
      <c r="H118" s="221">
        <v>13730</v>
      </c>
      <c r="I118" s="221">
        <v>33190</v>
      </c>
      <c r="J118" s="221">
        <v>19460</v>
      </c>
    </row>
    <row r="119" spans="1:10" x14ac:dyDescent="0.3">
      <c r="A119" s="217">
        <v>115</v>
      </c>
      <c r="B119" s="217" t="s">
        <v>3436</v>
      </c>
      <c r="C119" s="218">
        <v>46232</v>
      </c>
      <c r="D119" s="219" t="s">
        <v>3437</v>
      </c>
      <c r="E119" s="218">
        <v>46232</v>
      </c>
      <c r="F119" s="219" t="s">
        <v>3094</v>
      </c>
      <c r="G119" s="220" t="s">
        <v>842</v>
      </c>
      <c r="H119" s="221">
        <v>13890</v>
      </c>
      <c r="I119" s="221">
        <v>33880</v>
      </c>
      <c r="J119" s="221">
        <v>19990</v>
      </c>
    </row>
    <row r="120" spans="1:10" x14ac:dyDescent="0.3">
      <c r="A120" s="217">
        <v>116</v>
      </c>
      <c r="B120" s="217" t="s">
        <v>3438</v>
      </c>
      <c r="C120" s="218">
        <v>46232</v>
      </c>
      <c r="D120" s="219" t="s">
        <v>3439</v>
      </c>
      <c r="E120" s="218">
        <v>46232</v>
      </c>
      <c r="F120" s="219" t="s">
        <v>3440</v>
      </c>
      <c r="G120" s="220" t="s">
        <v>80</v>
      </c>
      <c r="H120" s="221">
        <v>13900</v>
      </c>
      <c r="I120" s="221">
        <v>32800</v>
      </c>
      <c r="J120" s="221">
        <v>18900</v>
      </c>
    </row>
    <row r="121" spans="1:10" x14ac:dyDescent="0.3">
      <c r="A121" s="217">
        <v>117</v>
      </c>
      <c r="B121" s="217" t="s">
        <v>3441</v>
      </c>
      <c r="C121" s="218">
        <v>46232</v>
      </c>
      <c r="D121" s="219" t="s">
        <v>3442</v>
      </c>
      <c r="E121" s="218">
        <v>46232</v>
      </c>
      <c r="F121" s="219" t="s">
        <v>3443</v>
      </c>
      <c r="G121" s="220" t="s">
        <v>71</v>
      </c>
      <c r="H121" s="221">
        <v>13930</v>
      </c>
      <c r="I121" s="221">
        <v>34280</v>
      </c>
      <c r="J121" s="221">
        <v>20350</v>
      </c>
    </row>
    <row r="122" spans="1:10" x14ac:dyDescent="0.3">
      <c r="A122" s="217">
        <v>118</v>
      </c>
      <c r="B122" s="217" t="s">
        <v>3444</v>
      </c>
      <c r="C122" s="218">
        <v>46232</v>
      </c>
      <c r="D122" s="219" t="s">
        <v>3445</v>
      </c>
      <c r="E122" s="218">
        <v>46232</v>
      </c>
      <c r="F122" s="219" t="s">
        <v>3446</v>
      </c>
      <c r="G122" s="220" t="s">
        <v>336</v>
      </c>
      <c r="H122" s="221">
        <v>13930</v>
      </c>
      <c r="I122" s="221">
        <v>33620</v>
      </c>
      <c r="J122" s="221">
        <v>19690</v>
      </c>
    </row>
    <row r="123" spans="1:10" x14ac:dyDescent="0.3">
      <c r="A123" s="217">
        <v>119</v>
      </c>
      <c r="B123" s="217" t="s">
        <v>3447</v>
      </c>
      <c r="C123" s="218">
        <v>46232</v>
      </c>
      <c r="D123" s="219" t="s">
        <v>2409</v>
      </c>
      <c r="E123" s="218">
        <v>46232</v>
      </c>
      <c r="F123" s="219" t="s">
        <v>212</v>
      </c>
      <c r="G123" s="220" t="s">
        <v>840</v>
      </c>
      <c r="H123" s="221">
        <v>13900</v>
      </c>
      <c r="I123" s="221">
        <v>33280</v>
      </c>
      <c r="J123" s="221">
        <v>19380</v>
      </c>
    </row>
    <row r="124" spans="1:10" x14ac:dyDescent="0.3">
      <c r="A124" s="217">
        <v>120</v>
      </c>
      <c r="B124" s="217" t="s">
        <v>3448</v>
      </c>
      <c r="C124" s="218">
        <v>46232</v>
      </c>
      <c r="D124" s="219" t="s">
        <v>3449</v>
      </c>
      <c r="E124" s="218">
        <v>46232</v>
      </c>
      <c r="F124" s="219" t="s">
        <v>3450</v>
      </c>
      <c r="G124" s="220" t="s">
        <v>90</v>
      </c>
      <c r="H124" s="221">
        <v>13870</v>
      </c>
      <c r="I124" s="221">
        <v>32730</v>
      </c>
      <c r="J124" s="221">
        <v>18860</v>
      </c>
    </row>
    <row r="125" spans="1:10" x14ac:dyDescent="0.3">
      <c r="A125" s="217">
        <v>121</v>
      </c>
      <c r="B125" s="217" t="s">
        <v>3451</v>
      </c>
      <c r="C125" s="218">
        <v>46232</v>
      </c>
      <c r="D125" s="219" t="s">
        <v>3452</v>
      </c>
      <c r="E125" s="218">
        <v>46232</v>
      </c>
      <c r="F125" s="219" t="s">
        <v>3453</v>
      </c>
      <c r="G125" s="220" t="s">
        <v>43</v>
      </c>
      <c r="H125" s="221">
        <v>13850</v>
      </c>
      <c r="I125" s="221">
        <v>32090</v>
      </c>
      <c r="J125" s="221">
        <v>18240</v>
      </c>
    </row>
    <row r="126" spans="1:10" x14ac:dyDescent="0.3">
      <c r="A126" s="217">
        <v>122</v>
      </c>
      <c r="B126" s="217" t="s">
        <v>3454</v>
      </c>
      <c r="C126" s="218">
        <v>46232</v>
      </c>
      <c r="D126" s="219" t="s">
        <v>3455</v>
      </c>
      <c r="E126" s="218">
        <v>46232</v>
      </c>
      <c r="F126" s="219" t="s">
        <v>3456</v>
      </c>
      <c r="G126" s="220" t="s">
        <v>537</v>
      </c>
      <c r="H126" s="221">
        <v>14030</v>
      </c>
      <c r="I126" s="221">
        <v>33770</v>
      </c>
      <c r="J126" s="221">
        <v>19740</v>
      </c>
    </row>
    <row r="127" spans="1:10" x14ac:dyDescent="0.3">
      <c r="A127" s="217">
        <v>123</v>
      </c>
      <c r="B127" s="217" t="s">
        <v>3457</v>
      </c>
      <c r="C127" s="218">
        <v>46232</v>
      </c>
      <c r="D127" s="219" t="s">
        <v>3458</v>
      </c>
      <c r="E127" s="218">
        <v>46232</v>
      </c>
      <c r="F127" s="219" t="s">
        <v>3459</v>
      </c>
      <c r="G127" s="220" t="s">
        <v>143</v>
      </c>
      <c r="H127" s="221">
        <v>13890</v>
      </c>
      <c r="I127" s="221">
        <v>33810</v>
      </c>
      <c r="J127" s="221">
        <v>19920</v>
      </c>
    </row>
    <row r="128" spans="1:10" x14ac:dyDescent="0.3">
      <c r="A128" s="217">
        <v>124</v>
      </c>
      <c r="B128" s="217" t="s">
        <v>3460</v>
      </c>
      <c r="C128" s="218">
        <v>46232</v>
      </c>
      <c r="D128" s="219" t="s">
        <v>3461</v>
      </c>
      <c r="E128" s="218">
        <v>46232</v>
      </c>
      <c r="F128" s="219" t="s">
        <v>3462</v>
      </c>
      <c r="G128" s="220" t="s">
        <v>55</v>
      </c>
      <c r="H128" s="221">
        <v>13670</v>
      </c>
      <c r="I128" s="221">
        <v>34150</v>
      </c>
      <c r="J128" s="221">
        <v>20480</v>
      </c>
    </row>
    <row r="129" spans="1:10" x14ac:dyDescent="0.3">
      <c r="A129" s="217">
        <v>125</v>
      </c>
      <c r="B129" s="217" t="s">
        <v>3463</v>
      </c>
      <c r="C129" s="218">
        <v>46232</v>
      </c>
      <c r="D129" s="219" t="s">
        <v>3464</v>
      </c>
      <c r="E129" s="218">
        <v>46232</v>
      </c>
      <c r="F129" s="219" t="s">
        <v>3465</v>
      </c>
      <c r="G129" s="220" t="s">
        <v>843</v>
      </c>
      <c r="H129" s="221">
        <v>13970</v>
      </c>
      <c r="I129" s="221">
        <v>33070</v>
      </c>
      <c r="J129" s="221">
        <v>19100</v>
      </c>
    </row>
    <row r="130" spans="1:10" x14ac:dyDescent="0.3">
      <c r="A130" s="217">
        <v>126</v>
      </c>
      <c r="B130" s="217" t="s">
        <v>3466</v>
      </c>
      <c r="C130" s="218">
        <v>46232</v>
      </c>
      <c r="D130" s="219" t="s">
        <v>3467</v>
      </c>
      <c r="E130" s="218">
        <v>46232</v>
      </c>
      <c r="F130" s="219" t="s">
        <v>3468</v>
      </c>
      <c r="G130" s="220" t="s">
        <v>842</v>
      </c>
      <c r="H130" s="221">
        <v>13830</v>
      </c>
      <c r="I130" s="221">
        <v>33970</v>
      </c>
      <c r="J130" s="221">
        <v>20140</v>
      </c>
    </row>
    <row r="131" spans="1:10" x14ac:dyDescent="0.3">
      <c r="A131" s="217">
        <v>127</v>
      </c>
      <c r="B131" s="217" t="s">
        <v>3469</v>
      </c>
      <c r="C131" s="218">
        <v>46232</v>
      </c>
      <c r="D131" s="219" t="s">
        <v>3470</v>
      </c>
      <c r="E131" s="218">
        <v>46232</v>
      </c>
      <c r="F131" s="219" t="s">
        <v>2895</v>
      </c>
      <c r="G131" s="220" t="s">
        <v>64</v>
      </c>
      <c r="H131" s="221">
        <v>13790</v>
      </c>
      <c r="I131" s="221">
        <v>33370</v>
      </c>
      <c r="J131" s="221">
        <v>19580</v>
      </c>
    </row>
    <row r="132" spans="1:10" x14ac:dyDescent="0.3">
      <c r="A132" s="217">
        <v>128</v>
      </c>
      <c r="B132" s="217" t="s">
        <v>3471</v>
      </c>
      <c r="C132" s="218">
        <v>46232</v>
      </c>
      <c r="D132" s="219" t="s">
        <v>3472</v>
      </c>
      <c r="E132" s="218">
        <v>46232</v>
      </c>
      <c r="F132" s="219" t="s">
        <v>3473</v>
      </c>
      <c r="G132" s="220" t="s">
        <v>80</v>
      </c>
      <c r="H132" s="221">
        <v>13860</v>
      </c>
      <c r="I132" s="221">
        <v>33790</v>
      </c>
      <c r="J132" s="221">
        <v>19930</v>
      </c>
    </row>
    <row r="133" spans="1:10" x14ac:dyDescent="0.3">
      <c r="A133" s="217">
        <v>129</v>
      </c>
      <c r="B133" s="217" t="s">
        <v>3474</v>
      </c>
      <c r="C133" s="218">
        <v>46232</v>
      </c>
      <c r="D133" s="219" t="s">
        <v>3475</v>
      </c>
      <c r="E133" s="218">
        <v>46232</v>
      </c>
      <c r="F133" s="219" t="s">
        <v>3476</v>
      </c>
      <c r="G133" s="220" t="s">
        <v>71</v>
      </c>
      <c r="H133" s="221">
        <v>13940</v>
      </c>
      <c r="I133" s="221">
        <v>33720</v>
      </c>
      <c r="J133" s="221">
        <v>19780</v>
      </c>
    </row>
    <row r="134" spans="1:10" x14ac:dyDescent="0.3">
      <c r="A134" s="217">
        <v>130</v>
      </c>
      <c r="B134" s="217" t="s">
        <v>3477</v>
      </c>
      <c r="C134" s="218">
        <v>46232</v>
      </c>
      <c r="D134" s="219" t="s">
        <v>3478</v>
      </c>
      <c r="E134" s="218">
        <v>46232</v>
      </c>
      <c r="F134" s="219" t="s">
        <v>3479</v>
      </c>
      <c r="G134" s="220" t="s">
        <v>336</v>
      </c>
      <c r="H134" s="221">
        <v>13900</v>
      </c>
      <c r="I134" s="221">
        <v>32670</v>
      </c>
      <c r="J134" s="221">
        <v>18770</v>
      </c>
    </row>
    <row r="135" spans="1:10" x14ac:dyDescent="0.3">
      <c r="A135" s="217">
        <v>131</v>
      </c>
      <c r="B135" s="217" t="s">
        <v>3480</v>
      </c>
      <c r="C135" s="218">
        <v>46232</v>
      </c>
      <c r="D135" s="219" t="s">
        <v>3088</v>
      </c>
      <c r="E135" s="218">
        <v>46232</v>
      </c>
      <c r="F135" s="219" t="s">
        <v>3481</v>
      </c>
      <c r="G135" s="220" t="s">
        <v>90</v>
      </c>
      <c r="H135" s="221">
        <v>13830</v>
      </c>
      <c r="I135" s="221">
        <v>33310</v>
      </c>
      <c r="J135" s="221">
        <v>19480</v>
      </c>
    </row>
    <row r="136" spans="1:10" x14ac:dyDescent="0.3">
      <c r="A136" s="217">
        <v>132</v>
      </c>
      <c r="B136" s="217" t="s">
        <v>3482</v>
      </c>
      <c r="C136" s="218">
        <v>46232</v>
      </c>
      <c r="D136" s="219" t="s">
        <v>3483</v>
      </c>
      <c r="E136" s="218">
        <v>46232</v>
      </c>
      <c r="F136" s="219" t="s">
        <v>795</v>
      </c>
      <c r="G136" s="220" t="s">
        <v>537</v>
      </c>
      <c r="H136" s="221">
        <v>13990</v>
      </c>
      <c r="I136" s="221">
        <v>33110</v>
      </c>
      <c r="J136" s="221">
        <v>19120</v>
      </c>
    </row>
    <row r="137" spans="1:10" x14ac:dyDescent="0.3">
      <c r="A137" s="217">
        <v>133</v>
      </c>
      <c r="B137" s="217" t="s">
        <v>3484</v>
      </c>
      <c r="C137" s="218">
        <v>46232</v>
      </c>
      <c r="D137" s="219" t="s">
        <v>3485</v>
      </c>
      <c r="E137" s="218">
        <v>46232</v>
      </c>
      <c r="F137" s="219" t="s">
        <v>3486</v>
      </c>
      <c r="G137" s="220" t="s">
        <v>840</v>
      </c>
      <c r="H137" s="221">
        <v>13870</v>
      </c>
      <c r="I137" s="221">
        <v>33370</v>
      </c>
      <c r="J137" s="221">
        <v>19500</v>
      </c>
    </row>
    <row r="138" spans="1:10" x14ac:dyDescent="0.3">
      <c r="A138" s="217">
        <v>134</v>
      </c>
      <c r="B138" s="217" t="s">
        <v>3487</v>
      </c>
      <c r="C138" s="218">
        <v>46232</v>
      </c>
      <c r="D138" s="219" t="s">
        <v>3488</v>
      </c>
      <c r="E138" s="218">
        <v>46232</v>
      </c>
      <c r="F138" s="219" t="s">
        <v>3489</v>
      </c>
      <c r="G138" s="220" t="s">
        <v>76</v>
      </c>
      <c r="H138" s="221">
        <v>13710</v>
      </c>
      <c r="I138" s="221">
        <v>32510</v>
      </c>
      <c r="J138" s="221">
        <v>18800</v>
      </c>
    </row>
    <row r="139" spans="1:10" x14ac:dyDescent="0.3">
      <c r="A139" s="217">
        <v>135</v>
      </c>
      <c r="B139" s="217" t="s">
        <v>3490</v>
      </c>
      <c r="C139" s="218">
        <v>46232</v>
      </c>
      <c r="D139" s="219" t="s">
        <v>3491</v>
      </c>
      <c r="E139" s="218">
        <v>46232</v>
      </c>
      <c r="F139" s="219" t="s">
        <v>3098</v>
      </c>
      <c r="G139" s="220" t="s">
        <v>43</v>
      </c>
      <c r="H139" s="221">
        <v>13820</v>
      </c>
      <c r="I139" s="221">
        <v>33160</v>
      </c>
      <c r="J139" s="221">
        <v>19340</v>
      </c>
    </row>
    <row r="140" spans="1:10" x14ac:dyDescent="0.3">
      <c r="A140" s="217">
        <v>136</v>
      </c>
      <c r="B140" s="217" t="s">
        <v>3492</v>
      </c>
      <c r="C140" s="218">
        <v>46232</v>
      </c>
      <c r="D140" s="219" t="s">
        <v>3493</v>
      </c>
      <c r="E140" s="218">
        <v>46232</v>
      </c>
      <c r="F140" s="219" t="s">
        <v>3494</v>
      </c>
      <c r="G140" s="220" t="s">
        <v>143</v>
      </c>
      <c r="H140" s="221">
        <v>13920</v>
      </c>
      <c r="I140" s="221">
        <v>32470</v>
      </c>
      <c r="J140" s="221">
        <v>18550</v>
      </c>
    </row>
    <row r="141" spans="1:10" x14ac:dyDescent="0.3">
      <c r="A141" s="217">
        <v>137</v>
      </c>
      <c r="B141" s="217" t="s">
        <v>3495</v>
      </c>
      <c r="C141" s="218">
        <v>46232</v>
      </c>
      <c r="D141" s="219" t="s">
        <v>3496</v>
      </c>
      <c r="E141" s="218">
        <v>46232</v>
      </c>
      <c r="F141" s="219" t="s">
        <v>3497</v>
      </c>
      <c r="G141" s="220" t="s">
        <v>55</v>
      </c>
      <c r="H141" s="221">
        <v>13640</v>
      </c>
      <c r="I141" s="221">
        <v>32290</v>
      </c>
      <c r="J141" s="221">
        <v>18650</v>
      </c>
    </row>
    <row r="142" spans="1:10" x14ac:dyDescent="0.3">
      <c r="A142" s="217">
        <v>138</v>
      </c>
      <c r="B142" s="217" t="s">
        <v>3498</v>
      </c>
      <c r="C142" s="218">
        <v>46232</v>
      </c>
      <c r="D142" s="219" t="s">
        <v>3499</v>
      </c>
      <c r="E142" s="218">
        <v>46232</v>
      </c>
      <c r="F142" s="219" t="s">
        <v>3500</v>
      </c>
      <c r="G142" s="220" t="s">
        <v>843</v>
      </c>
      <c r="H142" s="221">
        <v>13940</v>
      </c>
      <c r="I142" s="221">
        <v>34440</v>
      </c>
      <c r="J142" s="221">
        <v>20500</v>
      </c>
    </row>
    <row r="143" spans="1:10" x14ac:dyDescent="0.3">
      <c r="A143" s="217">
        <v>139</v>
      </c>
      <c r="B143" s="217" t="s">
        <v>3501</v>
      </c>
      <c r="C143" s="218">
        <v>46232</v>
      </c>
      <c r="D143" s="219" t="s">
        <v>3502</v>
      </c>
      <c r="E143" s="218">
        <v>46232</v>
      </c>
      <c r="F143" s="219" t="s">
        <v>3503</v>
      </c>
      <c r="G143" s="220" t="s">
        <v>842</v>
      </c>
      <c r="H143" s="221">
        <v>13810</v>
      </c>
      <c r="I143" s="221">
        <v>34170</v>
      </c>
      <c r="J143" s="221">
        <v>20360</v>
      </c>
    </row>
    <row r="144" spans="1:10" x14ac:dyDescent="0.3">
      <c r="A144" s="217">
        <v>140</v>
      </c>
      <c r="B144" s="217" t="s">
        <v>3504</v>
      </c>
      <c r="C144" s="218">
        <v>46232</v>
      </c>
      <c r="D144" s="219" t="s">
        <v>3505</v>
      </c>
      <c r="E144" s="218">
        <v>46232</v>
      </c>
      <c r="F144" s="219" t="s">
        <v>3506</v>
      </c>
      <c r="G144" s="220" t="s">
        <v>64</v>
      </c>
      <c r="H144" s="221">
        <v>13780</v>
      </c>
      <c r="I144" s="221">
        <v>33500</v>
      </c>
      <c r="J144" s="221">
        <v>19720</v>
      </c>
    </row>
    <row r="145" spans="1:10" x14ac:dyDescent="0.3">
      <c r="A145" s="217">
        <v>141</v>
      </c>
      <c r="B145" s="217" t="s">
        <v>3507</v>
      </c>
      <c r="C145" s="218">
        <v>46232</v>
      </c>
      <c r="D145" s="219" t="s">
        <v>3508</v>
      </c>
      <c r="E145" s="218">
        <v>46232</v>
      </c>
      <c r="F145" s="219" t="s">
        <v>3509</v>
      </c>
      <c r="G145" s="220" t="s">
        <v>80</v>
      </c>
      <c r="H145" s="221">
        <v>13840</v>
      </c>
      <c r="I145" s="221">
        <v>33470</v>
      </c>
      <c r="J145" s="221">
        <v>19630</v>
      </c>
    </row>
    <row r="146" spans="1:10" x14ac:dyDescent="0.3">
      <c r="A146" s="217">
        <v>142</v>
      </c>
      <c r="B146" s="217" t="s">
        <v>3510</v>
      </c>
      <c r="C146" s="218">
        <v>46232</v>
      </c>
      <c r="D146" s="219" t="s">
        <v>3511</v>
      </c>
      <c r="E146" s="218">
        <v>46232</v>
      </c>
      <c r="F146" s="219" t="s">
        <v>3512</v>
      </c>
      <c r="G146" s="220" t="s">
        <v>71</v>
      </c>
      <c r="H146" s="221">
        <v>13900</v>
      </c>
      <c r="I146" s="221">
        <v>33960</v>
      </c>
      <c r="J146" s="221">
        <v>20060</v>
      </c>
    </row>
    <row r="147" spans="1:10" x14ac:dyDescent="0.3">
      <c r="A147" s="217">
        <v>143</v>
      </c>
      <c r="B147" s="217" t="s">
        <v>3513</v>
      </c>
      <c r="C147" s="218">
        <v>46232</v>
      </c>
      <c r="D147" s="219" t="s">
        <v>3514</v>
      </c>
      <c r="E147" s="218">
        <v>46232</v>
      </c>
      <c r="F147" s="219" t="s">
        <v>3091</v>
      </c>
      <c r="G147" s="220" t="s">
        <v>336</v>
      </c>
      <c r="H147" s="221">
        <v>13870</v>
      </c>
      <c r="I147" s="221">
        <v>32690</v>
      </c>
      <c r="J147" s="221">
        <v>18820</v>
      </c>
    </row>
    <row r="148" spans="1:10" x14ac:dyDescent="0.3">
      <c r="A148" s="217">
        <v>144</v>
      </c>
      <c r="B148" s="217" t="s">
        <v>3515</v>
      </c>
      <c r="C148" s="218">
        <v>46232</v>
      </c>
      <c r="D148" s="219" t="s">
        <v>3092</v>
      </c>
      <c r="E148" s="218">
        <v>46232</v>
      </c>
      <c r="F148" s="219" t="s">
        <v>3516</v>
      </c>
      <c r="G148" s="220" t="s">
        <v>90</v>
      </c>
      <c r="H148" s="221">
        <v>13790</v>
      </c>
      <c r="I148" s="221">
        <v>33740</v>
      </c>
      <c r="J148" s="221">
        <v>19950</v>
      </c>
    </row>
    <row r="149" spans="1:10" x14ac:dyDescent="0.3">
      <c r="A149" s="217">
        <v>145</v>
      </c>
      <c r="B149" s="217" t="s">
        <v>3517</v>
      </c>
      <c r="C149" s="218">
        <v>46232</v>
      </c>
      <c r="D149" s="219" t="s">
        <v>3518</v>
      </c>
      <c r="E149" s="218">
        <v>46232</v>
      </c>
      <c r="F149" s="219" t="s">
        <v>3519</v>
      </c>
      <c r="G149" s="220" t="s">
        <v>537</v>
      </c>
      <c r="H149" s="221">
        <v>13950</v>
      </c>
      <c r="I149" s="221">
        <v>34440</v>
      </c>
      <c r="J149" s="221">
        <v>20490</v>
      </c>
    </row>
    <row r="150" spans="1:10" x14ac:dyDescent="0.3">
      <c r="A150" s="217">
        <v>146</v>
      </c>
      <c r="B150" s="217" t="s">
        <v>3520</v>
      </c>
      <c r="C150" s="218">
        <v>46232</v>
      </c>
      <c r="D150" s="219" t="s">
        <v>3521</v>
      </c>
      <c r="E150" s="218">
        <v>46232</v>
      </c>
      <c r="F150" s="219" t="s">
        <v>3522</v>
      </c>
      <c r="G150" s="220" t="s">
        <v>840</v>
      </c>
      <c r="H150" s="221">
        <v>13850</v>
      </c>
      <c r="I150" s="221">
        <v>35420</v>
      </c>
      <c r="J150" s="221">
        <v>21570</v>
      </c>
    </row>
    <row r="151" spans="1:10" x14ac:dyDescent="0.3">
      <c r="A151" s="217">
        <v>147</v>
      </c>
      <c r="B151" s="217" t="s">
        <v>3523</v>
      </c>
      <c r="C151" s="218">
        <v>46232</v>
      </c>
      <c r="D151" s="219" t="s">
        <v>3524</v>
      </c>
      <c r="E151" s="218">
        <v>46232</v>
      </c>
      <c r="F151" s="219" t="s">
        <v>3525</v>
      </c>
      <c r="G151" s="220" t="s">
        <v>76</v>
      </c>
      <c r="H151" s="221">
        <v>13670</v>
      </c>
      <c r="I151" s="221">
        <v>34190</v>
      </c>
      <c r="J151" s="221">
        <v>20520</v>
      </c>
    </row>
    <row r="152" spans="1:10" x14ac:dyDescent="0.3">
      <c r="A152" s="217">
        <v>148</v>
      </c>
      <c r="B152" s="217" t="s">
        <v>3526</v>
      </c>
      <c r="C152" s="218">
        <v>46232</v>
      </c>
      <c r="D152" s="219" t="s">
        <v>3527</v>
      </c>
      <c r="E152" s="218">
        <v>46232</v>
      </c>
      <c r="F152" s="219" t="s">
        <v>3528</v>
      </c>
      <c r="G152" s="220" t="s">
        <v>43</v>
      </c>
      <c r="H152" s="221">
        <v>13790</v>
      </c>
      <c r="I152" s="221">
        <v>34290</v>
      </c>
      <c r="J152" s="221">
        <v>20500</v>
      </c>
    </row>
    <row r="153" spans="1:10" x14ac:dyDescent="0.3">
      <c r="A153" s="217">
        <v>149</v>
      </c>
      <c r="B153" s="217" t="s">
        <v>3529</v>
      </c>
      <c r="C153" s="218">
        <v>46232</v>
      </c>
      <c r="D153" s="219" t="s">
        <v>3530</v>
      </c>
      <c r="E153" s="218">
        <v>46232</v>
      </c>
      <c r="F153" s="219" t="s">
        <v>3531</v>
      </c>
      <c r="G153" s="220" t="s">
        <v>55</v>
      </c>
      <c r="H153" s="221">
        <v>13600</v>
      </c>
      <c r="I153" s="221">
        <v>32720</v>
      </c>
      <c r="J153" s="221">
        <v>19120</v>
      </c>
    </row>
    <row r="154" spans="1:10" x14ac:dyDescent="0.3">
      <c r="A154" s="217">
        <v>150</v>
      </c>
      <c r="B154" s="217" t="s">
        <v>3532</v>
      </c>
      <c r="C154" s="218">
        <v>46232</v>
      </c>
      <c r="D154" s="219" t="s">
        <v>3533</v>
      </c>
      <c r="E154" s="218">
        <v>46232</v>
      </c>
      <c r="F154" s="219" t="s">
        <v>3534</v>
      </c>
      <c r="G154" s="220" t="s">
        <v>143</v>
      </c>
      <c r="H154" s="221">
        <v>13860</v>
      </c>
      <c r="I154" s="221">
        <v>32550</v>
      </c>
      <c r="J154" s="221">
        <v>18690</v>
      </c>
    </row>
    <row r="155" spans="1:10" x14ac:dyDescent="0.3">
      <c r="A155" s="217">
        <v>151</v>
      </c>
      <c r="B155" s="217" t="s">
        <v>3535</v>
      </c>
      <c r="C155" s="218">
        <v>46232</v>
      </c>
      <c r="D155" s="219" t="s">
        <v>3536</v>
      </c>
      <c r="E155" s="218">
        <v>46232</v>
      </c>
      <c r="F155" s="219" t="s">
        <v>3537</v>
      </c>
      <c r="G155" s="220" t="s">
        <v>843</v>
      </c>
      <c r="H155" s="221">
        <v>13910</v>
      </c>
      <c r="I155" s="221">
        <v>33870</v>
      </c>
      <c r="J155" s="221">
        <v>19960</v>
      </c>
    </row>
    <row r="156" spans="1:10" x14ac:dyDescent="0.3">
      <c r="A156" s="217">
        <v>152</v>
      </c>
      <c r="B156" s="217" t="s">
        <v>3538</v>
      </c>
      <c r="C156" s="218">
        <v>46232</v>
      </c>
      <c r="D156" s="219" t="s">
        <v>3539</v>
      </c>
      <c r="E156" s="218">
        <v>46232</v>
      </c>
      <c r="F156" s="219" t="s">
        <v>3540</v>
      </c>
      <c r="G156" s="220" t="s">
        <v>842</v>
      </c>
      <c r="H156" s="221">
        <v>13780</v>
      </c>
      <c r="I156" s="221">
        <v>32970</v>
      </c>
      <c r="J156" s="221">
        <v>19190</v>
      </c>
    </row>
    <row r="157" spans="1:10" x14ac:dyDescent="0.3">
      <c r="A157" s="217">
        <v>153</v>
      </c>
      <c r="B157" s="217" t="s">
        <v>3541</v>
      </c>
      <c r="C157" s="218">
        <v>46232</v>
      </c>
      <c r="D157" s="219" t="s">
        <v>3542</v>
      </c>
      <c r="E157" s="218">
        <v>46232</v>
      </c>
      <c r="F157" s="219" t="s">
        <v>3543</v>
      </c>
      <c r="G157" s="220" t="s">
        <v>64</v>
      </c>
      <c r="H157" s="221">
        <v>14040</v>
      </c>
      <c r="I157" s="221">
        <v>34440</v>
      </c>
      <c r="J157" s="221">
        <v>20400</v>
      </c>
    </row>
    <row r="158" spans="1:10" x14ac:dyDescent="0.3">
      <c r="A158" s="217">
        <v>154</v>
      </c>
      <c r="B158" s="217" t="s">
        <v>3544</v>
      </c>
      <c r="C158" s="218">
        <v>46232</v>
      </c>
      <c r="D158" s="219" t="s">
        <v>3545</v>
      </c>
      <c r="E158" s="218">
        <v>46232</v>
      </c>
      <c r="F158" s="219" t="s">
        <v>3546</v>
      </c>
      <c r="G158" s="220" t="s">
        <v>80</v>
      </c>
      <c r="H158" s="221">
        <v>14170</v>
      </c>
      <c r="I158" s="221">
        <v>33360</v>
      </c>
      <c r="J158" s="221">
        <v>19190</v>
      </c>
    </row>
    <row r="159" spans="1:10" x14ac:dyDescent="0.3">
      <c r="A159" s="217">
        <v>155</v>
      </c>
      <c r="B159" s="217" t="s">
        <v>3547</v>
      </c>
      <c r="C159" s="218">
        <v>46232</v>
      </c>
      <c r="D159" s="219" t="s">
        <v>3548</v>
      </c>
      <c r="E159" s="218">
        <v>46232</v>
      </c>
      <c r="F159" s="219" t="s">
        <v>3549</v>
      </c>
      <c r="G159" s="220" t="s">
        <v>71</v>
      </c>
      <c r="H159" s="221">
        <v>13950</v>
      </c>
      <c r="I159" s="221">
        <v>33370</v>
      </c>
      <c r="J159" s="221">
        <v>19420</v>
      </c>
    </row>
    <row r="160" spans="1:10" x14ac:dyDescent="0.3">
      <c r="A160" s="217">
        <v>156</v>
      </c>
      <c r="B160" s="217" t="s">
        <v>3550</v>
      </c>
      <c r="C160" s="218">
        <v>46232</v>
      </c>
      <c r="D160" s="219" t="s">
        <v>3551</v>
      </c>
      <c r="E160" s="218">
        <v>46232</v>
      </c>
      <c r="F160" s="219" t="s">
        <v>3552</v>
      </c>
      <c r="G160" s="220" t="s">
        <v>90</v>
      </c>
      <c r="H160" s="221">
        <v>13760</v>
      </c>
      <c r="I160" s="221">
        <v>32810</v>
      </c>
      <c r="J160" s="221">
        <v>19050</v>
      </c>
    </row>
    <row r="161" spans="1:10" x14ac:dyDescent="0.3">
      <c r="A161" s="217">
        <v>157</v>
      </c>
      <c r="B161" s="217" t="s">
        <v>3553</v>
      </c>
      <c r="C161" s="218">
        <v>46232</v>
      </c>
      <c r="D161" s="219" t="s">
        <v>3554</v>
      </c>
      <c r="E161" s="218">
        <v>46232</v>
      </c>
      <c r="F161" s="219" t="s">
        <v>3555</v>
      </c>
      <c r="G161" s="220" t="s">
        <v>336</v>
      </c>
      <c r="H161" s="221">
        <v>13850</v>
      </c>
      <c r="I161" s="221">
        <v>32780</v>
      </c>
      <c r="J161" s="221">
        <v>18930</v>
      </c>
    </row>
    <row r="162" spans="1:10" x14ac:dyDescent="0.3">
      <c r="A162" s="217">
        <v>158</v>
      </c>
      <c r="B162" s="217" t="s">
        <v>3556</v>
      </c>
      <c r="C162" s="218">
        <v>46232</v>
      </c>
      <c r="D162" s="219" t="s">
        <v>3557</v>
      </c>
      <c r="E162" s="218">
        <v>46232</v>
      </c>
      <c r="F162" s="219" t="s">
        <v>3558</v>
      </c>
      <c r="G162" s="220" t="s">
        <v>537</v>
      </c>
      <c r="H162" s="221">
        <v>13930</v>
      </c>
      <c r="I162" s="221">
        <v>33060</v>
      </c>
      <c r="J162" s="221">
        <v>19130</v>
      </c>
    </row>
    <row r="163" spans="1:10" x14ac:dyDescent="0.3">
      <c r="A163" s="217">
        <v>159</v>
      </c>
      <c r="B163" s="217" t="s">
        <v>3559</v>
      </c>
      <c r="C163" s="218">
        <v>46232</v>
      </c>
      <c r="D163" s="219" t="s">
        <v>3560</v>
      </c>
      <c r="E163" s="218">
        <v>46232</v>
      </c>
      <c r="F163" s="219" t="s">
        <v>3561</v>
      </c>
      <c r="G163" s="220" t="s">
        <v>840</v>
      </c>
      <c r="H163" s="221">
        <v>13800</v>
      </c>
      <c r="I163" s="221">
        <v>32840</v>
      </c>
      <c r="J163" s="221">
        <v>19040</v>
      </c>
    </row>
    <row r="164" spans="1:10" x14ac:dyDescent="0.3">
      <c r="A164" s="217">
        <v>160</v>
      </c>
      <c r="B164" s="217" t="s">
        <v>3562</v>
      </c>
      <c r="C164" s="218">
        <v>46232</v>
      </c>
      <c r="D164" s="219" t="s">
        <v>3563</v>
      </c>
      <c r="E164" s="218">
        <v>46232</v>
      </c>
      <c r="F164" s="219" t="s">
        <v>3564</v>
      </c>
      <c r="G164" s="220" t="s">
        <v>43</v>
      </c>
      <c r="H164" s="221">
        <v>13760</v>
      </c>
      <c r="I164" s="221">
        <v>31970</v>
      </c>
      <c r="J164" s="221">
        <v>18210</v>
      </c>
    </row>
    <row r="165" spans="1:10" x14ac:dyDescent="0.3">
      <c r="A165" s="217">
        <v>161</v>
      </c>
      <c r="B165" s="217" t="s">
        <v>3565</v>
      </c>
      <c r="C165" s="218">
        <v>46232</v>
      </c>
      <c r="D165" s="219" t="s">
        <v>3566</v>
      </c>
      <c r="E165" s="218">
        <v>46232</v>
      </c>
      <c r="F165" s="219" t="s">
        <v>3567</v>
      </c>
      <c r="G165" s="220" t="s">
        <v>76</v>
      </c>
      <c r="H165" s="221">
        <v>13990</v>
      </c>
      <c r="I165" s="221">
        <v>33730</v>
      </c>
      <c r="J165" s="221">
        <v>19740</v>
      </c>
    </row>
    <row r="166" spans="1:10" x14ac:dyDescent="0.3">
      <c r="A166" s="217">
        <v>162</v>
      </c>
      <c r="B166" s="217" t="s">
        <v>3568</v>
      </c>
      <c r="C166" s="218">
        <v>46232</v>
      </c>
      <c r="D166" s="219" t="s">
        <v>3373</v>
      </c>
      <c r="E166" s="218">
        <v>46232</v>
      </c>
      <c r="F166" s="219" t="s">
        <v>3569</v>
      </c>
      <c r="G166" s="220" t="s">
        <v>143</v>
      </c>
      <c r="H166" s="221">
        <v>13830</v>
      </c>
      <c r="I166" s="221">
        <v>32300</v>
      </c>
      <c r="J166" s="221">
        <v>18470</v>
      </c>
    </row>
    <row r="167" spans="1:10" x14ac:dyDescent="0.3">
      <c r="A167" s="217">
        <v>163</v>
      </c>
      <c r="B167" s="217" t="s">
        <v>3570</v>
      </c>
      <c r="C167" s="218">
        <v>46232</v>
      </c>
      <c r="D167" s="219" t="s">
        <v>3571</v>
      </c>
      <c r="E167" s="218">
        <v>46232</v>
      </c>
      <c r="F167" s="219" t="s">
        <v>3572</v>
      </c>
      <c r="G167" s="220" t="s">
        <v>843</v>
      </c>
      <c r="H167" s="221">
        <v>14180</v>
      </c>
      <c r="I167" s="221">
        <v>33530</v>
      </c>
      <c r="J167" s="221">
        <v>19350</v>
      </c>
    </row>
    <row r="168" spans="1:10" x14ac:dyDescent="0.3">
      <c r="A168" s="217">
        <v>164</v>
      </c>
      <c r="B168" s="217" t="s">
        <v>3573</v>
      </c>
      <c r="C168" s="218">
        <v>46232</v>
      </c>
      <c r="D168" s="219" t="s">
        <v>3574</v>
      </c>
      <c r="E168" s="218">
        <v>46232</v>
      </c>
      <c r="F168" s="219" t="s">
        <v>3575</v>
      </c>
      <c r="G168" s="220" t="s">
        <v>842</v>
      </c>
      <c r="H168" s="221">
        <v>14090</v>
      </c>
      <c r="I168" s="221">
        <v>32780</v>
      </c>
      <c r="J168" s="221">
        <v>18690</v>
      </c>
    </row>
    <row r="169" spans="1:10" x14ac:dyDescent="0.3">
      <c r="A169" s="217">
        <v>165</v>
      </c>
      <c r="B169" s="217" t="s">
        <v>3576</v>
      </c>
      <c r="C169" s="218">
        <v>46232</v>
      </c>
      <c r="D169" s="219" t="s">
        <v>3577</v>
      </c>
      <c r="E169" s="218">
        <v>46232</v>
      </c>
      <c r="F169" s="219" t="s">
        <v>3578</v>
      </c>
      <c r="G169" s="220" t="s">
        <v>64</v>
      </c>
      <c r="H169" s="221">
        <v>14010</v>
      </c>
      <c r="I169" s="221">
        <v>33350</v>
      </c>
      <c r="J169" s="221">
        <v>19340</v>
      </c>
    </row>
    <row r="170" spans="1:10" x14ac:dyDescent="0.3">
      <c r="A170" s="217">
        <v>166</v>
      </c>
      <c r="B170" s="217" t="s">
        <v>3579</v>
      </c>
      <c r="C170" s="218">
        <v>46232</v>
      </c>
      <c r="D170" s="219" t="s">
        <v>3580</v>
      </c>
      <c r="E170" s="218">
        <v>46232</v>
      </c>
      <c r="F170" s="219" t="s">
        <v>3581</v>
      </c>
      <c r="G170" s="220" t="s">
        <v>80</v>
      </c>
      <c r="H170" s="221">
        <v>14140</v>
      </c>
      <c r="I170" s="221">
        <v>34750</v>
      </c>
      <c r="J170" s="221">
        <v>20610</v>
      </c>
    </row>
    <row r="171" spans="1:10" x14ac:dyDescent="0.3">
      <c r="A171" s="217">
        <v>167</v>
      </c>
      <c r="B171" s="217" t="s">
        <v>3582</v>
      </c>
      <c r="C171" s="218">
        <v>46232</v>
      </c>
      <c r="D171" s="219" t="s">
        <v>3583</v>
      </c>
      <c r="E171" s="218">
        <v>46232</v>
      </c>
      <c r="F171" s="219" t="s">
        <v>3584</v>
      </c>
      <c r="G171" s="220" t="s">
        <v>71</v>
      </c>
      <c r="H171" s="221">
        <v>13930</v>
      </c>
      <c r="I171" s="221">
        <v>34430</v>
      </c>
      <c r="J171" s="221">
        <v>20500</v>
      </c>
    </row>
    <row r="172" spans="1:10" x14ac:dyDescent="0.3">
      <c r="A172" s="217">
        <v>168</v>
      </c>
      <c r="B172" s="217" t="s">
        <v>3585</v>
      </c>
      <c r="C172" s="218">
        <v>46232</v>
      </c>
      <c r="D172" s="219" t="s">
        <v>3586</v>
      </c>
      <c r="E172" s="218">
        <v>46232</v>
      </c>
      <c r="F172" s="219" t="s">
        <v>3587</v>
      </c>
      <c r="G172" s="220" t="s">
        <v>90</v>
      </c>
      <c r="H172" s="221">
        <v>13720</v>
      </c>
      <c r="I172" s="221">
        <v>34100</v>
      </c>
      <c r="J172" s="221">
        <v>20380</v>
      </c>
    </row>
    <row r="173" spans="1:10" x14ac:dyDescent="0.3">
      <c r="A173" s="217">
        <v>169</v>
      </c>
      <c r="B173" s="217" t="s">
        <v>3588</v>
      </c>
      <c r="C173" s="218">
        <v>46232</v>
      </c>
      <c r="D173" s="219" t="s">
        <v>3589</v>
      </c>
      <c r="E173" s="218">
        <v>46232</v>
      </c>
      <c r="F173" s="219" t="s">
        <v>3590</v>
      </c>
      <c r="G173" s="220" t="s">
        <v>336</v>
      </c>
      <c r="H173" s="221">
        <v>13810</v>
      </c>
      <c r="I173" s="221">
        <v>33610</v>
      </c>
      <c r="J173" s="221">
        <v>19800</v>
      </c>
    </row>
    <row r="174" spans="1:10" x14ac:dyDescent="0.3">
      <c r="A174" s="217">
        <v>170</v>
      </c>
      <c r="B174" s="217" t="s">
        <v>3591</v>
      </c>
      <c r="C174" s="218">
        <v>46232</v>
      </c>
      <c r="D174" s="219" t="s">
        <v>3592</v>
      </c>
      <c r="E174" s="218">
        <v>46232</v>
      </c>
      <c r="F174" s="219" t="s">
        <v>3593</v>
      </c>
      <c r="G174" s="220" t="s">
        <v>537</v>
      </c>
      <c r="H174" s="221">
        <v>13880</v>
      </c>
      <c r="I174" s="221">
        <v>34660</v>
      </c>
      <c r="J174" s="221">
        <v>20780</v>
      </c>
    </row>
    <row r="175" spans="1:10" x14ac:dyDescent="0.3">
      <c r="A175" s="217">
        <v>171</v>
      </c>
      <c r="B175" s="217" t="s">
        <v>3594</v>
      </c>
      <c r="C175" s="218">
        <v>46232</v>
      </c>
      <c r="D175" s="219" t="s">
        <v>3595</v>
      </c>
      <c r="E175" s="218">
        <v>46232</v>
      </c>
      <c r="F175" s="219" t="s">
        <v>3596</v>
      </c>
      <c r="G175" s="220" t="s">
        <v>55</v>
      </c>
      <c r="H175" s="221">
        <v>13610</v>
      </c>
      <c r="I175" s="221">
        <v>33380</v>
      </c>
      <c r="J175" s="221">
        <v>19770</v>
      </c>
    </row>
    <row r="176" spans="1:10" x14ac:dyDescent="0.3">
      <c r="A176" s="217">
        <v>172</v>
      </c>
      <c r="B176" s="217" t="s">
        <v>3597</v>
      </c>
      <c r="C176" s="218">
        <v>46232</v>
      </c>
      <c r="D176" s="219" t="s">
        <v>3598</v>
      </c>
      <c r="E176" s="218">
        <v>46232</v>
      </c>
      <c r="F176" s="219" t="s">
        <v>3599</v>
      </c>
      <c r="G176" s="220" t="s">
        <v>43</v>
      </c>
      <c r="H176" s="221">
        <v>13810</v>
      </c>
      <c r="I176" s="221">
        <v>34410</v>
      </c>
      <c r="J176" s="221">
        <v>20600</v>
      </c>
    </row>
    <row r="177" spans="1:10" x14ac:dyDescent="0.3">
      <c r="A177" s="217">
        <v>173</v>
      </c>
      <c r="B177" s="217" t="s">
        <v>3600</v>
      </c>
      <c r="C177" s="218">
        <v>46232</v>
      </c>
      <c r="D177" s="219" t="s">
        <v>3601</v>
      </c>
      <c r="E177" s="218">
        <v>46232</v>
      </c>
      <c r="F177" s="219" t="s">
        <v>3602</v>
      </c>
      <c r="G177" s="220" t="s">
        <v>840</v>
      </c>
      <c r="H177" s="221">
        <v>13890</v>
      </c>
      <c r="I177" s="221">
        <v>34720</v>
      </c>
      <c r="J177" s="221">
        <v>20830</v>
      </c>
    </row>
    <row r="178" spans="1:10" x14ac:dyDescent="0.3">
      <c r="A178" s="217">
        <v>174</v>
      </c>
      <c r="B178" s="217" t="s">
        <v>3603</v>
      </c>
      <c r="C178" s="218">
        <v>46232</v>
      </c>
      <c r="D178" s="219" t="s">
        <v>3604</v>
      </c>
      <c r="E178" s="218">
        <v>46232</v>
      </c>
      <c r="F178" s="219" t="s">
        <v>3605</v>
      </c>
      <c r="G178" s="220" t="s">
        <v>76</v>
      </c>
      <c r="H178" s="221">
        <v>13560</v>
      </c>
      <c r="I178" s="221">
        <v>33690</v>
      </c>
      <c r="J178" s="221">
        <v>20130</v>
      </c>
    </row>
    <row r="179" spans="1:10" x14ac:dyDescent="0.3">
      <c r="A179" s="217">
        <v>175</v>
      </c>
      <c r="B179" s="217" t="s">
        <v>3606</v>
      </c>
      <c r="C179" s="218">
        <v>46232</v>
      </c>
      <c r="D179" s="219" t="s">
        <v>3607</v>
      </c>
      <c r="E179" s="218">
        <v>46232</v>
      </c>
      <c r="F179" s="219" t="s">
        <v>3608</v>
      </c>
      <c r="G179" s="220" t="s">
        <v>143</v>
      </c>
      <c r="H179" s="221">
        <v>13800</v>
      </c>
      <c r="I179" s="221">
        <v>34090</v>
      </c>
      <c r="J179" s="221">
        <v>20290</v>
      </c>
    </row>
    <row r="180" spans="1:10" x14ac:dyDescent="0.3">
      <c r="A180" s="217">
        <v>176</v>
      </c>
      <c r="B180" s="217" t="s">
        <v>3609</v>
      </c>
      <c r="C180" s="218">
        <v>46232</v>
      </c>
      <c r="D180" s="219" t="s">
        <v>3610</v>
      </c>
      <c r="E180" s="218">
        <v>46232</v>
      </c>
      <c r="F180" s="219" t="s">
        <v>3611</v>
      </c>
      <c r="G180" s="220" t="s">
        <v>842</v>
      </c>
      <c r="H180" s="221">
        <v>14000</v>
      </c>
      <c r="I180" s="221">
        <v>33560</v>
      </c>
      <c r="J180" s="221">
        <v>19560</v>
      </c>
    </row>
    <row r="181" spans="1:10" x14ac:dyDescent="0.3">
      <c r="A181" s="217">
        <v>177</v>
      </c>
      <c r="B181" s="217" t="s">
        <v>3612</v>
      </c>
      <c r="C181" s="218">
        <v>46232</v>
      </c>
      <c r="D181" s="219" t="s">
        <v>3613</v>
      </c>
      <c r="E181" s="218">
        <v>46232</v>
      </c>
      <c r="F181" s="219" t="s">
        <v>3614</v>
      </c>
      <c r="G181" s="220" t="s">
        <v>843</v>
      </c>
      <c r="H181" s="221">
        <v>14150</v>
      </c>
      <c r="I181" s="221">
        <v>33470</v>
      </c>
      <c r="J181" s="221">
        <v>19320</v>
      </c>
    </row>
    <row r="182" spans="1:10" x14ac:dyDescent="0.3">
      <c r="A182" s="217">
        <v>178</v>
      </c>
      <c r="B182" s="217" t="s">
        <v>3615</v>
      </c>
      <c r="C182" s="218">
        <v>46232</v>
      </c>
      <c r="D182" s="219" t="s">
        <v>3616</v>
      </c>
      <c r="E182" s="218">
        <v>46232</v>
      </c>
      <c r="F182" s="219" t="s">
        <v>3617</v>
      </c>
      <c r="G182" s="220" t="s">
        <v>64</v>
      </c>
      <c r="H182" s="221">
        <v>14020</v>
      </c>
      <c r="I182" s="221">
        <v>34170</v>
      </c>
      <c r="J182" s="221">
        <v>20150</v>
      </c>
    </row>
    <row r="183" spans="1:10" x14ac:dyDescent="0.3">
      <c r="A183" s="217">
        <v>179</v>
      </c>
      <c r="B183" s="217" t="s">
        <v>3618</v>
      </c>
      <c r="C183" s="218">
        <v>46232</v>
      </c>
      <c r="D183" s="219" t="s">
        <v>3619</v>
      </c>
      <c r="E183" s="218">
        <v>46232</v>
      </c>
      <c r="F183" s="219" t="s">
        <v>3620</v>
      </c>
      <c r="G183" s="220" t="s">
        <v>80</v>
      </c>
      <c r="H183" s="221">
        <v>14140</v>
      </c>
      <c r="I183" s="221">
        <v>32540</v>
      </c>
      <c r="J183" s="221">
        <v>18400</v>
      </c>
    </row>
    <row r="184" spans="1:10" x14ac:dyDescent="0.3">
      <c r="A184" s="217">
        <v>180</v>
      </c>
      <c r="B184" s="217" t="s">
        <v>3621</v>
      </c>
      <c r="C184" s="218">
        <v>46232</v>
      </c>
      <c r="D184" s="219" t="s">
        <v>3622</v>
      </c>
      <c r="E184" s="218">
        <v>46232</v>
      </c>
      <c r="F184" s="219" t="s">
        <v>3623</v>
      </c>
      <c r="G184" s="220" t="s">
        <v>71</v>
      </c>
      <c r="H184" s="221">
        <v>13810</v>
      </c>
      <c r="I184" s="221">
        <v>34270</v>
      </c>
      <c r="J184" s="221">
        <v>20460</v>
      </c>
    </row>
    <row r="185" spans="1:10" x14ac:dyDescent="0.3">
      <c r="A185" s="217">
        <v>181</v>
      </c>
      <c r="B185" s="217" t="s">
        <v>3624</v>
      </c>
      <c r="C185" s="218">
        <v>46232</v>
      </c>
      <c r="D185" s="219" t="s">
        <v>3625</v>
      </c>
      <c r="E185" s="218">
        <v>46232</v>
      </c>
      <c r="F185" s="219" t="s">
        <v>3626</v>
      </c>
      <c r="G185" s="220" t="s">
        <v>90</v>
      </c>
      <c r="H185" s="221">
        <v>13720</v>
      </c>
      <c r="I185" s="221">
        <v>33720</v>
      </c>
      <c r="J185" s="221">
        <v>20000</v>
      </c>
    </row>
    <row r="186" spans="1:10" x14ac:dyDescent="0.3">
      <c r="A186" s="217">
        <v>182</v>
      </c>
      <c r="B186" s="217" t="s">
        <v>3627</v>
      </c>
      <c r="C186" s="218">
        <v>46232</v>
      </c>
      <c r="D186" s="219" t="s">
        <v>3628</v>
      </c>
      <c r="E186" s="218">
        <v>46232</v>
      </c>
      <c r="F186" s="219" t="s">
        <v>3629</v>
      </c>
      <c r="G186" s="220" t="s">
        <v>336</v>
      </c>
      <c r="H186" s="221">
        <v>13800</v>
      </c>
      <c r="I186" s="221">
        <v>34010</v>
      </c>
      <c r="J186" s="221">
        <v>20210</v>
      </c>
    </row>
    <row r="187" spans="1:10" x14ac:dyDescent="0.3">
      <c r="A187" s="217">
        <v>183</v>
      </c>
      <c r="B187" s="217" t="s">
        <v>3630</v>
      </c>
      <c r="C187" s="218">
        <v>46232</v>
      </c>
      <c r="D187" s="219" t="s">
        <v>3631</v>
      </c>
      <c r="E187" s="218">
        <v>46232</v>
      </c>
      <c r="F187" s="219" t="s">
        <v>3632</v>
      </c>
      <c r="G187" s="220" t="s">
        <v>55</v>
      </c>
      <c r="H187" s="221">
        <v>14010</v>
      </c>
      <c r="I187" s="221">
        <v>33860</v>
      </c>
      <c r="J187" s="221">
        <v>19850</v>
      </c>
    </row>
    <row r="188" spans="1:10" x14ac:dyDescent="0.3">
      <c r="A188" s="217">
        <v>184</v>
      </c>
      <c r="B188" s="217" t="s">
        <v>3633</v>
      </c>
      <c r="C188" s="218">
        <v>46232</v>
      </c>
      <c r="D188" s="219" t="s">
        <v>3634</v>
      </c>
      <c r="E188" s="218">
        <v>46232</v>
      </c>
      <c r="F188" s="219" t="s">
        <v>3635</v>
      </c>
      <c r="G188" s="220" t="s">
        <v>840</v>
      </c>
      <c r="H188" s="221">
        <v>13920</v>
      </c>
      <c r="I188" s="221">
        <v>34070</v>
      </c>
      <c r="J188" s="221">
        <v>20150</v>
      </c>
    </row>
    <row r="189" spans="1:10" x14ac:dyDescent="0.3">
      <c r="A189" s="217">
        <v>185</v>
      </c>
      <c r="B189" s="217" t="s">
        <v>3636</v>
      </c>
      <c r="C189" s="218">
        <v>46232</v>
      </c>
      <c r="D189" s="219" t="s">
        <v>3637</v>
      </c>
      <c r="E189" s="218">
        <v>46232</v>
      </c>
      <c r="F189" s="219" t="s">
        <v>3638</v>
      </c>
      <c r="G189" s="220" t="s">
        <v>143</v>
      </c>
      <c r="H189" s="221">
        <v>14070</v>
      </c>
      <c r="I189" s="221">
        <v>35150</v>
      </c>
      <c r="J189" s="221">
        <v>21080</v>
      </c>
    </row>
    <row r="190" spans="1:10" x14ac:dyDescent="0.3">
      <c r="A190" s="217">
        <v>186</v>
      </c>
      <c r="B190" s="217" t="s">
        <v>3639</v>
      </c>
      <c r="C190" s="218">
        <v>46233</v>
      </c>
      <c r="D190" s="219" t="s">
        <v>3640</v>
      </c>
      <c r="E190" s="218">
        <v>46233</v>
      </c>
      <c r="F190" s="219" t="s">
        <v>3641</v>
      </c>
      <c r="G190" s="220" t="s">
        <v>843</v>
      </c>
      <c r="H190" s="221">
        <v>14140</v>
      </c>
      <c r="I190" s="221">
        <v>33070</v>
      </c>
      <c r="J190" s="221">
        <v>18930</v>
      </c>
    </row>
    <row r="191" spans="1:10" x14ac:dyDescent="0.3">
      <c r="A191" s="217">
        <v>187</v>
      </c>
      <c r="B191" s="217" t="s">
        <v>3642</v>
      </c>
      <c r="C191" s="218">
        <v>46233</v>
      </c>
      <c r="D191" s="219" t="s">
        <v>3643</v>
      </c>
      <c r="E191" s="218">
        <v>46233</v>
      </c>
      <c r="F191" s="219" t="s">
        <v>3644</v>
      </c>
      <c r="G191" s="220" t="s">
        <v>537</v>
      </c>
      <c r="H191" s="221">
        <v>13860</v>
      </c>
      <c r="I191" s="221">
        <v>34080</v>
      </c>
      <c r="J191" s="221">
        <v>20220</v>
      </c>
    </row>
    <row r="192" spans="1:10" x14ac:dyDescent="0.3">
      <c r="A192" s="217">
        <v>188</v>
      </c>
      <c r="B192" s="217" t="s">
        <v>3645</v>
      </c>
      <c r="C192" s="218">
        <v>46233</v>
      </c>
      <c r="D192" s="219" t="s">
        <v>3646</v>
      </c>
      <c r="E192" s="218">
        <v>46233</v>
      </c>
      <c r="F192" s="219" t="s">
        <v>3647</v>
      </c>
      <c r="G192" s="220" t="s">
        <v>64</v>
      </c>
      <c r="H192" s="221">
        <v>13970</v>
      </c>
      <c r="I192" s="221">
        <v>34220</v>
      </c>
      <c r="J192" s="221">
        <v>20250</v>
      </c>
    </row>
    <row r="193" spans="1:10" x14ac:dyDescent="0.3">
      <c r="A193" s="217">
        <v>189</v>
      </c>
      <c r="B193" s="217" t="s">
        <v>3648</v>
      </c>
      <c r="C193" s="218">
        <v>46233</v>
      </c>
      <c r="D193" s="219" t="s">
        <v>3649</v>
      </c>
      <c r="E193" s="218">
        <v>46233</v>
      </c>
      <c r="F193" s="219" t="s">
        <v>3650</v>
      </c>
      <c r="G193" s="220" t="s">
        <v>840</v>
      </c>
      <c r="H193" s="221">
        <v>13870</v>
      </c>
      <c r="I193" s="221">
        <v>34920</v>
      </c>
      <c r="J193" s="221">
        <v>21050</v>
      </c>
    </row>
    <row r="194" spans="1:10" x14ac:dyDescent="0.3">
      <c r="A194" s="217">
        <v>190</v>
      </c>
      <c r="B194" s="217" t="s">
        <v>3651</v>
      </c>
      <c r="C194" s="218">
        <v>46233</v>
      </c>
      <c r="D194" s="219" t="s">
        <v>3652</v>
      </c>
      <c r="E194" s="218">
        <v>46233</v>
      </c>
      <c r="F194" s="219" t="s">
        <v>3653</v>
      </c>
      <c r="G194" s="220" t="s">
        <v>143</v>
      </c>
      <c r="H194" s="221">
        <v>13970</v>
      </c>
      <c r="I194" s="221">
        <v>33690</v>
      </c>
      <c r="J194" s="221">
        <v>19720</v>
      </c>
    </row>
    <row r="195" spans="1:10" x14ac:dyDescent="0.3">
      <c r="A195" s="217">
        <v>191</v>
      </c>
      <c r="B195" s="217" t="s">
        <v>3654</v>
      </c>
      <c r="C195" s="218">
        <v>46233</v>
      </c>
      <c r="D195" s="219" t="s">
        <v>3101</v>
      </c>
      <c r="E195" s="218">
        <v>46233</v>
      </c>
      <c r="F195" s="219" t="s">
        <v>3655</v>
      </c>
      <c r="G195" s="220" t="s">
        <v>76</v>
      </c>
      <c r="H195" s="221">
        <v>13930</v>
      </c>
      <c r="I195" s="221">
        <v>32650</v>
      </c>
      <c r="J195" s="221">
        <v>18720</v>
      </c>
    </row>
    <row r="196" spans="1:10" x14ac:dyDescent="0.3">
      <c r="A196" s="217">
        <v>192</v>
      </c>
      <c r="B196" s="217" t="s">
        <v>3656</v>
      </c>
      <c r="C196" s="218">
        <v>46233</v>
      </c>
      <c r="D196" s="219" t="s">
        <v>3657</v>
      </c>
      <c r="E196" s="218">
        <v>46233</v>
      </c>
      <c r="F196" s="219" t="s">
        <v>3658</v>
      </c>
      <c r="G196" s="220" t="s">
        <v>90</v>
      </c>
      <c r="H196" s="221">
        <v>13710</v>
      </c>
      <c r="I196" s="221">
        <v>32790</v>
      </c>
      <c r="J196" s="221">
        <v>19080</v>
      </c>
    </row>
    <row r="197" spans="1:10" x14ac:dyDescent="0.3">
      <c r="A197" s="217">
        <v>193</v>
      </c>
      <c r="B197" s="217" t="s">
        <v>3659</v>
      </c>
      <c r="C197" s="218">
        <v>46233</v>
      </c>
      <c r="D197" s="219" t="s">
        <v>3660</v>
      </c>
      <c r="E197" s="218">
        <v>46233</v>
      </c>
      <c r="F197" s="219" t="s">
        <v>3661</v>
      </c>
      <c r="G197" s="220" t="s">
        <v>55</v>
      </c>
      <c r="H197" s="221">
        <v>13980</v>
      </c>
      <c r="I197" s="221">
        <v>33640</v>
      </c>
      <c r="J197" s="221">
        <v>19660</v>
      </c>
    </row>
    <row r="198" spans="1:10" x14ac:dyDescent="0.3">
      <c r="A198" s="217">
        <v>194</v>
      </c>
      <c r="B198" s="217" t="s">
        <v>3662</v>
      </c>
      <c r="C198" s="218">
        <v>46233</v>
      </c>
      <c r="D198" s="219" t="s">
        <v>3663</v>
      </c>
      <c r="E198" s="218">
        <v>46233</v>
      </c>
      <c r="F198" s="219" t="s">
        <v>3664</v>
      </c>
      <c r="G198" s="220" t="s">
        <v>43</v>
      </c>
      <c r="H198" s="221">
        <v>14030</v>
      </c>
      <c r="I198" s="221">
        <v>32780</v>
      </c>
      <c r="J198" s="221">
        <v>18750</v>
      </c>
    </row>
    <row r="199" spans="1:10" x14ac:dyDescent="0.3">
      <c r="A199" s="217">
        <v>195</v>
      </c>
      <c r="B199" s="217" t="s">
        <v>3665</v>
      </c>
      <c r="C199" s="218">
        <v>46233</v>
      </c>
      <c r="D199" s="219" t="s">
        <v>3666</v>
      </c>
      <c r="E199" s="218">
        <v>46233</v>
      </c>
      <c r="F199" s="219" t="s">
        <v>3667</v>
      </c>
      <c r="G199" s="220" t="s">
        <v>842</v>
      </c>
      <c r="H199" s="221">
        <v>13990</v>
      </c>
      <c r="I199" s="221">
        <v>33190</v>
      </c>
      <c r="J199" s="221">
        <v>19200</v>
      </c>
    </row>
    <row r="200" spans="1:10" x14ac:dyDescent="0.3">
      <c r="A200" s="217">
        <v>196</v>
      </c>
      <c r="B200" s="217" t="s">
        <v>3668</v>
      </c>
      <c r="C200" s="218">
        <v>46233</v>
      </c>
      <c r="D200" s="219" t="s">
        <v>3669</v>
      </c>
      <c r="E200" s="218">
        <v>46233</v>
      </c>
      <c r="F200" s="219" t="s">
        <v>3670</v>
      </c>
      <c r="G200" s="220" t="s">
        <v>336</v>
      </c>
      <c r="H200" s="221">
        <v>13780</v>
      </c>
      <c r="I200" s="221">
        <v>32880</v>
      </c>
      <c r="J200" s="221">
        <v>19100</v>
      </c>
    </row>
    <row r="201" spans="1:10" x14ac:dyDescent="0.3">
      <c r="A201" s="217">
        <v>197</v>
      </c>
      <c r="B201" s="217" t="s">
        <v>3671</v>
      </c>
      <c r="C201" s="218">
        <v>46233</v>
      </c>
      <c r="D201" s="219" t="s">
        <v>3672</v>
      </c>
      <c r="E201" s="218">
        <v>46233</v>
      </c>
      <c r="F201" s="219" t="s">
        <v>3673</v>
      </c>
      <c r="G201" s="220" t="s">
        <v>80</v>
      </c>
      <c r="H201" s="221">
        <v>14050</v>
      </c>
      <c r="I201" s="221">
        <v>34070</v>
      </c>
      <c r="J201" s="221">
        <v>20020</v>
      </c>
    </row>
    <row r="202" spans="1:10" x14ac:dyDescent="0.3">
      <c r="A202" s="217">
        <v>198</v>
      </c>
      <c r="B202" s="217" t="s">
        <v>3674</v>
      </c>
      <c r="C202" s="218">
        <v>46233</v>
      </c>
      <c r="D202" s="219" t="s">
        <v>3675</v>
      </c>
      <c r="E202" s="218">
        <v>46233</v>
      </c>
      <c r="F202" s="219" t="s">
        <v>3676</v>
      </c>
      <c r="G202" s="220" t="s">
        <v>71</v>
      </c>
      <c r="H202" s="221">
        <v>13800</v>
      </c>
      <c r="I202" s="221">
        <v>32370</v>
      </c>
      <c r="J202" s="221">
        <v>18570</v>
      </c>
    </row>
    <row r="203" spans="1:10" x14ac:dyDescent="0.3">
      <c r="A203" s="217">
        <v>199</v>
      </c>
      <c r="B203" s="217" t="s">
        <v>3677</v>
      </c>
      <c r="C203" s="218">
        <v>46233</v>
      </c>
      <c r="D203" s="219" t="s">
        <v>3678</v>
      </c>
      <c r="E203" s="218">
        <v>46233</v>
      </c>
      <c r="F203" s="219" t="s">
        <v>3679</v>
      </c>
      <c r="G203" s="220" t="s">
        <v>843</v>
      </c>
      <c r="H203" s="221">
        <v>14090</v>
      </c>
      <c r="I203" s="221">
        <v>33100</v>
      </c>
      <c r="J203" s="221">
        <v>19010</v>
      </c>
    </row>
    <row r="204" spans="1:10" x14ac:dyDescent="0.3">
      <c r="A204" s="217">
        <v>200</v>
      </c>
      <c r="B204" s="217" t="s">
        <v>3680</v>
      </c>
      <c r="C204" s="218">
        <v>46233</v>
      </c>
      <c r="D204" s="219" t="s">
        <v>3681</v>
      </c>
      <c r="E204" s="218">
        <v>46233</v>
      </c>
      <c r="F204" s="219" t="s">
        <v>3682</v>
      </c>
      <c r="G204" s="220" t="s">
        <v>537</v>
      </c>
      <c r="H204" s="221">
        <v>13820</v>
      </c>
      <c r="I204" s="221">
        <v>33600</v>
      </c>
      <c r="J204" s="221">
        <v>19780</v>
      </c>
    </row>
    <row r="205" spans="1:10" x14ac:dyDescent="0.3">
      <c r="A205" s="217">
        <v>201</v>
      </c>
      <c r="B205" s="217" t="s">
        <v>3683</v>
      </c>
      <c r="C205" s="218">
        <v>46233</v>
      </c>
      <c r="D205" s="219" t="s">
        <v>3684</v>
      </c>
      <c r="E205" s="218">
        <v>46233</v>
      </c>
      <c r="F205" s="219" t="s">
        <v>3685</v>
      </c>
      <c r="G205" s="220" t="s">
        <v>90</v>
      </c>
      <c r="H205" s="221">
        <v>13660</v>
      </c>
      <c r="I205" s="221">
        <v>31600</v>
      </c>
      <c r="J205" s="221">
        <v>17940</v>
      </c>
    </row>
    <row r="206" spans="1:10" x14ac:dyDescent="0.3">
      <c r="A206" s="217">
        <v>202</v>
      </c>
      <c r="B206" s="217" t="s">
        <v>3686</v>
      </c>
      <c r="C206" s="218">
        <v>46233</v>
      </c>
      <c r="D206" s="219" t="s">
        <v>3687</v>
      </c>
      <c r="E206" s="218">
        <v>46233</v>
      </c>
      <c r="F206" s="219" t="s">
        <v>3688</v>
      </c>
      <c r="G206" s="220" t="s">
        <v>64</v>
      </c>
      <c r="H206" s="221">
        <v>13970</v>
      </c>
      <c r="I206" s="221">
        <v>33520</v>
      </c>
      <c r="J206" s="221">
        <v>19550</v>
      </c>
    </row>
    <row r="207" spans="1:10" x14ac:dyDescent="0.3">
      <c r="A207" s="217">
        <v>203</v>
      </c>
      <c r="B207" s="217" t="s">
        <v>3689</v>
      </c>
      <c r="C207" s="218">
        <v>46233</v>
      </c>
      <c r="D207" s="219" t="s">
        <v>3690</v>
      </c>
      <c r="E207" s="218">
        <v>46233</v>
      </c>
      <c r="F207" s="219" t="s">
        <v>3691</v>
      </c>
      <c r="G207" s="220" t="s">
        <v>43</v>
      </c>
      <c r="H207" s="221">
        <v>14050</v>
      </c>
      <c r="I207" s="221">
        <v>33110</v>
      </c>
      <c r="J207" s="221">
        <v>19060</v>
      </c>
    </row>
    <row r="208" spans="1:10" x14ac:dyDescent="0.3">
      <c r="A208" s="217">
        <v>204</v>
      </c>
      <c r="B208" s="217" t="s">
        <v>3692</v>
      </c>
      <c r="C208" s="218">
        <v>46233</v>
      </c>
      <c r="D208" s="219" t="s">
        <v>3693</v>
      </c>
      <c r="E208" s="218">
        <v>46233</v>
      </c>
      <c r="F208" s="219" t="s">
        <v>3694</v>
      </c>
      <c r="G208" s="220" t="s">
        <v>76</v>
      </c>
      <c r="H208" s="221">
        <v>13890</v>
      </c>
      <c r="I208" s="221">
        <v>32710</v>
      </c>
      <c r="J208" s="221">
        <v>18820</v>
      </c>
    </row>
    <row r="209" spans="1:10" x14ac:dyDescent="0.3">
      <c r="A209" s="217">
        <v>205</v>
      </c>
      <c r="B209" s="217" t="s">
        <v>3695</v>
      </c>
      <c r="C209" s="218">
        <v>46233</v>
      </c>
      <c r="D209" s="219" t="s">
        <v>3696</v>
      </c>
      <c r="E209" s="218">
        <v>46233</v>
      </c>
      <c r="F209" s="219" t="s">
        <v>3697</v>
      </c>
      <c r="G209" s="220" t="s">
        <v>840</v>
      </c>
      <c r="H209" s="221">
        <v>13810</v>
      </c>
      <c r="I209" s="221">
        <v>33690</v>
      </c>
      <c r="J209" s="221">
        <v>19880</v>
      </c>
    </row>
    <row r="210" spans="1:10" x14ac:dyDescent="0.3">
      <c r="A210" s="217">
        <v>206</v>
      </c>
      <c r="B210" s="217" t="s">
        <v>3698</v>
      </c>
      <c r="C210" s="218">
        <v>46233</v>
      </c>
      <c r="D210" s="219" t="s">
        <v>3699</v>
      </c>
      <c r="E210" s="218">
        <v>46233</v>
      </c>
      <c r="F210" s="219" t="s">
        <v>3700</v>
      </c>
      <c r="G210" s="220" t="s">
        <v>143</v>
      </c>
      <c r="H210" s="221">
        <v>13930</v>
      </c>
      <c r="I210" s="221">
        <v>33640</v>
      </c>
      <c r="J210" s="221">
        <v>19710</v>
      </c>
    </row>
    <row r="211" spans="1:10" x14ac:dyDescent="0.3">
      <c r="A211" s="217">
        <v>207</v>
      </c>
      <c r="B211" s="217" t="s">
        <v>3701</v>
      </c>
      <c r="C211" s="218">
        <v>46233</v>
      </c>
      <c r="D211" s="219" t="s">
        <v>3702</v>
      </c>
      <c r="E211" s="218">
        <v>46233</v>
      </c>
      <c r="F211" s="219" t="s">
        <v>3703</v>
      </c>
      <c r="G211" s="220" t="s">
        <v>55</v>
      </c>
      <c r="H211" s="221">
        <v>13910</v>
      </c>
      <c r="I211" s="221">
        <v>33230</v>
      </c>
      <c r="J211" s="221">
        <v>19320</v>
      </c>
    </row>
    <row r="212" spans="1:10" x14ac:dyDescent="0.3">
      <c r="A212" s="217">
        <v>208</v>
      </c>
      <c r="B212" s="217" t="s">
        <v>3704</v>
      </c>
      <c r="C212" s="218">
        <v>46233</v>
      </c>
      <c r="D212" s="219" t="s">
        <v>3705</v>
      </c>
      <c r="E212" s="218">
        <v>46233</v>
      </c>
      <c r="F212" s="219" t="s">
        <v>3706</v>
      </c>
      <c r="G212" s="220" t="s">
        <v>336</v>
      </c>
      <c r="H212" s="221">
        <v>13730</v>
      </c>
      <c r="I212" s="221">
        <v>33100</v>
      </c>
      <c r="J212" s="221">
        <v>19370</v>
      </c>
    </row>
    <row r="213" spans="1:10" x14ac:dyDescent="0.3">
      <c r="A213" s="217">
        <v>209</v>
      </c>
      <c r="B213" s="217" t="s">
        <v>3707</v>
      </c>
      <c r="C213" s="218">
        <v>46233</v>
      </c>
      <c r="D213" s="219" t="s">
        <v>3708</v>
      </c>
      <c r="E213" s="218">
        <v>46233</v>
      </c>
      <c r="F213" s="219" t="s">
        <v>3709</v>
      </c>
      <c r="G213" s="220" t="s">
        <v>842</v>
      </c>
      <c r="H213" s="221">
        <v>13950</v>
      </c>
      <c r="I213" s="221">
        <v>33400</v>
      </c>
      <c r="J213" s="221">
        <v>19450</v>
      </c>
    </row>
    <row r="214" spans="1:10" x14ac:dyDescent="0.3">
      <c r="A214" s="217">
        <v>210</v>
      </c>
      <c r="B214" s="217" t="s">
        <v>3710</v>
      </c>
      <c r="C214" s="218">
        <v>46233</v>
      </c>
      <c r="D214" s="219" t="s">
        <v>3711</v>
      </c>
      <c r="E214" s="218">
        <v>46233</v>
      </c>
      <c r="F214" s="219" t="s">
        <v>3712</v>
      </c>
      <c r="G214" s="220" t="s">
        <v>80</v>
      </c>
      <c r="H214" s="221">
        <v>14020</v>
      </c>
      <c r="I214" s="221">
        <v>32410</v>
      </c>
      <c r="J214" s="221">
        <v>18390</v>
      </c>
    </row>
    <row r="215" spans="1:10" x14ac:dyDescent="0.3">
      <c r="A215" s="217">
        <v>211</v>
      </c>
      <c r="B215" s="217" t="s">
        <v>3713</v>
      </c>
      <c r="C215" s="218">
        <v>46233</v>
      </c>
      <c r="D215" s="219" t="s">
        <v>3714</v>
      </c>
      <c r="E215" s="218">
        <v>46233</v>
      </c>
      <c r="F215" s="219" t="s">
        <v>3715</v>
      </c>
      <c r="G215" s="220" t="s">
        <v>71</v>
      </c>
      <c r="H215" s="221">
        <v>13760</v>
      </c>
      <c r="I215" s="221">
        <v>33120</v>
      </c>
      <c r="J215" s="221">
        <v>19360</v>
      </c>
    </row>
    <row r="216" spans="1:10" x14ac:dyDescent="0.3">
      <c r="A216" s="217">
        <v>212</v>
      </c>
      <c r="B216" s="217" t="s">
        <v>3716</v>
      </c>
      <c r="C216" s="218">
        <v>46233</v>
      </c>
      <c r="D216" s="219" t="s">
        <v>3717</v>
      </c>
      <c r="E216" s="218">
        <v>46233</v>
      </c>
      <c r="F216" s="219" t="s">
        <v>3718</v>
      </c>
      <c r="G216" s="220" t="s">
        <v>843</v>
      </c>
      <c r="H216" s="221">
        <v>14060</v>
      </c>
      <c r="I216" s="221">
        <v>32780</v>
      </c>
      <c r="J216" s="221">
        <v>18720</v>
      </c>
    </row>
    <row r="217" spans="1:10" x14ac:dyDescent="0.3">
      <c r="A217" s="217">
        <v>213</v>
      </c>
      <c r="B217" s="217" t="s">
        <v>3719</v>
      </c>
      <c r="C217" s="218">
        <v>46233</v>
      </c>
      <c r="D217" s="219" t="s">
        <v>3720</v>
      </c>
      <c r="E217" s="218">
        <v>46233</v>
      </c>
      <c r="F217" s="219" t="s">
        <v>3721</v>
      </c>
      <c r="G217" s="220" t="s">
        <v>537</v>
      </c>
      <c r="H217" s="221">
        <v>13780</v>
      </c>
      <c r="I217" s="221">
        <v>32090</v>
      </c>
      <c r="J217" s="221">
        <v>18310</v>
      </c>
    </row>
    <row r="218" spans="1:10" x14ac:dyDescent="0.3">
      <c r="A218" s="217">
        <v>214</v>
      </c>
      <c r="B218" s="217" t="s">
        <v>3722</v>
      </c>
      <c r="C218" s="218">
        <v>46233</v>
      </c>
      <c r="D218" s="219" t="s">
        <v>3723</v>
      </c>
      <c r="E218" s="218">
        <v>46233</v>
      </c>
      <c r="F218" s="219" t="s">
        <v>3724</v>
      </c>
      <c r="G218" s="220" t="s">
        <v>90</v>
      </c>
      <c r="H218" s="221">
        <v>13620</v>
      </c>
      <c r="I218" s="221">
        <v>32520</v>
      </c>
      <c r="J218" s="221">
        <v>18900</v>
      </c>
    </row>
    <row r="219" spans="1:10" x14ac:dyDescent="0.3">
      <c r="A219" s="217">
        <v>215</v>
      </c>
      <c r="B219" s="217" t="s">
        <v>3725</v>
      </c>
      <c r="C219" s="218">
        <v>46233</v>
      </c>
      <c r="D219" s="219" t="s">
        <v>3726</v>
      </c>
      <c r="E219" s="218">
        <v>46233</v>
      </c>
      <c r="F219" s="219" t="s">
        <v>3727</v>
      </c>
      <c r="G219" s="220" t="s">
        <v>64</v>
      </c>
      <c r="H219" s="221">
        <v>13910</v>
      </c>
      <c r="I219" s="221">
        <v>32690</v>
      </c>
      <c r="J219" s="221">
        <v>18780</v>
      </c>
    </row>
    <row r="220" spans="1:10" x14ac:dyDescent="0.3">
      <c r="A220" s="217">
        <v>216</v>
      </c>
      <c r="B220" s="217" t="s">
        <v>3728</v>
      </c>
      <c r="C220" s="218">
        <v>46233</v>
      </c>
      <c r="D220" s="219" t="s">
        <v>3729</v>
      </c>
      <c r="E220" s="218">
        <v>46233</v>
      </c>
      <c r="F220" s="219" t="s">
        <v>3086</v>
      </c>
      <c r="G220" s="220" t="s">
        <v>43</v>
      </c>
      <c r="H220" s="221">
        <v>13910</v>
      </c>
      <c r="I220" s="221">
        <v>32100</v>
      </c>
      <c r="J220" s="221">
        <v>18190</v>
      </c>
    </row>
    <row r="221" spans="1:10" x14ac:dyDescent="0.3">
      <c r="A221" s="217">
        <v>217</v>
      </c>
      <c r="B221" s="217" t="s">
        <v>3730</v>
      </c>
      <c r="C221" s="218">
        <v>46233</v>
      </c>
      <c r="D221" s="219" t="s">
        <v>3731</v>
      </c>
      <c r="E221" s="218">
        <v>46233</v>
      </c>
      <c r="F221" s="219" t="s">
        <v>3732</v>
      </c>
      <c r="G221" s="220" t="s">
        <v>76</v>
      </c>
      <c r="H221" s="221">
        <v>13860</v>
      </c>
      <c r="I221" s="221">
        <v>32150</v>
      </c>
      <c r="J221" s="221">
        <v>18290</v>
      </c>
    </row>
    <row r="222" spans="1:10" x14ac:dyDescent="0.3">
      <c r="A222" s="217">
        <v>218</v>
      </c>
      <c r="B222" s="217" t="s">
        <v>3733</v>
      </c>
      <c r="C222" s="218">
        <v>46233</v>
      </c>
      <c r="D222" s="219" t="s">
        <v>3734</v>
      </c>
      <c r="E222" s="218">
        <v>46233</v>
      </c>
      <c r="F222" s="219" t="s">
        <v>3735</v>
      </c>
      <c r="G222" s="220" t="s">
        <v>840</v>
      </c>
      <c r="H222" s="221">
        <v>13720</v>
      </c>
      <c r="I222" s="221">
        <v>32920</v>
      </c>
      <c r="J222" s="221">
        <v>19200</v>
      </c>
    </row>
    <row r="223" spans="1:10" x14ac:dyDescent="0.3">
      <c r="A223" s="217">
        <v>219</v>
      </c>
      <c r="B223" s="217" t="s">
        <v>3736</v>
      </c>
      <c r="C223" s="218">
        <v>46233</v>
      </c>
      <c r="D223" s="219" t="s">
        <v>3737</v>
      </c>
      <c r="E223" s="218">
        <v>46233</v>
      </c>
      <c r="F223" s="219" t="s">
        <v>3738</v>
      </c>
      <c r="G223" s="220" t="s">
        <v>143</v>
      </c>
      <c r="H223" s="221">
        <v>13880</v>
      </c>
      <c r="I223" s="221">
        <v>32980</v>
      </c>
      <c r="J223" s="221">
        <v>19100</v>
      </c>
    </row>
    <row r="224" spans="1:10" x14ac:dyDescent="0.3">
      <c r="A224" s="217">
        <v>220</v>
      </c>
      <c r="B224" s="217" t="s">
        <v>3739</v>
      </c>
      <c r="C224" s="218">
        <v>46233</v>
      </c>
      <c r="D224" s="219" t="s">
        <v>3740</v>
      </c>
      <c r="E224" s="218">
        <v>46233</v>
      </c>
      <c r="F224" s="219" t="s">
        <v>1213</v>
      </c>
      <c r="G224" s="220" t="s">
        <v>55</v>
      </c>
      <c r="H224" s="221">
        <v>13850</v>
      </c>
      <c r="I224" s="221">
        <v>32670</v>
      </c>
      <c r="J224" s="221">
        <v>18820</v>
      </c>
    </row>
    <row r="225" spans="1:10" x14ac:dyDescent="0.3">
      <c r="A225" s="217">
        <v>221</v>
      </c>
      <c r="B225" s="217" t="s">
        <v>3741</v>
      </c>
      <c r="C225" s="218">
        <v>46233</v>
      </c>
      <c r="D225" s="219" t="s">
        <v>3742</v>
      </c>
      <c r="E225" s="218">
        <v>46233</v>
      </c>
      <c r="F225" s="219" t="s">
        <v>3743</v>
      </c>
      <c r="G225" s="220" t="s">
        <v>842</v>
      </c>
      <c r="H225" s="221">
        <v>13940</v>
      </c>
      <c r="I225" s="221">
        <v>32710</v>
      </c>
      <c r="J225" s="221">
        <v>18770</v>
      </c>
    </row>
    <row r="226" spans="1:10" x14ac:dyDescent="0.3">
      <c r="A226" s="217">
        <v>222</v>
      </c>
      <c r="B226" s="217" t="s">
        <v>3744</v>
      </c>
      <c r="C226" s="218">
        <v>46233</v>
      </c>
      <c r="D226" s="219" t="s">
        <v>3745</v>
      </c>
      <c r="E226" s="218">
        <v>46233</v>
      </c>
      <c r="F226" s="219" t="s">
        <v>3746</v>
      </c>
      <c r="G226" s="220" t="s">
        <v>336</v>
      </c>
      <c r="H226" s="221">
        <v>13700</v>
      </c>
      <c r="I226" s="221">
        <v>32770</v>
      </c>
      <c r="J226" s="221">
        <v>19070</v>
      </c>
    </row>
    <row r="227" spans="1:10" x14ac:dyDescent="0.3">
      <c r="A227" s="217">
        <v>223</v>
      </c>
      <c r="B227" s="217" t="s">
        <v>3747</v>
      </c>
      <c r="C227" s="218">
        <v>46233</v>
      </c>
      <c r="D227" s="219" t="s">
        <v>3748</v>
      </c>
      <c r="E227" s="218">
        <v>46233</v>
      </c>
      <c r="F227" s="219" t="s">
        <v>3749</v>
      </c>
      <c r="G227" s="220" t="s">
        <v>843</v>
      </c>
      <c r="H227" s="221">
        <v>14030</v>
      </c>
      <c r="I227" s="221">
        <v>32410</v>
      </c>
      <c r="J227" s="221">
        <v>18380</v>
      </c>
    </row>
    <row r="228" spans="1:10" x14ac:dyDescent="0.3">
      <c r="A228" s="217">
        <v>224</v>
      </c>
      <c r="B228" s="217" t="s">
        <v>3750</v>
      </c>
      <c r="C228" s="218">
        <v>46233</v>
      </c>
      <c r="D228" s="219" t="s">
        <v>3751</v>
      </c>
      <c r="E228" s="218">
        <v>46233</v>
      </c>
      <c r="F228" s="219" t="s">
        <v>3752</v>
      </c>
      <c r="G228" s="220" t="s">
        <v>71</v>
      </c>
      <c r="H228" s="221">
        <v>13970</v>
      </c>
      <c r="I228" s="221">
        <v>34040</v>
      </c>
      <c r="J228" s="221">
        <v>20070</v>
      </c>
    </row>
    <row r="229" spans="1:10" x14ac:dyDescent="0.3">
      <c r="A229" s="217">
        <v>225</v>
      </c>
      <c r="B229" s="217" t="s">
        <v>3753</v>
      </c>
      <c r="C229" s="218">
        <v>46233</v>
      </c>
      <c r="D229" s="219" t="s">
        <v>3754</v>
      </c>
      <c r="E229" s="218">
        <v>46233</v>
      </c>
      <c r="F229" s="219" t="s">
        <v>3755</v>
      </c>
      <c r="G229" s="220" t="s">
        <v>537</v>
      </c>
      <c r="H229" s="221">
        <v>13740</v>
      </c>
      <c r="I229" s="221">
        <v>35250</v>
      </c>
      <c r="J229" s="221">
        <v>21510</v>
      </c>
    </row>
    <row r="230" spans="1:10" x14ac:dyDescent="0.3">
      <c r="A230" s="217">
        <v>226</v>
      </c>
      <c r="B230" s="217" t="s">
        <v>3756</v>
      </c>
      <c r="C230" s="218">
        <v>46233</v>
      </c>
      <c r="D230" s="219" t="s">
        <v>3757</v>
      </c>
      <c r="E230" s="218">
        <v>46233</v>
      </c>
      <c r="F230" s="219" t="s">
        <v>3758</v>
      </c>
      <c r="G230" s="220" t="s">
        <v>90</v>
      </c>
      <c r="H230" s="221">
        <v>14050</v>
      </c>
      <c r="I230" s="221">
        <v>33440</v>
      </c>
      <c r="J230" s="221">
        <v>19390</v>
      </c>
    </row>
    <row r="231" spans="1:10" x14ac:dyDescent="0.3">
      <c r="A231" s="217">
        <v>227</v>
      </c>
      <c r="B231" s="217" t="s">
        <v>3759</v>
      </c>
      <c r="C231" s="218">
        <v>46233</v>
      </c>
      <c r="D231" s="219" t="s">
        <v>3760</v>
      </c>
      <c r="E231" s="218">
        <v>46233</v>
      </c>
      <c r="F231" s="219" t="s">
        <v>3761</v>
      </c>
      <c r="G231" s="220" t="s">
        <v>64</v>
      </c>
      <c r="H231" s="221">
        <v>13860</v>
      </c>
      <c r="I231" s="221">
        <v>33180</v>
      </c>
      <c r="J231" s="221">
        <v>19320</v>
      </c>
    </row>
    <row r="232" spans="1:10" x14ac:dyDescent="0.3">
      <c r="A232" s="217">
        <v>228</v>
      </c>
      <c r="B232" s="217" t="s">
        <v>3762</v>
      </c>
      <c r="C232" s="218">
        <v>46233</v>
      </c>
      <c r="D232" s="219" t="s">
        <v>3763</v>
      </c>
      <c r="E232" s="218">
        <v>46233</v>
      </c>
      <c r="F232" s="219" t="s">
        <v>3764</v>
      </c>
      <c r="G232" s="220" t="s">
        <v>43</v>
      </c>
      <c r="H232" s="221">
        <v>13940</v>
      </c>
      <c r="I232" s="221">
        <v>33100</v>
      </c>
      <c r="J232" s="221">
        <v>19160</v>
      </c>
    </row>
    <row r="233" spans="1:10" x14ac:dyDescent="0.3">
      <c r="A233" s="217">
        <v>229</v>
      </c>
      <c r="B233" s="217" t="s">
        <v>3765</v>
      </c>
      <c r="C233" s="218">
        <v>46233</v>
      </c>
      <c r="D233" s="219" t="s">
        <v>3766</v>
      </c>
      <c r="E233" s="218">
        <v>46233</v>
      </c>
      <c r="F233" s="219" t="s">
        <v>3767</v>
      </c>
      <c r="G233" s="220" t="s">
        <v>76</v>
      </c>
      <c r="H233" s="221">
        <v>13800</v>
      </c>
      <c r="I233" s="221">
        <v>32030</v>
      </c>
      <c r="J233" s="221">
        <v>18230</v>
      </c>
    </row>
    <row r="234" spans="1:10" x14ac:dyDescent="0.3">
      <c r="A234" s="217">
        <v>230</v>
      </c>
      <c r="B234" s="217" t="s">
        <v>3768</v>
      </c>
      <c r="C234" s="218">
        <v>46233</v>
      </c>
      <c r="D234" s="219" t="s">
        <v>3769</v>
      </c>
      <c r="E234" s="218">
        <v>46233</v>
      </c>
      <c r="F234" s="219" t="s">
        <v>3770</v>
      </c>
      <c r="G234" s="220" t="s">
        <v>143</v>
      </c>
      <c r="H234" s="221">
        <v>13830</v>
      </c>
      <c r="I234" s="221">
        <v>32620</v>
      </c>
      <c r="J234" s="221">
        <v>18790</v>
      </c>
    </row>
    <row r="235" spans="1:10" x14ac:dyDescent="0.3">
      <c r="A235" s="217">
        <v>231</v>
      </c>
      <c r="B235" s="217" t="s">
        <v>3771</v>
      </c>
      <c r="C235" s="218">
        <v>46233</v>
      </c>
      <c r="D235" s="219" t="s">
        <v>3772</v>
      </c>
      <c r="E235" s="218">
        <v>46233</v>
      </c>
      <c r="F235" s="219" t="s">
        <v>3773</v>
      </c>
      <c r="G235" s="220" t="s">
        <v>80</v>
      </c>
      <c r="H235" s="221">
        <v>13990</v>
      </c>
      <c r="I235" s="221">
        <v>35090</v>
      </c>
      <c r="J235" s="221">
        <v>21100</v>
      </c>
    </row>
    <row r="236" spans="1:10" x14ac:dyDescent="0.3">
      <c r="A236" s="217">
        <v>232</v>
      </c>
      <c r="B236" s="217" t="s">
        <v>3774</v>
      </c>
      <c r="C236" s="218">
        <v>46233</v>
      </c>
      <c r="D236" s="219" t="s">
        <v>3775</v>
      </c>
      <c r="E236" s="218">
        <v>46233</v>
      </c>
      <c r="F236" s="219" t="s">
        <v>3776</v>
      </c>
      <c r="G236" s="220" t="s">
        <v>842</v>
      </c>
      <c r="H236" s="221">
        <v>13880</v>
      </c>
      <c r="I236" s="221">
        <v>32190</v>
      </c>
      <c r="J236" s="221">
        <v>18310</v>
      </c>
    </row>
    <row r="237" spans="1:10" x14ac:dyDescent="0.3">
      <c r="A237" s="217">
        <v>233</v>
      </c>
      <c r="B237" s="217" t="s">
        <v>3777</v>
      </c>
      <c r="C237" s="218">
        <v>46233</v>
      </c>
      <c r="D237" s="219" t="s">
        <v>3778</v>
      </c>
      <c r="E237" s="218">
        <v>46233</v>
      </c>
      <c r="F237" s="219" t="s">
        <v>3779</v>
      </c>
      <c r="G237" s="220" t="s">
        <v>336</v>
      </c>
      <c r="H237" s="221">
        <v>13640</v>
      </c>
      <c r="I237" s="221">
        <v>31860</v>
      </c>
      <c r="J237" s="221">
        <v>18220</v>
      </c>
    </row>
    <row r="238" spans="1:10" x14ac:dyDescent="0.3">
      <c r="A238" s="217">
        <v>234</v>
      </c>
      <c r="B238" s="217" t="s">
        <v>3780</v>
      </c>
      <c r="C238" s="218">
        <v>46233</v>
      </c>
      <c r="D238" s="219" t="s">
        <v>3781</v>
      </c>
      <c r="E238" s="218">
        <v>46233</v>
      </c>
      <c r="F238" s="219" t="s">
        <v>3782</v>
      </c>
      <c r="G238" s="220" t="s">
        <v>71</v>
      </c>
      <c r="H238" s="221">
        <v>13860</v>
      </c>
      <c r="I238" s="221">
        <v>32750</v>
      </c>
      <c r="J238" s="221">
        <v>18890</v>
      </c>
    </row>
    <row r="239" spans="1:10" x14ac:dyDescent="0.3">
      <c r="A239" s="217">
        <v>235</v>
      </c>
      <c r="B239" s="217" t="s">
        <v>3783</v>
      </c>
      <c r="C239" s="218">
        <v>46233</v>
      </c>
      <c r="D239" s="219" t="s">
        <v>3784</v>
      </c>
      <c r="E239" s="218">
        <v>46233</v>
      </c>
      <c r="F239" s="219" t="s">
        <v>3785</v>
      </c>
      <c r="G239" s="220" t="s">
        <v>537</v>
      </c>
      <c r="H239" s="221">
        <v>13780</v>
      </c>
      <c r="I239" s="221">
        <v>33540</v>
      </c>
      <c r="J239" s="221">
        <v>19760</v>
      </c>
    </row>
    <row r="240" spans="1:10" x14ac:dyDescent="0.3">
      <c r="A240" s="217">
        <v>236</v>
      </c>
      <c r="B240" s="217" t="s">
        <v>3786</v>
      </c>
      <c r="C240" s="218">
        <v>46233</v>
      </c>
      <c r="D240" s="219" t="s">
        <v>3787</v>
      </c>
      <c r="E240" s="218">
        <v>46233</v>
      </c>
      <c r="F240" s="219" t="s">
        <v>3788</v>
      </c>
      <c r="G240" s="220" t="s">
        <v>843</v>
      </c>
      <c r="H240" s="221">
        <v>14040</v>
      </c>
      <c r="I240" s="221">
        <v>32300</v>
      </c>
      <c r="J240" s="221">
        <v>18260</v>
      </c>
    </row>
    <row r="241" spans="1:10" x14ac:dyDescent="0.3">
      <c r="A241" s="217">
        <v>237</v>
      </c>
      <c r="B241" s="217" t="s">
        <v>3789</v>
      </c>
      <c r="C241" s="218">
        <v>46233</v>
      </c>
      <c r="D241" s="219" t="s">
        <v>3790</v>
      </c>
      <c r="E241" s="218">
        <v>46233</v>
      </c>
      <c r="F241" s="219" t="s">
        <v>3791</v>
      </c>
      <c r="G241" s="220" t="s">
        <v>90</v>
      </c>
      <c r="H241" s="221">
        <v>13930</v>
      </c>
      <c r="I241" s="221">
        <v>32310</v>
      </c>
      <c r="J241" s="221">
        <v>18380</v>
      </c>
    </row>
    <row r="242" spans="1:10" x14ac:dyDescent="0.3">
      <c r="A242" s="217">
        <v>238</v>
      </c>
      <c r="B242" s="217" t="s">
        <v>3792</v>
      </c>
      <c r="C242" s="218">
        <v>46233</v>
      </c>
      <c r="D242" s="219" t="s">
        <v>3793</v>
      </c>
      <c r="E242" s="218">
        <v>46233</v>
      </c>
      <c r="F242" s="219" t="s">
        <v>3794</v>
      </c>
      <c r="G242" s="220" t="s">
        <v>64</v>
      </c>
      <c r="H242" s="221">
        <v>13840</v>
      </c>
      <c r="I242" s="221">
        <v>33190</v>
      </c>
      <c r="J242" s="221">
        <v>19350</v>
      </c>
    </row>
    <row r="243" spans="1:10" x14ac:dyDescent="0.3">
      <c r="A243" s="217">
        <v>239</v>
      </c>
      <c r="B243" s="217" t="s">
        <v>3795</v>
      </c>
      <c r="C243" s="218">
        <v>46233</v>
      </c>
      <c r="D243" s="219" t="s">
        <v>3796</v>
      </c>
      <c r="E243" s="218">
        <v>46233</v>
      </c>
      <c r="F243" s="219" t="s">
        <v>3797</v>
      </c>
      <c r="G243" s="220" t="s">
        <v>43</v>
      </c>
      <c r="H243" s="221">
        <v>13840</v>
      </c>
      <c r="I243" s="221">
        <v>32740</v>
      </c>
      <c r="J243" s="221">
        <v>18900</v>
      </c>
    </row>
    <row r="244" spans="1:10" x14ac:dyDescent="0.3">
      <c r="A244" s="217">
        <v>240</v>
      </c>
      <c r="B244" s="217" t="s">
        <v>3798</v>
      </c>
      <c r="C244" s="218">
        <v>46233</v>
      </c>
      <c r="D244" s="219" t="s">
        <v>3799</v>
      </c>
      <c r="E244" s="218">
        <v>46233</v>
      </c>
      <c r="F244" s="219" t="s">
        <v>3800</v>
      </c>
      <c r="G244" s="220" t="s">
        <v>143</v>
      </c>
      <c r="H244" s="221">
        <v>13820</v>
      </c>
      <c r="I244" s="221">
        <v>31910</v>
      </c>
      <c r="J244" s="221">
        <v>18090</v>
      </c>
    </row>
    <row r="245" spans="1:10" x14ac:dyDescent="0.3">
      <c r="A245" s="217">
        <v>241</v>
      </c>
      <c r="B245" s="217" t="s">
        <v>3801</v>
      </c>
      <c r="C245" s="218">
        <v>46233</v>
      </c>
      <c r="D245" s="219" t="s">
        <v>3802</v>
      </c>
      <c r="E245" s="218">
        <v>46233</v>
      </c>
      <c r="F245" s="219" t="s">
        <v>3803</v>
      </c>
      <c r="G245" s="220" t="s">
        <v>76</v>
      </c>
      <c r="H245" s="221">
        <v>13810</v>
      </c>
      <c r="I245" s="221">
        <v>32560</v>
      </c>
      <c r="J245" s="221">
        <v>18750</v>
      </c>
    </row>
    <row r="246" spans="1:10" x14ac:dyDescent="0.3">
      <c r="A246" s="217">
        <v>242</v>
      </c>
      <c r="B246" s="217" t="s">
        <v>3804</v>
      </c>
      <c r="C246" s="218">
        <v>46233</v>
      </c>
      <c r="D246" s="219" t="s">
        <v>3805</v>
      </c>
      <c r="E246" s="218">
        <v>46233</v>
      </c>
      <c r="F246" s="219" t="s">
        <v>3806</v>
      </c>
      <c r="G246" s="220" t="s">
        <v>80</v>
      </c>
      <c r="H246" s="221">
        <v>13950</v>
      </c>
      <c r="I246" s="221">
        <v>35070</v>
      </c>
      <c r="J246" s="221">
        <v>21120</v>
      </c>
    </row>
    <row r="247" spans="1:10" x14ac:dyDescent="0.3">
      <c r="A247" s="217">
        <v>243</v>
      </c>
      <c r="B247" s="217" t="s">
        <v>3807</v>
      </c>
      <c r="C247" s="218">
        <v>46233</v>
      </c>
      <c r="D247" s="219" t="s">
        <v>3808</v>
      </c>
      <c r="E247" s="218">
        <v>46233</v>
      </c>
      <c r="F247" s="219" t="s">
        <v>3809</v>
      </c>
      <c r="G247" s="220" t="s">
        <v>55</v>
      </c>
      <c r="H247" s="221">
        <v>13800</v>
      </c>
      <c r="I247" s="221">
        <v>34610</v>
      </c>
      <c r="J247" s="221">
        <v>20810</v>
      </c>
    </row>
    <row r="248" spans="1:10" x14ac:dyDescent="0.3">
      <c r="A248" s="217">
        <v>244</v>
      </c>
      <c r="B248" s="217" t="s">
        <v>3810</v>
      </c>
      <c r="C248" s="218">
        <v>46233</v>
      </c>
      <c r="D248" s="219" t="s">
        <v>3811</v>
      </c>
      <c r="E248" s="218">
        <v>46233</v>
      </c>
      <c r="F248" s="219" t="s">
        <v>3812</v>
      </c>
      <c r="G248" s="220" t="s">
        <v>842</v>
      </c>
      <c r="H248" s="221">
        <v>13820</v>
      </c>
      <c r="I248" s="221">
        <v>33520</v>
      </c>
      <c r="J248" s="221">
        <v>19700</v>
      </c>
    </row>
    <row r="249" spans="1:10" x14ac:dyDescent="0.3">
      <c r="A249" s="217">
        <v>245</v>
      </c>
      <c r="B249" s="217" t="s">
        <v>3813</v>
      </c>
      <c r="C249" s="218">
        <v>46233</v>
      </c>
      <c r="D249" s="219" t="s">
        <v>3814</v>
      </c>
      <c r="E249" s="218">
        <v>46233</v>
      </c>
      <c r="F249" s="219" t="s">
        <v>3815</v>
      </c>
      <c r="G249" s="220" t="s">
        <v>71</v>
      </c>
      <c r="H249" s="221">
        <v>13910</v>
      </c>
      <c r="I249" s="221">
        <v>33590</v>
      </c>
      <c r="J249" s="221">
        <v>19680</v>
      </c>
    </row>
    <row r="250" spans="1:10" x14ac:dyDescent="0.3">
      <c r="A250" s="217">
        <v>246</v>
      </c>
      <c r="B250" s="217" t="s">
        <v>3816</v>
      </c>
      <c r="C250" s="218">
        <v>46233</v>
      </c>
      <c r="D250" s="219" t="s">
        <v>3817</v>
      </c>
      <c r="E250" s="218">
        <v>46233</v>
      </c>
      <c r="F250" s="219" t="s">
        <v>3818</v>
      </c>
      <c r="G250" s="220" t="s">
        <v>90</v>
      </c>
      <c r="H250" s="221">
        <v>13900</v>
      </c>
      <c r="I250" s="221">
        <v>33360</v>
      </c>
      <c r="J250" s="221">
        <v>19460</v>
      </c>
    </row>
    <row r="251" spans="1:10" x14ac:dyDescent="0.3">
      <c r="A251" s="217">
        <v>247</v>
      </c>
      <c r="B251" s="217" t="s">
        <v>3819</v>
      </c>
      <c r="C251" s="218">
        <v>46233</v>
      </c>
      <c r="D251" s="219" t="s">
        <v>3820</v>
      </c>
      <c r="E251" s="218">
        <v>46233</v>
      </c>
      <c r="F251" s="219" t="s">
        <v>3821</v>
      </c>
      <c r="G251" s="220" t="s">
        <v>336</v>
      </c>
      <c r="H251" s="221">
        <v>13960</v>
      </c>
      <c r="I251" s="221">
        <v>33190</v>
      </c>
      <c r="J251" s="221">
        <v>19230</v>
      </c>
    </row>
    <row r="252" spans="1:10" x14ac:dyDescent="0.3">
      <c r="A252" s="217">
        <v>248</v>
      </c>
      <c r="B252" s="217" t="s">
        <v>3822</v>
      </c>
      <c r="C252" s="218">
        <v>46233</v>
      </c>
      <c r="D252" s="219" t="s">
        <v>3823</v>
      </c>
      <c r="E252" s="218">
        <v>46233</v>
      </c>
      <c r="F252" s="219" t="s">
        <v>3824</v>
      </c>
      <c r="G252" s="220" t="s">
        <v>843</v>
      </c>
      <c r="H252" s="221">
        <v>13980</v>
      </c>
      <c r="I252" s="221">
        <v>34390</v>
      </c>
      <c r="J252" s="221">
        <v>20410</v>
      </c>
    </row>
    <row r="253" spans="1:10" x14ac:dyDescent="0.3">
      <c r="A253" s="217">
        <v>249</v>
      </c>
      <c r="B253" s="217" t="s">
        <v>3825</v>
      </c>
      <c r="C253" s="218">
        <v>46233</v>
      </c>
      <c r="D253" s="219" t="s">
        <v>3826</v>
      </c>
      <c r="E253" s="218">
        <v>46233</v>
      </c>
      <c r="F253" s="219" t="s">
        <v>3827</v>
      </c>
      <c r="G253" s="220" t="s">
        <v>64</v>
      </c>
      <c r="H253" s="221">
        <v>13800</v>
      </c>
      <c r="I253" s="221">
        <v>32750</v>
      </c>
      <c r="J253" s="221">
        <v>18950</v>
      </c>
    </row>
    <row r="254" spans="1:10" x14ac:dyDescent="0.3">
      <c r="A254" s="217">
        <v>250</v>
      </c>
      <c r="B254" s="217" t="s">
        <v>3828</v>
      </c>
      <c r="C254" s="218">
        <v>46233</v>
      </c>
      <c r="D254" s="219" t="s">
        <v>3829</v>
      </c>
      <c r="E254" s="218">
        <v>46233</v>
      </c>
      <c r="F254" s="219" t="s">
        <v>3830</v>
      </c>
      <c r="G254" s="220" t="s">
        <v>143</v>
      </c>
      <c r="H254" s="221">
        <v>14010</v>
      </c>
      <c r="I254" s="221">
        <v>35380</v>
      </c>
      <c r="J254" s="221">
        <v>21370</v>
      </c>
    </row>
    <row r="255" spans="1:10" x14ac:dyDescent="0.3">
      <c r="A255" s="217">
        <v>251</v>
      </c>
      <c r="B255" s="217" t="s">
        <v>3831</v>
      </c>
      <c r="C255" s="218">
        <v>46233</v>
      </c>
      <c r="D255" s="219" t="s">
        <v>3832</v>
      </c>
      <c r="E255" s="218">
        <v>46233</v>
      </c>
      <c r="F255" s="219" t="s">
        <v>3833</v>
      </c>
      <c r="G255" s="220" t="s">
        <v>80</v>
      </c>
      <c r="H255" s="221">
        <v>13900</v>
      </c>
      <c r="I255" s="221">
        <v>32200</v>
      </c>
      <c r="J255" s="221">
        <v>18300</v>
      </c>
    </row>
    <row r="256" spans="1:10" x14ac:dyDescent="0.3">
      <c r="A256" s="217">
        <v>252</v>
      </c>
      <c r="B256" s="217" t="s">
        <v>3834</v>
      </c>
      <c r="C256" s="218">
        <v>46233</v>
      </c>
      <c r="D256" s="219" t="s">
        <v>3835</v>
      </c>
      <c r="E256" s="218">
        <v>46233</v>
      </c>
      <c r="F256" s="219" t="s">
        <v>3836</v>
      </c>
      <c r="G256" s="220" t="s">
        <v>71</v>
      </c>
      <c r="H256" s="221">
        <v>13910</v>
      </c>
      <c r="I256" s="221">
        <v>32650</v>
      </c>
      <c r="J256" s="221">
        <v>18740</v>
      </c>
    </row>
    <row r="257" spans="1:10" x14ac:dyDescent="0.3">
      <c r="A257" s="217">
        <v>253</v>
      </c>
      <c r="B257" s="217" t="s">
        <v>3837</v>
      </c>
      <c r="C257" s="218">
        <v>46233</v>
      </c>
      <c r="D257" s="219" t="s">
        <v>3838</v>
      </c>
      <c r="E257" s="218">
        <v>46233</v>
      </c>
      <c r="F257" s="219" t="s">
        <v>3839</v>
      </c>
      <c r="G257" s="220" t="s">
        <v>842</v>
      </c>
      <c r="H257" s="221">
        <v>13820</v>
      </c>
      <c r="I257" s="221">
        <v>33750</v>
      </c>
      <c r="J257" s="221">
        <v>19930</v>
      </c>
    </row>
    <row r="258" spans="1:10" x14ac:dyDescent="0.3">
      <c r="A258" s="217">
        <v>254</v>
      </c>
      <c r="B258" s="217" t="s">
        <v>3840</v>
      </c>
      <c r="C258" s="218">
        <v>46233</v>
      </c>
      <c r="D258" s="219" t="s">
        <v>3841</v>
      </c>
      <c r="E258" s="218">
        <v>46233</v>
      </c>
      <c r="F258" s="219" t="s">
        <v>3842</v>
      </c>
      <c r="G258" s="220" t="s">
        <v>336</v>
      </c>
      <c r="H258" s="221">
        <v>13910</v>
      </c>
      <c r="I258" s="221">
        <v>33700</v>
      </c>
      <c r="J258" s="221">
        <v>19790</v>
      </c>
    </row>
    <row r="259" spans="1:10" x14ac:dyDescent="0.3">
      <c r="A259" s="217">
        <v>255</v>
      </c>
      <c r="B259" s="217" t="s">
        <v>3843</v>
      </c>
      <c r="C259" s="218">
        <v>46234</v>
      </c>
      <c r="D259" s="219" t="s">
        <v>3844</v>
      </c>
      <c r="E259" s="218">
        <v>46234</v>
      </c>
      <c r="F259" s="219" t="s">
        <v>3087</v>
      </c>
      <c r="G259" s="220" t="s">
        <v>843</v>
      </c>
      <c r="H259" s="221">
        <v>13920</v>
      </c>
      <c r="I259" s="221">
        <v>31960</v>
      </c>
      <c r="J259" s="221">
        <v>18040</v>
      </c>
    </row>
    <row r="260" spans="1:10" x14ac:dyDescent="0.3">
      <c r="A260" s="217">
        <v>256</v>
      </c>
      <c r="B260" s="217" t="s">
        <v>3845</v>
      </c>
      <c r="C260" s="218">
        <v>46234</v>
      </c>
      <c r="D260" s="219" t="s">
        <v>3846</v>
      </c>
      <c r="E260" s="218">
        <v>46234</v>
      </c>
      <c r="F260" s="219" t="s">
        <v>3847</v>
      </c>
      <c r="G260" s="220" t="s">
        <v>64</v>
      </c>
      <c r="H260" s="221">
        <v>13770</v>
      </c>
      <c r="I260" s="221">
        <v>33880</v>
      </c>
      <c r="J260" s="221">
        <v>20110</v>
      </c>
    </row>
    <row r="261" spans="1:10" x14ac:dyDescent="0.3">
      <c r="A261" s="217">
        <v>257</v>
      </c>
      <c r="B261" s="217" t="s">
        <v>3848</v>
      </c>
      <c r="C261" s="218">
        <v>46234</v>
      </c>
      <c r="D261" s="219" t="s">
        <v>3849</v>
      </c>
      <c r="E261" s="218">
        <v>46234</v>
      </c>
      <c r="F261" s="219" t="s">
        <v>3850</v>
      </c>
      <c r="G261" s="220" t="s">
        <v>76</v>
      </c>
      <c r="H261" s="221">
        <v>13810</v>
      </c>
      <c r="I261" s="221">
        <v>33020</v>
      </c>
      <c r="J261" s="221">
        <v>19210</v>
      </c>
    </row>
    <row r="262" spans="1:10" x14ac:dyDescent="0.3">
      <c r="A262" s="217">
        <v>258</v>
      </c>
      <c r="B262" s="217" t="s">
        <v>3851</v>
      </c>
      <c r="C262" s="218">
        <v>46234</v>
      </c>
      <c r="D262" s="219" t="s">
        <v>3852</v>
      </c>
      <c r="E262" s="218">
        <v>46234</v>
      </c>
      <c r="F262" s="219" t="s">
        <v>3853</v>
      </c>
      <c r="G262" s="220" t="s">
        <v>336</v>
      </c>
      <c r="H262" s="221">
        <v>13830</v>
      </c>
      <c r="I262" s="221">
        <v>32960</v>
      </c>
      <c r="J262" s="221">
        <v>19130</v>
      </c>
    </row>
    <row r="263" spans="1:10" x14ac:dyDescent="0.3">
      <c r="A263" s="217">
        <v>259</v>
      </c>
      <c r="B263" s="217" t="s">
        <v>3854</v>
      </c>
      <c r="C263" s="218">
        <v>46234</v>
      </c>
      <c r="D263" s="219" t="s">
        <v>3855</v>
      </c>
      <c r="E263" s="218">
        <v>46234</v>
      </c>
      <c r="F263" s="219" t="s">
        <v>3856</v>
      </c>
      <c r="G263" s="220" t="s">
        <v>842</v>
      </c>
      <c r="H263" s="221">
        <v>13760</v>
      </c>
      <c r="I263" s="221">
        <v>33750</v>
      </c>
      <c r="J263" s="221">
        <v>19990</v>
      </c>
    </row>
    <row r="264" spans="1:10" x14ac:dyDescent="0.3">
      <c r="A264" s="217">
        <v>260</v>
      </c>
      <c r="B264" s="217" t="s">
        <v>3857</v>
      </c>
      <c r="C264" s="218">
        <v>46234</v>
      </c>
      <c r="D264" s="219" t="s">
        <v>3858</v>
      </c>
      <c r="E264" s="218">
        <v>46234</v>
      </c>
      <c r="F264" s="219" t="s">
        <v>3859</v>
      </c>
      <c r="G264" s="220" t="s">
        <v>55</v>
      </c>
      <c r="H264" s="221">
        <v>13720</v>
      </c>
      <c r="I264" s="221">
        <v>32070</v>
      </c>
      <c r="J264" s="221">
        <v>18350</v>
      </c>
    </row>
    <row r="265" spans="1:10" x14ac:dyDescent="0.3">
      <c r="A265" s="217">
        <v>261</v>
      </c>
      <c r="B265" s="217" t="s">
        <v>3860</v>
      </c>
      <c r="C265" s="218">
        <v>46234</v>
      </c>
      <c r="D265" s="219" t="s">
        <v>1099</v>
      </c>
      <c r="E265" s="218">
        <v>46234</v>
      </c>
      <c r="F265" s="219" t="s">
        <v>3861</v>
      </c>
      <c r="G265" s="220" t="s">
        <v>71</v>
      </c>
      <c r="H265" s="221">
        <v>13850</v>
      </c>
      <c r="I265" s="221">
        <v>33830</v>
      </c>
      <c r="J265" s="221">
        <v>19980</v>
      </c>
    </row>
    <row r="266" spans="1:10" x14ac:dyDescent="0.3">
      <c r="A266" s="217">
        <v>262</v>
      </c>
      <c r="B266" s="217" t="s">
        <v>3862</v>
      </c>
      <c r="C266" s="218">
        <v>46234</v>
      </c>
      <c r="D266" s="219" t="s">
        <v>3863</v>
      </c>
      <c r="E266" s="218">
        <v>46234</v>
      </c>
      <c r="F266" s="219" t="s">
        <v>3099</v>
      </c>
      <c r="G266" s="220" t="s">
        <v>840</v>
      </c>
      <c r="H266" s="221">
        <v>13740</v>
      </c>
      <c r="I266" s="221">
        <v>33160</v>
      </c>
      <c r="J266" s="221">
        <v>19420</v>
      </c>
    </row>
    <row r="267" spans="1:10" x14ac:dyDescent="0.3">
      <c r="A267" s="217">
        <v>263</v>
      </c>
      <c r="B267" s="217" t="s">
        <v>3864</v>
      </c>
      <c r="C267" s="218">
        <v>46234</v>
      </c>
      <c r="D267" s="219" t="s">
        <v>3865</v>
      </c>
      <c r="E267" s="218">
        <v>46234</v>
      </c>
      <c r="F267" s="219" t="s">
        <v>3866</v>
      </c>
      <c r="G267" s="220" t="s">
        <v>80</v>
      </c>
      <c r="H267" s="221">
        <v>13890</v>
      </c>
      <c r="I267" s="221">
        <v>33100</v>
      </c>
      <c r="J267" s="221">
        <v>19210</v>
      </c>
    </row>
    <row r="268" spans="1:10" x14ac:dyDescent="0.3">
      <c r="A268" s="217">
        <v>264</v>
      </c>
      <c r="B268" s="217" t="s">
        <v>3867</v>
      </c>
      <c r="C268" s="218">
        <v>46234</v>
      </c>
      <c r="D268" s="219" t="s">
        <v>3868</v>
      </c>
      <c r="E268" s="218">
        <v>46234</v>
      </c>
      <c r="F268" s="219" t="s">
        <v>3869</v>
      </c>
      <c r="G268" s="220" t="s">
        <v>537</v>
      </c>
      <c r="H268" s="221">
        <v>13990</v>
      </c>
      <c r="I268" s="221">
        <v>34400</v>
      </c>
      <c r="J268" s="221">
        <v>20410</v>
      </c>
    </row>
    <row r="269" spans="1:10" x14ac:dyDescent="0.3">
      <c r="A269" s="217">
        <v>265</v>
      </c>
      <c r="B269" s="217" t="s">
        <v>3870</v>
      </c>
      <c r="C269" s="218">
        <v>46234</v>
      </c>
      <c r="D269" s="219" t="s">
        <v>3871</v>
      </c>
      <c r="E269" s="218">
        <v>46234</v>
      </c>
      <c r="F269" s="219" t="s">
        <v>3872</v>
      </c>
      <c r="G269" s="220" t="s">
        <v>43</v>
      </c>
      <c r="H269" s="221">
        <v>13830</v>
      </c>
      <c r="I269" s="221">
        <v>32480</v>
      </c>
      <c r="J269" s="221">
        <v>18650</v>
      </c>
    </row>
    <row r="270" spans="1:10" x14ac:dyDescent="0.3">
      <c r="A270" s="217">
        <v>266</v>
      </c>
      <c r="B270" s="217" t="s">
        <v>3873</v>
      </c>
      <c r="C270" s="218">
        <v>46234</v>
      </c>
      <c r="D270" s="219" t="s">
        <v>3874</v>
      </c>
      <c r="E270" s="218">
        <v>46234</v>
      </c>
      <c r="F270" s="219" t="s">
        <v>3875</v>
      </c>
      <c r="G270" s="220" t="s">
        <v>90</v>
      </c>
      <c r="H270" s="221">
        <v>13880</v>
      </c>
      <c r="I270" s="221">
        <v>33610</v>
      </c>
      <c r="J270" s="221">
        <v>19730</v>
      </c>
    </row>
    <row r="271" spans="1:10" x14ac:dyDescent="0.3">
      <c r="A271" s="217">
        <v>267</v>
      </c>
      <c r="B271" s="217" t="s">
        <v>3876</v>
      </c>
      <c r="C271" s="218">
        <v>46234</v>
      </c>
      <c r="D271" s="219" t="s">
        <v>75</v>
      </c>
      <c r="E271" s="218">
        <v>46234</v>
      </c>
      <c r="F271" s="219" t="s">
        <v>3877</v>
      </c>
      <c r="G271" s="220" t="s">
        <v>143</v>
      </c>
      <c r="H271" s="221">
        <v>14000</v>
      </c>
      <c r="I271" s="221">
        <v>34180</v>
      </c>
      <c r="J271" s="221">
        <v>20180</v>
      </c>
    </row>
    <row r="272" spans="1:10" x14ac:dyDescent="0.3">
      <c r="A272" s="217">
        <v>268</v>
      </c>
      <c r="B272" s="217" t="s">
        <v>3878</v>
      </c>
      <c r="C272" s="218">
        <v>46234</v>
      </c>
      <c r="D272" s="219" t="s">
        <v>3879</v>
      </c>
      <c r="E272" s="218">
        <v>46234</v>
      </c>
      <c r="F272" s="219" t="s">
        <v>3880</v>
      </c>
      <c r="G272" s="220" t="s">
        <v>843</v>
      </c>
      <c r="H272" s="221">
        <v>13910</v>
      </c>
      <c r="I272" s="221">
        <v>32370</v>
      </c>
      <c r="J272" s="221">
        <v>18460</v>
      </c>
    </row>
    <row r="273" spans="1:10" x14ac:dyDescent="0.3">
      <c r="A273" s="217">
        <v>269</v>
      </c>
      <c r="B273" s="217" t="s">
        <v>3881</v>
      </c>
      <c r="C273" s="218">
        <v>46234</v>
      </c>
      <c r="D273" s="219" t="s">
        <v>3882</v>
      </c>
      <c r="E273" s="218">
        <v>46234</v>
      </c>
      <c r="F273" s="219" t="s">
        <v>3883</v>
      </c>
      <c r="G273" s="220" t="s">
        <v>64</v>
      </c>
      <c r="H273" s="221">
        <v>13740</v>
      </c>
      <c r="I273" s="221">
        <v>32640</v>
      </c>
      <c r="J273" s="221">
        <v>18900</v>
      </c>
    </row>
    <row r="274" spans="1:10" x14ac:dyDescent="0.3">
      <c r="A274" s="217">
        <v>270</v>
      </c>
      <c r="B274" s="217" t="s">
        <v>3884</v>
      </c>
      <c r="C274" s="218">
        <v>46234</v>
      </c>
      <c r="D274" s="219" t="s">
        <v>3885</v>
      </c>
      <c r="E274" s="218">
        <v>46234</v>
      </c>
      <c r="F274" s="219" t="s">
        <v>2018</v>
      </c>
      <c r="G274" s="220" t="s">
        <v>76</v>
      </c>
      <c r="H274" s="221">
        <v>13770</v>
      </c>
      <c r="I274" s="221">
        <v>33200</v>
      </c>
      <c r="J274" s="221">
        <v>19430</v>
      </c>
    </row>
    <row r="275" spans="1:10" x14ac:dyDescent="0.3">
      <c r="A275" s="217">
        <v>271</v>
      </c>
      <c r="B275" s="217" t="s">
        <v>3886</v>
      </c>
      <c r="C275" s="218">
        <v>46234</v>
      </c>
      <c r="D275" s="219" t="s">
        <v>3685</v>
      </c>
      <c r="E275" s="218">
        <v>46234</v>
      </c>
      <c r="F275" s="219" t="s">
        <v>3887</v>
      </c>
      <c r="G275" s="220" t="s">
        <v>336</v>
      </c>
      <c r="H275" s="221">
        <v>13850</v>
      </c>
      <c r="I275" s="221">
        <v>32400</v>
      </c>
      <c r="J275" s="221">
        <v>18550</v>
      </c>
    </row>
    <row r="276" spans="1:10" x14ac:dyDescent="0.3">
      <c r="A276" s="217">
        <v>272</v>
      </c>
      <c r="B276" s="217" t="s">
        <v>3888</v>
      </c>
      <c r="C276" s="218">
        <v>46234</v>
      </c>
      <c r="D276" s="219" t="s">
        <v>3889</v>
      </c>
      <c r="E276" s="218">
        <v>46234</v>
      </c>
      <c r="F276" s="219" t="s">
        <v>3890</v>
      </c>
      <c r="G276" s="220" t="s">
        <v>842</v>
      </c>
      <c r="H276" s="221">
        <v>13740</v>
      </c>
      <c r="I276" s="221">
        <v>33300</v>
      </c>
      <c r="J276" s="221">
        <v>19560</v>
      </c>
    </row>
    <row r="277" spans="1:10" x14ac:dyDescent="0.3">
      <c r="A277" s="217">
        <v>273</v>
      </c>
      <c r="B277" s="217" t="s">
        <v>3891</v>
      </c>
      <c r="C277" s="218">
        <v>46234</v>
      </c>
      <c r="D277" s="219" t="s">
        <v>3892</v>
      </c>
      <c r="E277" s="218">
        <v>46234</v>
      </c>
      <c r="F277" s="219" t="s">
        <v>3893</v>
      </c>
      <c r="G277" s="220" t="s">
        <v>55</v>
      </c>
      <c r="H277" s="221">
        <v>13720</v>
      </c>
      <c r="I277" s="221">
        <v>33490</v>
      </c>
      <c r="J277" s="221">
        <v>19770</v>
      </c>
    </row>
    <row r="278" spans="1:10" x14ac:dyDescent="0.3">
      <c r="A278" s="217">
        <v>274</v>
      </c>
      <c r="B278" s="217" t="s">
        <v>3894</v>
      </c>
      <c r="C278" s="218">
        <v>46234</v>
      </c>
      <c r="D278" s="219" t="s">
        <v>3895</v>
      </c>
      <c r="E278" s="218">
        <v>46234</v>
      </c>
      <c r="F278" s="219" t="s">
        <v>2456</v>
      </c>
      <c r="G278" s="220" t="s">
        <v>71</v>
      </c>
      <c r="H278" s="221">
        <v>13830</v>
      </c>
      <c r="I278" s="221">
        <v>33030</v>
      </c>
      <c r="J278" s="221">
        <v>19200</v>
      </c>
    </row>
    <row r="279" spans="1:10" x14ac:dyDescent="0.3">
      <c r="A279" s="217">
        <v>275</v>
      </c>
      <c r="B279" s="217" t="s">
        <v>3896</v>
      </c>
      <c r="C279" s="218">
        <v>46234</v>
      </c>
      <c r="D279" s="219" t="s">
        <v>3897</v>
      </c>
      <c r="E279" s="218">
        <v>46234</v>
      </c>
      <c r="F279" s="219" t="s">
        <v>3898</v>
      </c>
      <c r="G279" s="220" t="s">
        <v>840</v>
      </c>
      <c r="H279" s="221">
        <v>13720</v>
      </c>
      <c r="I279" s="221">
        <v>33440</v>
      </c>
      <c r="J279" s="221">
        <v>19720</v>
      </c>
    </row>
    <row r="280" spans="1:10" x14ac:dyDescent="0.3">
      <c r="A280" s="217">
        <v>276</v>
      </c>
      <c r="B280" s="217" t="s">
        <v>3899</v>
      </c>
      <c r="C280" s="218">
        <v>46234</v>
      </c>
      <c r="D280" s="219" t="s">
        <v>3900</v>
      </c>
      <c r="E280" s="218">
        <v>46234</v>
      </c>
      <c r="F280" s="219" t="s">
        <v>3901</v>
      </c>
      <c r="G280" s="220" t="s">
        <v>80</v>
      </c>
      <c r="H280" s="221">
        <v>13840</v>
      </c>
      <c r="I280" s="221">
        <v>33840</v>
      </c>
      <c r="J280" s="221">
        <v>20000</v>
      </c>
    </row>
    <row r="281" spans="1:10" ht="18" customHeight="1" x14ac:dyDescent="0.3">
      <c r="A281" s="217">
        <v>277</v>
      </c>
      <c r="B281" s="217" t="s">
        <v>3902</v>
      </c>
      <c r="C281" s="218">
        <v>46234</v>
      </c>
      <c r="D281" s="219" t="s">
        <v>3903</v>
      </c>
      <c r="E281" s="218">
        <v>46234</v>
      </c>
      <c r="F281" s="219" t="s">
        <v>3904</v>
      </c>
      <c r="G281" s="220" t="s">
        <v>537</v>
      </c>
      <c r="H281" s="221">
        <v>13940</v>
      </c>
      <c r="I281" s="221">
        <v>32860</v>
      </c>
      <c r="J281" s="221">
        <v>18920</v>
      </c>
    </row>
    <row r="282" spans="1:10" ht="18" customHeight="1" x14ac:dyDescent="0.3">
      <c r="A282" s="217">
        <v>278</v>
      </c>
      <c r="B282" s="217" t="s">
        <v>3905</v>
      </c>
      <c r="C282" s="218">
        <v>46234</v>
      </c>
      <c r="D282" s="219" t="s">
        <v>3906</v>
      </c>
      <c r="E282" s="218">
        <v>46234</v>
      </c>
      <c r="F282" s="219" t="s">
        <v>3907</v>
      </c>
      <c r="G282" s="220" t="s">
        <v>43</v>
      </c>
      <c r="H282" s="221">
        <v>13810</v>
      </c>
      <c r="I282" s="221">
        <v>32260</v>
      </c>
      <c r="J282" s="221">
        <v>18450</v>
      </c>
    </row>
    <row r="283" spans="1:10" ht="18" customHeight="1" x14ac:dyDescent="0.3">
      <c r="A283" s="217">
        <v>279</v>
      </c>
      <c r="B283" s="217" t="s">
        <v>3908</v>
      </c>
      <c r="C283" s="218">
        <v>46234</v>
      </c>
      <c r="D283" s="219" t="s">
        <v>3909</v>
      </c>
      <c r="E283" s="218">
        <v>46234</v>
      </c>
      <c r="F283" s="219" t="s">
        <v>3910</v>
      </c>
      <c r="G283" s="220" t="s">
        <v>90</v>
      </c>
      <c r="H283" s="221">
        <v>13840</v>
      </c>
      <c r="I283" s="221">
        <v>32440</v>
      </c>
      <c r="J283" s="221">
        <v>18600</v>
      </c>
    </row>
    <row r="284" spans="1:10" ht="18" customHeight="1" x14ac:dyDescent="0.3">
      <c r="A284" s="217">
        <v>280</v>
      </c>
      <c r="B284" s="217" t="s">
        <v>3911</v>
      </c>
      <c r="C284" s="218">
        <v>46234</v>
      </c>
      <c r="D284" s="219" t="s">
        <v>3912</v>
      </c>
      <c r="E284" s="218">
        <v>46234</v>
      </c>
      <c r="F284" s="219" t="s">
        <v>3913</v>
      </c>
      <c r="G284" s="220" t="s">
        <v>143</v>
      </c>
      <c r="H284" s="221">
        <v>13940</v>
      </c>
      <c r="I284" s="221">
        <v>31750</v>
      </c>
      <c r="J284" s="221">
        <v>17810</v>
      </c>
    </row>
    <row r="285" spans="1:10" ht="18" customHeight="1" x14ac:dyDescent="0.3">
      <c r="A285" s="217">
        <v>281</v>
      </c>
      <c r="B285" s="217" t="s">
        <v>3914</v>
      </c>
      <c r="C285" s="218">
        <v>46234</v>
      </c>
      <c r="D285" s="219" t="s">
        <v>3915</v>
      </c>
      <c r="E285" s="218">
        <v>46234</v>
      </c>
      <c r="F285" s="219" t="s">
        <v>3916</v>
      </c>
      <c r="G285" s="220" t="s">
        <v>843</v>
      </c>
      <c r="H285" s="221">
        <v>13870</v>
      </c>
      <c r="I285" s="221">
        <v>32010</v>
      </c>
      <c r="J285" s="221">
        <v>18140</v>
      </c>
    </row>
    <row r="286" spans="1:10" ht="18" customHeight="1" x14ac:dyDescent="0.3">
      <c r="A286" s="217">
        <v>282</v>
      </c>
      <c r="B286" s="217" t="s">
        <v>3917</v>
      </c>
      <c r="C286" s="218">
        <v>46234</v>
      </c>
      <c r="D286" s="219" t="s">
        <v>3918</v>
      </c>
      <c r="E286" s="218">
        <v>46234</v>
      </c>
      <c r="F286" s="219" t="s">
        <v>3919</v>
      </c>
      <c r="G286" s="220" t="s">
        <v>64</v>
      </c>
      <c r="H286" s="221">
        <v>13720</v>
      </c>
      <c r="I286" s="221">
        <v>31470</v>
      </c>
      <c r="J286" s="221">
        <v>17750</v>
      </c>
    </row>
    <row r="287" spans="1:10" ht="18" customHeight="1" x14ac:dyDescent="0.3">
      <c r="A287" s="217">
        <v>283</v>
      </c>
      <c r="B287" s="217" t="s">
        <v>3920</v>
      </c>
      <c r="C287" s="218">
        <v>46234</v>
      </c>
      <c r="D287" s="219" t="s">
        <v>3921</v>
      </c>
      <c r="E287" s="218">
        <v>46234</v>
      </c>
      <c r="F287" s="219" t="s">
        <v>3922</v>
      </c>
      <c r="G287" s="220" t="s">
        <v>336</v>
      </c>
      <c r="H287" s="221">
        <v>13720</v>
      </c>
      <c r="I287" s="221">
        <v>32280</v>
      </c>
      <c r="J287" s="221">
        <v>18560</v>
      </c>
    </row>
    <row r="288" spans="1:10" ht="18" customHeight="1" x14ac:dyDescent="0.3">
      <c r="A288" s="217">
        <v>284</v>
      </c>
      <c r="B288" s="217" t="s">
        <v>3923</v>
      </c>
      <c r="C288" s="218">
        <v>46234</v>
      </c>
      <c r="D288" s="219" t="s">
        <v>3924</v>
      </c>
      <c r="E288" s="218">
        <v>46234</v>
      </c>
      <c r="F288" s="219" t="s">
        <v>631</v>
      </c>
      <c r="G288" s="220" t="s">
        <v>76</v>
      </c>
      <c r="H288" s="221">
        <v>13760</v>
      </c>
      <c r="I288" s="221">
        <v>32850</v>
      </c>
      <c r="J288" s="221">
        <v>19090</v>
      </c>
    </row>
    <row r="289" spans="1:10" ht="18" customHeight="1" x14ac:dyDescent="0.3">
      <c r="A289" s="217">
        <v>285</v>
      </c>
      <c r="B289" s="217" t="s">
        <v>3925</v>
      </c>
      <c r="C289" s="218">
        <v>46234</v>
      </c>
      <c r="D289" s="219" t="s">
        <v>3926</v>
      </c>
      <c r="E289" s="218">
        <v>46234</v>
      </c>
      <c r="F289" s="219" t="s">
        <v>3927</v>
      </c>
      <c r="G289" s="220" t="s">
        <v>55</v>
      </c>
      <c r="H289" s="221">
        <v>13760</v>
      </c>
      <c r="I289" s="221">
        <v>32760</v>
      </c>
      <c r="J289" s="221">
        <v>19000</v>
      </c>
    </row>
    <row r="290" spans="1:10" ht="18" customHeight="1" x14ac:dyDescent="0.3">
      <c r="A290" s="217">
        <v>286</v>
      </c>
      <c r="B290" s="217" t="s">
        <v>3928</v>
      </c>
      <c r="C290" s="218">
        <v>46234</v>
      </c>
      <c r="D290" s="219" t="s">
        <v>3097</v>
      </c>
      <c r="E290" s="218">
        <v>46234</v>
      </c>
      <c r="F290" s="219" t="s">
        <v>3929</v>
      </c>
      <c r="G290" s="220" t="s">
        <v>842</v>
      </c>
      <c r="H290" s="221">
        <v>13690</v>
      </c>
      <c r="I290" s="221">
        <v>31800</v>
      </c>
      <c r="J290" s="221">
        <v>18110</v>
      </c>
    </row>
    <row r="291" spans="1:10" ht="18" customHeight="1" x14ac:dyDescent="0.3">
      <c r="A291" s="217">
        <v>287</v>
      </c>
      <c r="B291" s="217" t="s">
        <v>3930</v>
      </c>
      <c r="C291" s="218">
        <v>46234</v>
      </c>
      <c r="D291" s="219" t="s">
        <v>3931</v>
      </c>
      <c r="E291" s="218">
        <v>46234</v>
      </c>
      <c r="F291" s="219" t="s">
        <v>3932</v>
      </c>
      <c r="G291" s="220" t="s">
        <v>71</v>
      </c>
      <c r="H291" s="221">
        <v>13810</v>
      </c>
      <c r="I291" s="221">
        <v>32370</v>
      </c>
      <c r="J291" s="221">
        <v>18560</v>
      </c>
    </row>
    <row r="292" spans="1:10" ht="18" customHeight="1" x14ac:dyDescent="0.3">
      <c r="A292" s="217">
        <v>288</v>
      </c>
      <c r="B292" s="217" t="s">
        <v>3933</v>
      </c>
      <c r="C292" s="218">
        <v>46234</v>
      </c>
      <c r="D292" s="219" t="s">
        <v>3934</v>
      </c>
      <c r="E292" s="218">
        <v>46234</v>
      </c>
      <c r="F292" s="219" t="s">
        <v>3935</v>
      </c>
      <c r="G292" s="220" t="s">
        <v>840</v>
      </c>
      <c r="H292" s="221">
        <v>13750</v>
      </c>
      <c r="I292" s="221">
        <v>32920</v>
      </c>
      <c r="J292" s="221">
        <v>19170</v>
      </c>
    </row>
    <row r="293" spans="1:10" ht="18" customHeight="1" x14ac:dyDescent="0.3">
      <c r="A293" s="217">
        <v>289</v>
      </c>
      <c r="B293" s="217" t="s">
        <v>3936</v>
      </c>
      <c r="C293" s="218">
        <v>46234</v>
      </c>
      <c r="D293" s="219" t="s">
        <v>3937</v>
      </c>
      <c r="E293" s="218">
        <v>46234</v>
      </c>
      <c r="F293" s="219" t="s">
        <v>3938</v>
      </c>
      <c r="G293" s="220" t="s">
        <v>537</v>
      </c>
      <c r="H293" s="221">
        <v>13890</v>
      </c>
      <c r="I293" s="221">
        <v>32950</v>
      </c>
      <c r="J293" s="221">
        <v>19060</v>
      </c>
    </row>
    <row r="294" spans="1:10" ht="18" customHeight="1" x14ac:dyDescent="0.3">
      <c r="A294" s="217">
        <v>290</v>
      </c>
      <c r="B294" s="217" t="s">
        <v>3939</v>
      </c>
      <c r="C294" s="218">
        <v>46234</v>
      </c>
      <c r="D294" s="219" t="s">
        <v>3940</v>
      </c>
      <c r="E294" s="218">
        <v>46234</v>
      </c>
      <c r="F294" s="219" t="s">
        <v>3941</v>
      </c>
      <c r="G294" s="220" t="s">
        <v>43</v>
      </c>
      <c r="H294" s="221">
        <v>14030</v>
      </c>
      <c r="I294" s="221">
        <v>32670</v>
      </c>
      <c r="J294" s="221">
        <v>18640</v>
      </c>
    </row>
    <row r="295" spans="1:10" ht="18" customHeight="1" x14ac:dyDescent="0.3">
      <c r="A295" s="217">
        <v>291</v>
      </c>
      <c r="B295" s="217" t="s">
        <v>3942</v>
      </c>
      <c r="C295" s="218">
        <v>46234</v>
      </c>
      <c r="D295" s="219" t="s">
        <v>3943</v>
      </c>
      <c r="E295" s="218">
        <v>46234</v>
      </c>
      <c r="F295" s="219" t="s">
        <v>3944</v>
      </c>
      <c r="G295" s="220" t="s">
        <v>90</v>
      </c>
      <c r="H295" s="221">
        <v>13830</v>
      </c>
      <c r="I295" s="221">
        <v>33330</v>
      </c>
      <c r="J295" s="221">
        <v>19500</v>
      </c>
    </row>
    <row r="296" spans="1:10" ht="18" customHeight="1" x14ac:dyDescent="0.3">
      <c r="A296" s="217">
        <v>292</v>
      </c>
      <c r="B296" s="217" t="s">
        <v>3945</v>
      </c>
      <c r="C296" s="218">
        <v>46234</v>
      </c>
      <c r="D296" s="219" t="s">
        <v>3946</v>
      </c>
      <c r="E296" s="218">
        <v>46234</v>
      </c>
      <c r="F296" s="219" t="s">
        <v>3947</v>
      </c>
      <c r="G296" s="220" t="s">
        <v>143</v>
      </c>
      <c r="H296" s="221">
        <v>13930</v>
      </c>
      <c r="I296" s="221">
        <v>33660</v>
      </c>
      <c r="J296" s="221">
        <v>19730</v>
      </c>
    </row>
    <row r="297" spans="1:10" ht="18" customHeight="1" x14ac:dyDescent="0.3">
      <c r="A297" s="217">
        <v>293</v>
      </c>
      <c r="B297" s="217" t="s">
        <v>3948</v>
      </c>
      <c r="C297" s="218">
        <v>46234</v>
      </c>
      <c r="D297" s="219" t="s">
        <v>2300</v>
      </c>
      <c r="E297" s="218">
        <v>46234</v>
      </c>
      <c r="F297" s="219" t="s">
        <v>3949</v>
      </c>
      <c r="G297" s="220" t="s">
        <v>64</v>
      </c>
      <c r="H297" s="221">
        <v>14050</v>
      </c>
      <c r="I297" s="221">
        <v>32710</v>
      </c>
      <c r="J297" s="221">
        <v>18660</v>
      </c>
    </row>
    <row r="298" spans="1:10" ht="18" customHeight="1" x14ac:dyDescent="0.3">
      <c r="A298" s="217">
        <v>294</v>
      </c>
      <c r="B298" s="217" t="s">
        <v>3950</v>
      </c>
      <c r="C298" s="218">
        <v>46234</v>
      </c>
      <c r="D298" s="219" t="s">
        <v>3951</v>
      </c>
      <c r="E298" s="218">
        <v>46234</v>
      </c>
      <c r="F298" s="219" t="s">
        <v>3952</v>
      </c>
      <c r="G298" s="220" t="s">
        <v>336</v>
      </c>
      <c r="H298" s="221">
        <v>13790</v>
      </c>
      <c r="I298" s="221">
        <v>32720</v>
      </c>
      <c r="J298" s="221">
        <v>18930</v>
      </c>
    </row>
    <row r="299" spans="1:10" ht="18" customHeight="1" x14ac:dyDescent="0.3">
      <c r="A299" s="217">
        <v>295</v>
      </c>
      <c r="B299" s="217" t="s">
        <v>3953</v>
      </c>
      <c r="C299" s="218">
        <v>46234</v>
      </c>
      <c r="D299" s="219" t="s">
        <v>3954</v>
      </c>
      <c r="E299" s="218">
        <v>46234</v>
      </c>
      <c r="F299" s="219" t="s">
        <v>3955</v>
      </c>
      <c r="G299" s="220" t="s">
        <v>55</v>
      </c>
      <c r="H299" s="221">
        <v>13750</v>
      </c>
      <c r="I299" s="221">
        <v>32340</v>
      </c>
      <c r="J299" s="221">
        <v>18590</v>
      </c>
    </row>
    <row r="300" spans="1:10" ht="18" customHeight="1" x14ac:dyDescent="0.3">
      <c r="A300" s="217">
        <v>296</v>
      </c>
      <c r="B300" s="217" t="s">
        <v>3956</v>
      </c>
      <c r="C300" s="218">
        <v>46234</v>
      </c>
      <c r="D300" s="219" t="s">
        <v>3957</v>
      </c>
      <c r="E300" s="218">
        <v>46234</v>
      </c>
      <c r="F300" s="219" t="s">
        <v>3958</v>
      </c>
      <c r="G300" s="220" t="s">
        <v>71</v>
      </c>
      <c r="H300" s="221">
        <v>13880</v>
      </c>
      <c r="I300" s="221">
        <v>32380</v>
      </c>
      <c r="J300" s="221">
        <v>18500</v>
      </c>
    </row>
    <row r="301" spans="1:10" ht="18" customHeight="1" x14ac:dyDescent="0.3">
      <c r="A301" s="217">
        <v>297</v>
      </c>
      <c r="B301" s="217" t="s">
        <v>3959</v>
      </c>
      <c r="C301" s="218">
        <v>46234</v>
      </c>
      <c r="D301" s="219" t="s">
        <v>3960</v>
      </c>
      <c r="E301" s="218">
        <v>46234</v>
      </c>
      <c r="F301" s="219" t="s">
        <v>3961</v>
      </c>
      <c r="G301" s="220" t="s">
        <v>842</v>
      </c>
      <c r="H301" s="221">
        <v>14070</v>
      </c>
      <c r="I301" s="221">
        <v>34030</v>
      </c>
      <c r="J301" s="221">
        <v>19960</v>
      </c>
    </row>
    <row r="302" spans="1:10" ht="18" customHeight="1" x14ac:dyDescent="0.3">
      <c r="A302" s="217">
        <v>298</v>
      </c>
      <c r="B302" s="217" t="s">
        <v>3962</v>
      </c>
      <c r="C302" s="218">
        <v>46234</v>
      </c>
      <c r="D302" s="219" t="s">
        <v>3963</v>
      </c>
      <c r="E302" s="218">
        <v>46234</v>
      </c>
      <c r="F302" s="219" t="s">
        <v>3964</v>
      </c>
      <c r="G302" s="220" t="s">
        <v>840</v>
      </c>
      <c r="H302" s="221">
        <v>14110</v>
      </c>
      <c r="I302" s="221">
        <v>34460</v>
      </c>
      <c r="J302" s="221">
        <v>20350</v>
      </c>
    </row>
    <row r="303" spans="1:10" ht="18" customHeight="1" x14ac:dyDescent="0.3">
      <c r="A303" s="217">
        <v>299</v>
      </c>
      <c r="B303" s="217" t="s">
        <v>3965</v>
      </c>
      <c r="C303" s="218">
        <v>46234</v>
      </c>
      <c r="D303" s="219" t="s">
        <v>3966</v>
      </c>
      <c r="E303" s="218">
        <v>46234</v>
      </c>
      <c r="F303" s="219" t="s">
        <v>3967</v>
      </c>
      <c r="G303" s="220" t="s">
        <v>76</v>
      </c>
      <c r="H303" s="221">
        <v>13720</v>
      </c>
      <c r="I303" s="221">
        <v>30920</v>
      </c>
      <c r="J303" s="221">
        <v>17200</v>
      </c>
    </row>
    <row r="304" spans="1:10" ht="18" customHeight="1" x14ac:dyDescent="0.3">
      <c r="A304" s="217">
        <v>300</v>
      </c>
      <c r="B304" s="217" t="s">
        <v>3968</v>
      </c>
      <c r="C304" s="218">
        <v>46234</v>
      </c>
      <c r="D304" s="219" t="s">
        <v>3969</v>
      </c>
      <c r="E304" s="218">
        <v>46234</v>
      </c>
      <c r="F304" s="219" t="s">
        <v>3970</v>
      </c>
      <c r="G304" s="220" t="s">
        <v>43</v>
      </c>
      <c r="H304" s="221">
        <v>14020</v>
      </c>
      <c r="I304" s="221">
        <v>33150</v>
      </c>
      <c r="J304" s="221">
        <v>19130</v>
      </c>
    </row>
    <row r="305" spans="1:10" ht="18" customHeight="1" x14ac:dyDescent="0.3">
      <c r="A305" s="217">
        <v>301</v>
      </c>
      <c r="B305" s="217" t="s">
        <v>3971</v>
      </c>
      <c r="C305" s="218">
        <v>46234</v>
      </c>
      <c r="D305" s="219" t="s">
        <v>3972</v>
      </c>
      <c r="E305" s="218">
        <v>46234</v>
      </c>
      <c r="F305" s="219" t="s">
        <v>3973</v>
      </c>
      <c r="G305" s="220" t="s">
        <v>90</v>
      </c>
      <c r="H305" s="221">
        <v>13800</v>
      </c>
      <c r="I305" s="221">
        <v>33140</v>
      </c>
      <c r="J305" s="221">
        <v>19340</v>
      </c>
    </row>
    <row r="306" spans="1:10" ht="18" customHeight="1" x14ac:dyDescent="0.3">
      <c r="A306" s="217">
        <v>302</v>
      </c>
      <c r="B306" s="217" t="s">
        <v>3974</v>
      </c>
      <c r="C306" s="218">
        <v>46234</v>
      </c>
      <c r="D306" s="219" t="s">
        <v>3975</v>
      </c>
      <c r="E306" s="218">
        <v>46234</v>
      </c>
      <c r="F306" s="219" t="s">
        <v>3976</v>
      </c>
      <c r="G306" s="220" t="s">
        <v>143</v>
      </c>
      <c r="H306" s="221">
        <v>13880</v>
      </c>
      <c r="I306" s="221">
        <v>32630</v>
      </c>
      <c r="J306" s="221">
        <v>18750</v>
      </c>
    </row>
    <row r="307" spans="1:10" ht="18" customHeight="1" x14ac:dyDescent="0.3">
      <c r="A307" s="217">
        <v>303</v>
      </c>
      <c r="B307" s="217" t="s">
        <v>3977</v>
      </c>
      <c r="C307" s="218">
        <v>46234</v>
      </c>
      <c r="D307" s="219" t="s">
        <v>3978</v>
      </c>
      <c r="E307" s="218">
        <v>46234</v>
      </c>
      <c r="F307" s="219" t="s">
        <v>458</v>
      </c>
      <c r="G307" s="220" t="s">
        <v>843</v>
      </c>
      <c r="H307" s="221">
        <v>14180</v>
      </c>
      <c r="I307" s="221">
        <v>32770</v>
      </c>
      <c r="J307" s="221">
        <v>18590</v>
      </c>
    </row>
    <row r="308" spans="1:10" ht="18" customHeight="1" x14ac:dyDescent="0.3">
      <c r="A308" s="217">
        <v>304</v>
      </c>
      <c r="B308" s="217" t="s">
        <v>3979</v>
      </c>
      <c r="C308" s="218">
        <v>46234</v>
      </c>
      <c r="D308" s="219" t="s">
        <v>3980</v>
      </c>
      <c r="E308" s="218">
        <v>46234</v>
      </c>
      <c r="F308" s="219" t="s">
        <v>3021</v>
      </c>
      <c r="G308" s="220" t="s">
        <v>64</v>
      </c>
      <c r="H308" s="221">
        <v>14020</v>
      </c>
      <c r="I308" s="221">
        <v>34670</v>
      </c>
      <c r="J308" s="221">
        <v>20650</v>
      </c>
    </row>
    <row r="309" spans="1:10" ht="18" customHeight="1" x14ac:dyDescent="0.3">
      <c r="A309" s="217">
        <v>305</v>
      </c>
      <c r="B309" s="217" t="s">
        <v>3981</v>
      </c>
      <c r="C309" s="218">
        <v>46234</v>
      </c>
      <c r="D309" s="219" t="s">
        <v>3982</v>
      </c>
      <c r="E309" s="218">
        <v>46234</v>
      </c>
      <c r="F309" s="219" t="s">
        <v>3983</v>
      </c>
      <c r="G309" s="220" t="s">
        <v>336</v>
      </c>
      <c r="H309" s="221">
        <v>13740</v>
      </c>
      <c r="I309" s="221">
        <v>34140</v>
      </c>
      <c r="J309" s="221">
        <v>20400</v>
      </c>
    </row>
    <row r="310" spans="1:10" ht="18" customHeight="1" x14ac:dyDescent="0.3">
      <c r="A310" s="217">
        <v>306</v>
      </c>
      <c r="B310" s="217" t="s">
        <v>3984</v>
      </c>
      <c r="C310" s="218">
        <v>46234</v>
      </c>
      <c r="D310" s="219" t="s">
        <v>3985</v>
      </c>
      <c r="E310" s="218">
        <v>46234</v>
      </c>
      <c r="F310" s="219" t="s">
        <v>3986</v>
      </c>
      <c r="G310" s="220" t="s">
        <v>55</v>
      </c>
      <c r="H310" s="221">
        <v>13650</v>
      </c>
      <c r="I310" s="221">
        <v>34320</v>
      </c>
      <c r="J310" s="221">
        <v>20670</v>
      </c>
    </row>
    <row r="311" spans="1:10" ht="18" customHeight="1" x14ac:dyDescent="0.3">
      <c r="A311" s="217">
        <v>307</v>
      </c>
      <c r="B311" s="217" t="s">
        <v>3987</v>
      </c>
      <c r="C311" s="218">
        <v>46234</v>
      </c>
      <c r="D311" s="219" t="s">
        <v>3988</v>
      </c>
      <c r="E311" s="218">
        <v>46234</v>
      </c>
      <c r="F311" s="219" t="s">
        <v>3989</v>
      </c>
      <c r="G311" s="220" t="s">
        <v>71</v>
      </c>
      <c r="H311" s="221">
        <v>13800</v>
      </c>
      <c r="I311" s="221">
        <v>34090</v>
      </c>
      <c r="J311" s="221">
        <v>20290</v>
      </c>
    </row>
    <row r="312" spans="1:10" ht="18" customHeight="1" x14ac:dyDescent="0.3">
      <c r="A312" s="217">
        <v>308</v>
      </c>
      <c r="B312" s="217" t="s">
        <v>3990</v>
      </c>
      <c r="C312" s="218">
        <v>46234</v>
      </c>
      <c r="D312" s="219" t="s">
        <v>3991</v>
      </c>
      <c r="E312" s="218">
        <v>46234</v>
      </c>
      <c r="F312" s="219" t="s">
        <v>3992</v>
      </c>
      <c r="G312" s="220" t="s">
        <v>842</v>
      </c>
      <c r="H312" s="221">
        <v>14100</v>
      </c>
      <c r="I312" s="221">
        <v>35160</v>
      </c>
      <c r="J312" s="221">
        <v>21060</v>
      </c>
    </row>
    <row r="313" spans="1:10" ht="18" customHeight="1" x14ac:dyDescent="0.3">
      <c r="A313" s="217">
        <v>309</v>
      </c>
      <c r="B313" s="217" t="s">
        <v>3993</v>
      </c>
      <c r="C313" s="218">
        <v>46234</v>
      </c>
      <c r="D313" s="219" t="s">
        <v>3994</v>
      </c>
      <c r="E313" s="218">
        <v>46234</v>
      </c>
      <c r="F313" s="219" t="s">
        <v>3995</v>
      </c>
      <c r="G313" s="220" t="s">
        <v>840</v>
      </c>
      <c r="H313" s="221">
        <v>14070</v>
      </c>
      <c r="I313" s="221">
        <v>33700</v>
      </c>
      <c r="J313" s="221">
        <v>19630</v>
      </c>
    </row>
    <row r="314" spans="1:10" ht="18" customHeight="1" x14ac:dyDescent="0.3">
      <c r="A314" s="217">
        <v>310</v>
      </c>
      <c r="B314" s="217" t="s">
        <v>3996</v>
      </c>
      <c r="C314" s="218">
        <v>46234</v>
      </c>
      <c r="D314" s="219" t="s">
        <v>3997</v>
      </c>
      <c r="E314" s="218">
        <v>46234</v>
      </c>
      <c r="F314" s="219" t="s">
        <v>3998</v>
      </c>
      <c r="G314" s="220" t="s">
        <v>76</v>
      </c>
      <c r="H314" s="221">
        <v>13740</v>
      </c>
      <c r="I314" s="221">
        <v>33580</v>
      </c>
      <c r="J314" s="221">
        <v>19840</v>
      </c>
    </row>
    <row r="315" spans="1:10" ht="18" customHeight="1" x14ac:dyDescent="0.3">
      <c r="A315" s="217">
        <v>311</v>
      </c>
      <c r="B315" s="217" t="s">
        <v>3999</v>
      </c>
      <c r="C315" s="218">
        <v>46234</v>
      </c>
      <c r="D315" s="219" t="s">
        <v>4000</v>
      </c>
      <c r="E315" s="218">
        <v>46234</v>
      </c>
      <c r="F315" s="219" t="s">
        <v>4001</v>
      </c>
      <c r="G315" s="220" t="s">
        <v>537</v>
      </c>
      <c r="H315" s="221">
        <v>13910</v>
      </c>
      <c r="I315" s="221">
        <v>32570</v>
      </c>
      <c r="J315" s="221">
        <v>18660</v>
      </c>
    </row>
    <row r="316" spans="1:10" ht="18" customHeight="1" x14ac:dyDescent="0.3">
      <c r="A316" s="217">
        <v>312</v>
      </c>
      <c r="B316" s="217" t="s">
        <v>4002</v>
      </c>
      <c r="C316" s="218">
        <v>46234</v>
      </c>
      <c r="D316" s="219" t="s">
        <v>4003</v>
      </c>
      <c r="E316" s="218">
        <v>46234</v>
      </c>
      <c r="F316" s="219" t="s">
        <v>4004</v>
      </c>
      <c r="G316" s="220" t="s">
        <v>43</v>
      </c>
      <c r="H316" s="221">
        <v>14060</v>
      </c>
      <c r="I316" s="221">
        <v>34050</v>
      </c>
      <c r="J316" s="221">
        <v>19990</v>
      </c>
    </row>
    <row r="317" spans="1:10" ht="18" customHeight="1" x14ac:dyDescent="0.3">
      <c r="A317" s="217">
        <v>313</v>
      </c>
      <c r="B317" s="217" t="s">
        <v>4005</v>
      </c>
      <c r="C317" s="218">
        <v>46234</v>
      </c>
      <c r="D317" s="219" t="s">
        <v>4006</v>
      </c>
      <c r="E317" s="218">
        <v>46234</v>
      </c>
      <c r="F317" s="219" t="s">
        <v>4007</v>
      </c>
      <c r="G317" s="220" t="s">
        <v>90</v>
      </c>
      <c r="H317" s="221">
        <v>13830</v>
      </c>
      <c r="I317" s="221">
        <v>32860</v>
      </c>
      <c r="J317" s="221">
        <v>19030</v>
      </c>
    </row>
    <row r="318" spans="1:10" ht="18" customHeight="1" x14ac:dyDescent="0.3">
      <c r="A318" s="217">
        <v>314</v>
      </c>
      <c r="B318" s="217" t="s">
        <v>4008</v>
      </c>
      <c r="C318" s="218">
        <v>46234</v>
      </c>
      <c r="D318" s="219" t="s">
        <v>4009</v>
      </c>
      <c r="E318" s="218">
        <v>46234</v>
      </c>
      <c r="F318" s="219" t="s">
        <v>4010</v>
      </c>
      <c r="G318" s="220" t="s">
        <v>143</v>
      </c>
      <c r="H318" s="221">
        <v>13900</v>
      </c>
      <c r="I318" s="221">
        <v>33220</v>
      </c>
      <c r="J318" s="221">
        <v>19320</v>
      </c>
    </row>
    <row r="319" spans="1:10" ht="18" customHeight="1" x14ac:dyDescent="0.3">
      <c r="A319" s="217">
        <v>315</v>
      </c>
      <c r="B319" s="217" t="s">
        <v>4011</v>
      </c>
      <c r="C319" s="218">
        <v>46234</v>
      </c>
      <c r="D319" s="219" t="s">
        <v>4012</v>
      </c>
      <c r="E319" s="218">
        <v>46234</v>
      </c>
      <c r="F319" s="219" t="s">
        <v>4013</v>
      </c>
      <c r="G319" s="220" t="s">
        <v>843</v>
      </c>
      <c r="H319" s="221">
        <v>14230</v>
      </c>
      <c r="I319" s="221">
        <v>34210</v>
      </c>
      <c r="J319" s="221">
        <v>19980</v>
      </c>
    </row>
    <row r="320" spans="1:10" ht="18" customHeight="1" x14ac:dyDescent="0.3">
      <c r="A320" s="217">
        <v>316</v>
      </c>
      <c r="B320" s="217" t="s">
        <v>4014</v>
      </c>
      <c r="C320" s="218">
        <v>46234</v>
      </c>
      <c r="D320" s="219" t="s">
        <v>4015</v>
      </c>
      <c r="E320" s="218">
        <v>46234</v>
      </c>
      <c r="F320" s="219" t="s">
        <v>4016</v>
      </c>
      <c r="G320" s="220" t="s">
        <v>64</v>
      </c>
      <c r="H320" s="221">
        <v>14030</v>
      </c>
      <c r="I320" s="221">
        <v>34190</v>
      </c>
      <c r="J320" s="221">
        <v>20160</v>
      </c>
    </row>
    <row r="321" spans="1:10" ht="18" customHeight="1" x14ac:dyDescent="0.3">
      <c r="A321" s="217">
        <v>317</v>
      </c>
      <c r="B321" s="217" t="s">
        <v>4017</v>
      </c>
      <c r="C321" s="218">
        <v>46234</v>
      </c>
      <c r="D321" s="219" t="s">
        <v>4018</v>
      </c>
      <c r="E321" s="218">
        <v>46234</v>
      </c>
      <c r="F321" s="219" t="s">
        <v>4019</v>
      </c>
      <c r="G321" s="220" t="s">
        <v>80</v>
      </c>
      <c r="H321" s="221">
        <v>14240</v>
      </c>
      <c r="I321" s="221">
        <v>34860</v>
      </c>
      <c r="J321" s="221">
        <v>20620</v>
      </c>
    </row>
    <row r="322" spans="1:10" ht="18" customHeight="1" x14ac:dyDescent="0.3">
      <c r="A322" s="217">
        <v>318</v>
      </c>
      <c r="B322" s="217" t="s">
        <v>4020</v>
      </c>
      <c r="C322" s="218">
        <v>46234</v>
      </c>
      <c r="D322" s="219" t="s">
        <v>4021</v>
      </c>
      <c r="E322" s="218">
        <v>46234</v>
      </c>
      <c r="F322" s="219" t="s">
        <v>3628</v>
      </c>
      <c r="G322" s="220" t="s">
        <v>71</v>
      </c>
      <c r="H322" s="221">
        <v>14060</v>
      </c>
      <c r="I322" s="221">
        <v>34690</v>
      </c>
      <c r="J322" s="221">
        <v>20630</v>
      </c>
    </row>
    <row r="323" spans="1:10" ht="18" customHeight="1" x14ac:dyDescent="0.3">
      <c r="A323" s="217">
        <v>319</v>
      </c>
      <c r="B323" s="217" t="s">
        <v>4022</v>
      </c>
      <c r="C323" s="218">
        <v>46234</v>
      </c>
      <c r="D323" s="219" t="s">
        <v>4023</v>
      </c>
      <c r="E323" s="218">
        <v>46234</v>
      </c>
      <c r="F323" s="219" t="s">
        <v>4024</v>
      </c>
      <c r="G323" s="220" t="s">
        <v>842</v>
      </c>
      <c r="H323" s="221">
        <v>14100</v>
      </c>
      <c r="I323" s="221">
        <v>34250</v>
      </c>
      <c r="J323" s="221">
        <v>20150</v>
      </c>
    </row>
    <row r="324" spans="1:10" ht="18" customHeight="1" x14ac:dyDescent="0.3">
      <c r="A324" s="217">
        <v>320</v>
      </c>
      <c r="B324" s="217" t="s">
        <v>4025</v>
      </c>
      <c r="C324" s="218">
        <v>46234</v>
      </c>
      <c r="D324" s="219" t="s">
        <v>4026</v>
      </c>
      <c r="E324" s="218">
        <v>46234</v>
      </c>
      <c r="F324" s="219" t="s">
        <v>4027</v>
      </c>
      <c r="G324" s="220" t="s">
        <v>90</v>
      </c>
      <c r="H324" s="221">
        <v>13820</v>
      </c>
      <c r="I324" s="221">
        <v>34200</v>
      </c>
      <c r="J324" s="221">
        <v>20380</v>
      </c>
    </row>
    <row r="325" spans="1:10" ht="18" customHeight="1" x14ac:dyDescent="0.3">
      <c r="A325" s="217">
        <v>321</v>
      </c>
      <c r="B325" s="217" t="s">
        <v>4028</v>
      </c>
      <c r="C325" s="218">
        <v>46234</v>
      </c>
      <c r="D325" s="219" t="s">
        <v>4029</v>
      </c>
      <c r="E325" s="218">
        <v>46234</v>
      </c>
      <c r="F325" s="219" t="s">
        <v>4030</v>
      </c>
      <c r="G325" s="220" t="s">
        <v>143</v>
      </c>
      <c r="H325" s="221">
        <v>13870</v>
      </c>
      <c r="I325" s="221">
        <v>33490</v>
      </c>
      <c r="J325" s="221">
        <v>19620</v>
      </c>
    </row>
    <row r="326" spans="1:10" ht="18" customHeight="1" x14ac:dyDescent="0.3">
      <c r="A326" s="217">
        <v>322</v>
      </c>
      <c r="B326" s="217">
        <v>4470</v>
      </c>
      <c r="C326" s="218">
        <v>46233</v>
      </c>
      <c r="D326" s="219" t="s">
        <v>4031</v>
      </c>
      <c r="E326" s="218">
        <v>46233</v>
      </c>
      <c r="F326" s="219" t="s">
        <v>4031</v>
      </c>
      <c r="G326" s="220" t="s">
        <v>55</v>
      </c>
      <c r="H326" s="221">
        <v>13800</v>
      </c>
      <c r="I326" s="221">
        <v>34990</v>
      </c>
      <c r="J326" s="221">
        <v>21190</v>
      </c>
    </row>
    <row r="327" spans="1:10" x14ac:dyDescent="0.3">
      <c r="A327" s="312" t="s">
        <v>320</v>
      </c>
      <c r="B327" s="312"/>
      <c r="C327" s="312"/>
      <c r="D327" s="312"/>
      <c r="E327" s="312"/>
      <c r="F327" s="312"/>
      <c r="G327" s="312"/>
      <c r="H327" s="312"/>
      <c r="I327" s="312"/>
      <c r="J327" s="222">
        <f>SUM(J5:J326)</f>
        <v>6303800</v>
      </c>
    </row>
    <row r="328" spans="1:10" x14ac:dyDescent="0.3">
      <c r="A328" s="142"/>
      <c r="B328" s="142"/>
      <c r="C328" s="129"/>
      <c r="D328" s="120"/>
      <c r="E328" s="120"/>
      <c r="F328" s="120"/>
      <c r="G328" s="309" t="s">
        <v>4034</v>
      </c>
      <c r="H328" s="309"/>
      <c r="I328" s="309"/>
      <c r="J328" s="309"/>
    </row>
    <row r="329" spans="1:10" x14ac:dyDescent="0.3">
      <c r="A329" s="310" t="s">
        <v>333</v>
      </c>
      <c r="B329" s="310"/>
      <c r="C329" s="310"/>
      <c r="D329" s="310"/>
      <c r="E329" s="310"/>
      <c r="F329" s="310"/>
      <c r="G329" s="303" t="s">
        <v>45</v>
      </c>
      <c r="H329" s="303"/>
      <c r="I329" s="303"/>
      <c r="J329" s="303"/>
    </row>
    <row r="330" spans="1:10" x14ac:dyDescent="0.3">
      <c r="A330" s="143"/>
      <c r="B330" s="303" t="s">
        <v>830</v>
      </c>
      <c r="C330" s="303"/>
      <c r="D330" s="303" t="s">
        <v>325</v>
      </c>
      <c r="E330" s="303"/>
      <c r="F330" s="248"/>
      <c r="G330" s="303" t="s">
        <v>831</v>
      </c>
      <c r="H330" s="303"/>
      <c r="I330" s="303" t="s">
        <v>325</v>
      </c>
      <c r="J330" s="303"/>
    </row>
    <row r="331" spans="1:10" x14ac:dyDescent="0.3">
      <c r="A331" s="144"/>
      <c r="B331" s="144"/>
      <c r="C331" s="249"/>
      <c r="D331" s="123"/>
      <c r="E331" s="123"/>
      <c r="F331" s="123"/>
      <c r="G331" s="123"/>
      <c r="H331" s="250"/>
      <c r="I331" s="250"/>
      <c r="J331" s="123"/>
    </row>
    <row r="332" spans="1:10" x14ac:dyDescent="0.3">
      <c r="A332" s="144"/>
      <c r="B332" s="144"/>
      <c r="C332" s="249"/>
      <c r="D332" s="123"/>
      <c r="E332" s="123"/>
      <c r="F332" s="123"/>
      <c r="G332" s="123"/>
      <c r="H332" s="250"/>
      <c r="I332" s="250"/>
      <c r="J332" s="123"/>
    </row>
    <row r="333" spans="1:10" x14ac:dyDescent="0.3">
      <c r="A333" s="144"/>
      <c r="B333" s="144"/>
      <c r="C333" s="249"/>
      <c r="D333" s="123"/>
      <c r="E333" s="123"/>
      <c r="F333" s="123"/>
      <c r="G333" s="123"/>
      <c r="H333" s="250"/>
      <c r="I333" s="250"/>
      <c r="J333" s="123"/>
    </row>
    <row r="334" spans="1:10" x14ac:dyDescent="0.3">
      <c r="A334" s="144"/>
      <c r="B334" s="303"/>
      <c r="C334" s="303"/>
      <c r="D334" s="303" t="s">
        <v>837</v>
      </c>
      <c r="E334" s="303"/>
      <c r="F334" s="123"/>
      <c r="G334" s="123"/>
      <c r="H334" s="250"/>
      <c r="I334" s="250"/>
      <c r="J334" s="123"/>
    </row>
    <row r="335" spans="1:10" x14ac:dyDescent="0.3">
      <c r="A335" s="145"/>
      <c r="B335" s="303" t="s">
        <v>833</v>
      </c>
      <c r="C335" s="303"/>
      <c r="D335" s="303"/>
      <c r="E335" s="303"/>
      <c r="F335" s="122"/>
      <c r="G335" s="303" t="s">
        <v>834</v>
      </c>
      <c r="H335" s="303"/>
      <c r="I335" s="304" t="s">
        <v>832</v>
      </c>
      <c r="J335" s="304"/>
    </row>
  </sheetData>
  <mergeCells count="16">
    <mergeCell ref="B330:C330"/>
    <mergeCell ref="D330:E330"/>
    <mergeCell ref="G330:H330"/>
    <mergeCell ref="I330:J330"/>
    <mergeCell ref="B334:C334"/>
    <mergeCell ref="D334:E335"/>
    <mergeCell ref="B335:C335"/>
    <mergeCell ref="G335:H335"/>
    <mergeCell ref="I335:J335"/>
    <mergeCell ref="A329:F329"/>
    <mergeCell ref="G329:J329"/>
    <mergeCell ref="A1:F1"/>
    <mergeCell ref="A2:F2"/>
    <mergeCell ref="A3:J3"/>
    <mergeCell ref="A327:I327"/>
    <mergeCell ref="G328:J328"/>
  </mergeCells>
  <pageMargins left="0.7" right="0.7" top="0.75" bottom="0.75" header="0.3" footer="0.3"/>
  <pageSetup paperSize="9" scale="62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E3392-2E25-478E-873D-168C9C6AAF46}">
  <dimension ref="A1:G38"/>
  <sheetViews>
    <sheetView topLeftCell="A14" zoomScaleNormal="100" workbookViewId="0">
      <selection activeCell="A7" sqref="A7:G7"/>
    </sheetView>
  </sheetViews>
  <sheetFormatPr defaultColWidth="7.77734375" defaultRowHeight="18.75" x14ac:dyDescent="0.3"/>
  <cols>
    <col min="1" max="1" width="17.33203125" style="229" customWidth="1"/>
    <col min="2" max="2" width="22.21875" style="230" customWidth="1"/>
    <col min="3" max="3" width="9.33203125" style="228" customWidth="1"/>
    <col min="4" max="4" width="14.77734375" style="228" customWidth="1"/>
    <col min="5" max="5" width="20.33203125" style="228" hidden="1" customWidth="1"/>
    <col min="6" max="6" width="12.109375" style="228" customWidth="1"/>
    <col min="7" max="7" width="17.6640625" style="228" customWidth="1"/>
    <col min="8" max="16384" width="7.77734375" style="228"/>
  </cols>
  <sheetData>
    <row r="1" spans="1:7" x14ac:dyDescent="0.3">
      <c r="A1" s="118" t="s">
        <v>333</v>
      </c>
      <c r="B1" s="118"/>
      <c r="C1" s="118"/>
      <c r="D1" s="118"/>
      <c r="E1" s="118"/>
      <c r="F1" s="118"/>
      <c r="G1" s="280"/>
    </row>
    <row r="2" spans="1:7" x14ac:dyDescent="0.3">
      <c r="A2" s="118" t="s">
        <v>835</v>
      </c>
      <c r="B2" s="118"/>
      <c r="C2" s="118"/>
      <c r="D2" s="118"/>
      <c r="E2" s="118"/>
      <c r="F2" s="118"/>
      <c r="G2" s="280"/>
    </row>
    <row r="3" spans="1:7" x14ac:dyDescent="0.3">
      <c r="A3" s="290" t="s">
        <v>3084</v>
      </c>
      <c r="B3" s="290"/>
      <c r="C3" s="290"/>
      <c r="D3" s="290"/>
      <c r="E3" s="290"/>
      <c r="F3" s="290"/>
      <c r="G3" s="291"/>
    </row>
    <row r="4" spans="1:7" s="274" customFormat="1" ht="27.75" customHeight="1" x14ac:dyDescent="0.3">
      <c r="A4" s="289" t="s">
        <v>5246</v>
      </c>
      <c r="B4" s="289"/>
      <c r="C4" s="289"/>
      <c r="D4" s="289"/>
      <c r="E4" s="289"/>
      <c r="F4" s="289"/>
      <c r="G4" s="273"/>
    </row>
    <row r="5" spans="1:7" s="253" customFormat="1" ht="54" customHeight="1" x14ac:dyDescent="0.3">
      <c r="A5" s="275" t="s">
        <v>5247</v>
      </c>
      <c r="B5" s="282" t="s">
        <v>5249</v>
      </c>
      <c r="C5" s="282"/>
      <c r="D5" s="282"/>
      <c r="E5" s="282"/>
      <c r="F5" s="282"/>
      <c r="G5" s="283"/>
    </row>
    <row r="6" spans="1:7" s="253" customFormat="1" ht="54" customHeight="1" x14ac:dyDescent="0.3">
      <c r="A6" s="275" t="s">
        <v>5248</v>
      </c>
      <c r="B6" s="282" t="s">
        <v>5250</v>
      </c>
      <c r="C6" s="282"/>
      <c r="D6" s="282"/>
      <c r="E6" s="282"/>
      <c r="F6" s="282"/>
      <c r="G6" s="283"/>
    </row>
    <row r="7" spans="1:7" ht="27" customHeight="1" x14ac:dyDescent="0.3">
      <c r="A7" s="284" t="s">
        <v>5251</v>
      </c>
      <c r="B7" s="285"/>
      <c r="C7" s="285"/>
      <c r="D7" s="285"/>
      <c r="E7" s="285"/>
      <c r="F7" s="285"/>
      <c r="G7" s="286"/>
    </row>
    <row r="8" spans="1:7" s="253" customFormat="1" ht="30.75" customHeight="1" x14ac:dyDescent="0.3">
      <c r="A8" s="252" t="s">
        <v>15</v>
      </c>
      <c r="B8" s="253" t="s">
        <v>22</v>
      </c>
      <c r="C8" s="253" t="s">
        <v>16</v>
      </c>
      <c r="D8" s="253" t="s">
        <v>18</v>
      </c>
      <c r="E8" s="253" t="s">
        <v>24</v>
      </c>
      <c r="F8" s="253" t="s">
        <v>19</v>
      </c>
      <c r="G8" s="276" t="s">
        <v>20</v>
      </c>
    </row>
    <row r="9" spans="1:7" ht="24" customHeight="1" x14ac:dyDescent="0.3">
      <c r="A9" s="218">
        <v>46259</v>
      </c>
      <c r="B9" s="231" t="s">
        <v>523</v>
      </c>
      <c r="C9" s="228" t="s">
        <v>334</v>
      </c>
      <c r="D9" s="232">
        <v>355</v>
      </c>
      <c r="E9" s="228" t="s">
        <v>527</v>
      </c>
      <c r="F9" s="278">
        <v>27540</v>
      </c>
      <c r="G9" s="256">
        <v>46259</v>
      </c>
    </row>
    <row r="10" spans="1:7" ht="24" customHeight="1" x14ac:dyDescent="0.3">
      <c r="A10" s="218">
        <v>46259</v>
      </c>
      <c r="B10" s="231" t="s">
        <v>906</v>
      </c>
      <c r="C10" s="228" t="s">
        <v>334</v>
      </c>
      <c r="D10" s="232">
        <v>427</v>
      </c>
      <c r="E10" s="228" t="s">
        <v>527</v>
      </c>
      <c r="F10" s="278">
        <v>27540</v>
      </c>
      <c r="G10" s="256">
        <v>46259</v>
      </c>
    </row>
    <row r="11" spans="1:7" ht="24" customHeight="1" x14ac:dyDescent="0.3">
      <c r="A11" s="218">
        <v>46260</v>
      </c>
      <c r="B11" s="231" t="s">
        <v>822</v>
      </c>
      <c r="C11" s="228" t="s">
        <v>334</v>
      </c>
      <c r="D11" s="232">
        <v>289</v>
      </c>
      <c r="E11" s="228" t="s">
        <v>527</v>
      </c>
      <c r="F11" s="278">
        <v>27540</v>
      </c>
      <c r="G11" s="256">
        <v>46259</v>
      </c>
    </row>
    <row r="12" spans="1:7" ht="24" customHeight="1" x14ac:dyDescent="0.3">
      <c r="A12" s="218">
        <v>46262</v>
      </c>
      <c r="B12" s="231" t="s">
        <v>526</v>
      </c>
      <c r="C12" s="228" t="s">
        <v>334</v>
      </c>
      <c r="D12" s="232">
        <v>210</v>
      </c>
      <c r="E12" s="228" t="s">
        <v>527</v>
      </c>
      <c r="F12" s="279">
        <v>28540</v>
      </c>
      <c r="G12" s="230">
        <v>46261</v>
      </c>
    </row>
    <row r="13" spans="1:7" ht="24" customHeight="1" x14ac:dyDescent="0.3">
      <c r="A13" s="218">
        <v>46262</v>
      </c>
      <c r="B13" s="231" t="s">
        <v>526</v>
      </c>
      <c r="C13" s="228" t="s">
        <v>334</v>
      </c>
      <c r="D13" s="232">
        <v>178</v>
      </c>
      <c r="E13" s="228" t="s">
        <v>527</v>
      </c>
      <c r="F13" s="279">
        <v>28540</v>
      </c>
      <c r="G13" s="230">
        <v>46261</v>
      </c>
    </row>
    <row r="14" spans="1:7" ht="24" customHeight="1" x14ac:dyDescent="0.3">
      <c r="A14" s="218">
        <v>46262</v>
      </c>
      <c r="B14" s="231" t="s">
        <v>823</v>
      </c>
      <c r="C14" s="228" t="s">
        <v>334</v>
      </c>
      <c r="D14" s="232">
        <v>310</v>
      </c>
      <c r="E14" s="228" t="s">
        <v>527</v>
      </c>
      <c r="F14" s="279">
        <v>28540</v>
      </c>
      <c r="G14" s="230">
        <v>46261</v>
      </c>
    </row>
    <row r="15" spans="1:7" ht="24" customHeight="1" x14ac:dyDescent="0.3">
      <c r="A15" s="218">
        <v>46262</v>
      </c>
      <c r="B15" s="231" t="s">
        <v>826</v>
      </c>
      <c r="C15" s="228" t="s">
        <v>334</v>
      </c>
      <c r="D15" s="232">
        <v>312</v>
      </c>
      <c r="E15" s="228" t="s">
        <v>527</v>
      </c>
      <c r="F15" s="279">
        <v>28540</v>
      </c>
      <c r="G15" s="230">
        <v>46261</v>
      </c>
    </row>
    <row r="16" spans="1:7" ht="24" customHeight="1" x14ac:dyDescent="0.3">
      <c r="A16" s="218">
        <v>46262</v>
      </c>
      <c r="B16" s="231" t="s">
        <v>826</v>
      </c>
      <c r="C16" s="228" t="s">
        <v>334</v>
      </c>
      <c r="D16" s="232">
        <v>59</v>
      </c>
      <c r="E16" s="228" t="s">
        <v>527</v>
      </c>
      <c r="F16" s="279">
        <v>28540</v>
      </c>
      <c r="G16" s="230">
        <v>46261</v>
      </c>
    </row>
    <row r="17" spans="1:7" ht="24" customHeight="1" x14ac:dyDescent="0.3">
      <c r="A17" s="218">
        <v>46262</v>
      </c>
      <c r="B17" s="231" t="s">
        <v>824</v>
      </c>
      <c r="C17" s="228" t="s">
        <v>334</v>
      </c>
      <c r="D17" s="232">
        <v>454</v>
      </c>
      <c r="E17" s="228" t="s">
        <v>527</v>
      </c>
      <c r="F17" s="279">
        <v>28540</v>
      </c>
      <c r="G17" s="230">
        <v>46261</v>
      </c>
    </row>
    <row r="18" spans="1:7" ht="24" customHeight="1" x14ac:dyDescent="0.3">
      <c r="A18" s="218">
        <v>46262</v>
      </c>
      <c r="B18" s="231" t="s">
        <v>827</v>
      </c>
      <c r="C18" s="228" t="s">
        <v>334</v>
      </c>
      <c r="D18" s="232">
        <v>347</v>
      </c>
      <c r="E18" s="228" t="s">
        <v>527</v>
      </c>
      <c r="F18" s="279">
        <v>28540</v>
      </c>
      <c r="G18" s="230">
        <v>46261</v>
      </c>
    </row>
    <row r="19" spans="1:7" ht="24" customHeight="1" x14ac:dyDescent="0.3">
      <c r="A19" s="218">
        <v>46262</v>
      </c>
      <c r="B19" s="231" t="s">
        <v>828</v>
      </c>
      <c r="C19" s="228" t="s">
        <v>334</v>
      </c>
      <c r="D19" s="232">
        <v>165</v>
      </c>
      <c r="E19" s="228" t="s">
        <v>527</v>
      </c>
      <c r="F19" s="279">
        <v>28540</v>
      </c>
      <c r="G19" s="230">
        <v>46261</v>
      </c>
    </row>
    <row r="20" spans="1:7" ht="24" customHeight="1" x14ac:dyDescent="0.3">
      <c r="A20" s="218">
        <v>46262</v>
      </c>
      <c r="B20" s="231" t="s">
        <v>524</v>
      </c>
      <c r="C20" s="228" t="s">
        <v>334</v>
      </c>
      <c r="D20" s="232">
        <v>368</v>
      </c>
      <c r="E20" s="228" t="s">
        <v>527</v>
      </c>
      <c r="F20" s="279">
        <v>28540</v>
      </c>
      <c r="G20" s="230">
        <v>46261</v>
      </c>
    </row>
    <row r="21" spans="1:7" ht="24" customHeight="1" x14ac:dyDescent="0.3">
      <c r="A21" s="218">
        <v>46262</v>
      </c>
      <c r="B21" s="231" t="s">
        <v>525</v>
      </c>
      <c r="C21" s="228" t="s">
        <v>334</v>
      </c>
      <c r="D21" s="232">
        <v>430</v>
      </c>
      <c r="E21" s="228" t="s">
        <v>527</v>
      </c>
      <c r="F21" s="279">
        <v>28540</v>
      </c>
      <c r="G21" s="230">
        <v>46261</v>
      </c>
    </row>
    <row r="22" spans="1:7" ht="24" customHeight="1" x14ac:dyDescent="0.3">
      <c r="A22" s="218">
        <v>46262</v>
      </c>
      <c r="B22" s="231" t="s">
        <v>905</v>
      </c>
      <c r="C22" s="228" t="s">
        <v>334</v>
      </c>
      <c r="D22" s="232">
        <v>379</v>
      </c>
      <c r="E22" s="228" t="s">
        <v>527</v>
      </c>
      <c r="F22" s="279">
        <v>28540</v>
      </c>
      <c r="G22" s="230">
        <v>46261</v>
      </c>
    </row>
    <row r="23" spans="1:7" ht="24" customHeight="1" x14ac:dyDescent="0.3">
      <c r="A23" s="218">
        <v>46263</v>
      </c>
      <c r="B23" s="231" t="s">
        <v>822</v>
      </c>
      <c r="C23" s="228" t="s">
        <v>334</v>
      </c>
      <c r="D23" s="232">
        <v>246</v>
      </c>
      <c r="E23" s="228" t="s">
        <v>527</v>
      </c>
      <c r="F23" s="279">
        <v>28540</v>
      </c>
      <c r="G23" s="230">
        <v>46261</v>
      </c>
    </row>
    <row r="24" spans="1:7" ht="24" customHeight="1" x14ac:dyDescent="0.3">
      <c r="A24" s="218">
        <v>46263</v>
      </c>
      <c r="B24" s="231" t="s">
        <v>908</v>
      </c>
      <c r="C24" s="228" t="s">
        <v>334</v>
      </c>
      <c r="D24" s="232">
        <v>320</v>
      </c>
      <c r="E24" s="228" t="s">
        <v>527</v>
      </c>
      <c r="F24" s="279">
        <v>28540</v>
      </c>
      <c r="G24" s="230">
        <v>46261</v>
      </c>
    </row>
    <row r="25" spans="1:7" ht="24" customHeight="1" x14ac:dyDescent="0.3">
      <c r="A25" s="218">
        <v>46263</v>
      </c>
      <c r="B25" s="231" t="s">
        <v>906</v>
      </c>
      <c r="C25" s="228" t="s">
        <v>334</v>
      </c>
      <c r="D25" s="232">
        <v>376</v>
      </c>
      <c r="E25" s="228" t="s">
        <v>527</v>
      </c>
      <c r="F25" s="279">
        <v>28540</v>
      </c>
      <c r="G25" s="230">
        <v>46261</v>
      </c>
    </row>
    <row r="26" spans="1:7" ht="24" customHeight="1" x14ac:dyDescent="0.3">
      <c r="A26" s="218">
        <v>46263</v>
      </c>
      <c r="B26" s="231" t="s">
        <v>910</v>
      </c>
      <c r="C26" s="228" t="s">
        <v>334</v>
      </c>
      <c r="D26" s="232">
        <v>390</v>
      </c>
      <c r="E26" s="228" t="s">
        <v>527</v>
      </c>
      <c r="F26" s="279">
        <v>28540</v>
      </c>
      <c r="G26" s="230">
        <v>46261</v>
      </c>
    </row>
    <row r="27" spans="1:7" ht="24" customHeight="1" x14ac:dyDescent="0.3">
      <c r="A27" s="218">
        <v>46263</v>
      </c>
      <c r="B27" s="231" t="s">
        <v>909</v>
      </c>
      <c r="C27" s="228" t="s">
        <v>334</v>
      </c>
      <c r="D27" s="232">
        <v>314</v>
      </c>
      <c r="E27" s="228" t="s">
        <v>527</v>
      </c>
      <c r="F27" s="279">
        <v>28540</v>
      </c>
      <c r="G27" s="230">
        <v>46261</v>
      </c>
    </row>
    <row r="28" spans="1:7" ht="24" customHeight="1" x14ac:dyDescent="0.3">
      <c r="A28" s="218">
        <v>46264</v>
      </c>
      <c r="B28" s="231" t="s">
        <v>523</v>
      </c>
      <c r="C28" s="228" t="s">
        <v>334</v>
      </c>
      <c r="D28" s="232">
        <v>395</v>
      </c>
      <c r="E28" s="228" t="s">
        <v>527</v>
      </c>
      <c r="F28" s="279">
        <v>28540</v>
      </c>
      <c r="G28" s="230">
        <v>46261</v>
      </c>
    </row>
    <row r="29" spans="1:7" ht="24" customHeight="1" x14ac:dyDescent="0.3">
      <c r="A29" s="218">
        <v>46264</v>
      </c>
      <c r="B29" s="231" t="s">
        <v>826</v>
      </c>
      <c r="C29" s="228" t="s">
        <v>334</v>
      </c>
      <c r="D29" s="232">
        <v>365</v>
      </c>
      <c r="E29" s="228" t="s">
        <v>527</v>
      </c>
      <c r="F29" s="279">
        <v>28540</v>
      </c>
      <c r="G29" s="230">
        <v>46261</v>
      </c>
    </row>
    <row r="30" spans="1:7" s="197" customFormat="1" x14ac:dyDescent="0.3">
      <c r="A30" s="257" t="s">
        <v>320</v>
      </c>
      <c r="B30" s="258"/>
      <c r="C30" s="258"/>
      <c r="D30" s="263">
        <f>SUBTOTAL(109,TBL_GIAONHANDAU78[Số lượng (lít)])</f>
        <v>6689</v>
      </c>
      <c r="E30" s="228"/>
      <c r="F30" s="99"/>
      <c r="G30" s="99"/>
    </row>
    <row r="31" spans="1:7" s="216" customFormat="1" ht="36.75" customHeight="1" x14ac:dyDescent="0.3">
      <c r="A31" s="288" t="s">
        <v>5254</v>
      </c>
      <c r="B31" s="288"/>
      <c r="C31" s="288"/>
      <c r="D31" s="289"/>
    </row>
    <row r="32" spans="1:7" customFormat="1" x14ac:dyDescent="0.3">
      <c r="A32" s="238" t="s">
        <v>333</v>
      </c>
      <c r="B32" s="238"/>
      <c r="C32" s="238"/>
      <c r="D32" s="238" t="s">
        <v>5252</v>
      </c>
      <c r="E32" s="277"/>
      <c r="F32" s="277"/>
      <c r="G32" s="240"/>
    </row>
    <row r="33" spans="1:6" customFormat="1" x14ac:dyDescent="0.3">
      <c r="A33" s="287" t="s">
        <v>830</v>
      </c>
      <c r="B33" s="287"/>
      <c r="C33" s="277"/>
      <c r="D33" s="287" t="s">
        <v>5253</v>
      </c>
      <c r="E33" s="287"/>
      <c r="F33" s="287"/>
    </row>
    <row r="34" spans="1:6" customFormat="1" x14ac:dyDescent="0.3">
      <c r="A34" s="239"/>
      <c r="B34" s="239"/>
      <c r="C34" s="239"/>
      <c r="D34" s="239"/>
      <c r="E34" s="239"/>
      <c r="F34" s="239"/>
    </row>
    <row r="35" spans="1:6" customFormat="1" x14ac:dyDescent="0.3">
      <c r="A35" s="239"/>
      <c r="B35" s="239"/>
      <c r="C35" s="239"/>
      <c r="D35" s="239"/>
      <c r="E35" s="239"/>
      <c r="F35" s="239"/>
    </row>
    <row r="36" spans="1:6" customFormat="1" x14ac:dyDescent="0.3">
      <c r="A36" s="241"/>
      <c r="B36" s="241"/>
      <c r="C36" s="241"/>
      <c r="D36" s="241"/>
      <c r="E36" s="241"/>
      <c r="F36" s="272"/>
    </row>
    <row r="37" spans="1:6" customFormat="1" x14ac:dyDescent="0.3">
      <c r="A37" s="241"/>
      <c r="B37" s="241"/>
      <c r="C37" s="241"/>
      <c r="D37" s="241"/>
      <c r="E37" s="241"/>
      <c r="F37" s="272"/>
    </row>
    <row r="38" spans="1:6" customFormat="1" x14ac:dyDescent="0.3">
      <c r="A38" s="287" t="s">
        <v>833</v>
      </c>
      <c r="B38" s="287"/>
      <c r="C38" s="277"/>
      <c r="D38" s="281" t="s">
        <v>834</v>
      </c>
      <c r="E38" s="281"/>
      <c r="F38" s="281"/>
    </row>
  </sheetData>
  <mergeCells count="10">
    <mergeCell ref="A4:F4"/>
    <mergeCell ref="A3:G3"/>
    <mergeCell ref="A33:B33"/>
    <mergeCell ref="D33:F33"/>
    <mergeCell ref="D38:F38"/>
    <mergeCell ref="B5:G5"/>
    <mergeCell ref="B6:G6"/>
    <mergeCell ref="A7:G7"/>
    <mergeCell ref="A38:B38"/>
    <mergeCell ref="A31:D31"/>
  </mergeCells>
  <pageMargins left="0.7" right="0.7" top="0.75" bottom="0.75" header="0.3" footer="0.3"/>
  <pageSetup paperSize="9" scale="63" orientation="portrait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2C51-8146-4062-9FA0-4D47E6BE4CCE}">
  <dimension ref="A1:J387"/>
  <sheetViews>
    <sheetView zoomScaleNormal="100" workbookViewId="0">
      <selection activeCell="G381" sqref="G381:J381"/>
    </sheetView>
  </sheetViews>
  <sheetFormatPr defaultRowHeight="18.75" x14ac:dyDescent="0.3"/>
  <cols>
    <col min="1" max="1" width="7.33203125" customWidth="1"/>
    <col min="3" max="3" width="10.77734375" style="226" customWidth="1"/>
    <col min="4" max="4" width="10.44140625" style="226" customWidth="1"/>
    <col min="5" max="5" width="11.44140625" style="226" customWidth="1"/>
    <col min="6" max="6" width="11.109375" style="226" customWidth="1"/>
    <col min="7" max="7" width="12.77734375" customWidth="1"/>
    <col min="8" max="9" width="11.6640625" customWidth="1"/>
    <col min="10" max="10" width="13.5546875" customWidth="1"/>
  </cols>
  <sheetData>
    <row r="1" spans="1:10" x14ac:dyDescent="0.3">
      <c r="A1" s="316" t="s">
        <v>333</v>
      </c>
      <c r="B1" s="316"/>
      <c r="C1" s="316"/>
      <c r="D1" s="316"/>
      <c r="E1" s="316"/>
      <c r="F1" s="316"/>
    </row>
    <row r="2" spans="1:10" x14ac:dyDescent="0.3">
      <c r="A2" s="316" t="s">
        <v>835</v>
      </c>
      <c r="B2" s="316"/>
      <c r="C2" s="316"/>
      <c r="D2" s="316"/>
      <c r="E2" s="316"/>
      <c r="F2" s="316"/>
    </row>
    <row r="3" spans="1:10" ht="60.75" customHeight="1" x14ac:dyDescent="0.3">
      <c r="A3" s="306" t="s">
        <v>5245</v>
      </c>
      <c r="B3" s="307"/>
      <c r="C3" s="307"/>
      <c r="D3" s="307"/>
      <c r="E3" s="307"/>
      <c r="F3" s="307"/>
      <c r="G3" s="307"/>
      <c r="H3" s="307"/>
      <c r="I3" s="307"/>
      <c r="J3" s="307"/>
    </row>
    <row r="4" spans="1:10" x14ac:dyDescent="0.3">
      <c r="A4" s="160" t="s">
        <v>0</v>
      </c>
      <c r="B4" s="160" t="s">
        <v>1</v>
      </c>
      <c r="C4" s="160" t="s">
        <v>2</v>
      </c>
      <c r="D4" s="160" t="s">
        <v>3</v>
      </c>
      <c r="E4" s="160" t="s">
        <v>4</v>
      </c>
      <c r="F4" s="160" t="s">
        <v>5</v>
      </c>
      <c r="G4" s="161" t="s">
        <v>6</v>
      </c>
      <c r="H4" s="161" t="s">
        <v>7</v>
      </c>
      <c r="I4" s="161" t="s">
        <v>8</v>
      </c>
      <c r="J4" s="161" t="s">
        <v>9</v>
      </c>
    </row>
    <row r="5" spans="1:10" x14ac:dyDescent="0.3">
      <c r="A5" s="217">
        <v>1</v>
      </c>
      <c r="B5" s="217" t="s">
        <v>4042</v>
      </c>
      <c r="C5" s="218">
        <v>46259</v>
      </c>
      <c r="D5" s="219" t="s">
        <v>4043</v>
      </c>
      <c r="E5" s="218">
        <v>46259</v>
      </c>
      <c r="F5" s="219" t="s">
        <v>4044</v>
      </c>
      <c r="G5" s="220" t="s">
        <v>80</v>
      </c>
      <c r="H5" s="221">
        <v>14030</v>
      </c>
      <c r="I5" s="221">
        <v>30280</v>
      </c>
      <c r="J5" s="221">
        <v>16250</v>
      </c>
    </row>
    <row r="6" spans="1:10" x14ac:dyDescent="0.3">
      <c r="A6" s="217">
        <v>2</v>
      </c>
      <c r="B6" s="217" t="s">
        <v>4046</v>
      </c>
      <c r="C6" s="218">
        <v>46259</v>
      </c>
      <c r="D6" s="219" t="s">
        <v>4047</v>
      </c>
      <c r="E6" s="218">
        <v>46259</v>
      </c>
      <c r="F6" s="219" t="s">
        <v>4048</v>
      </c>
      <c r="G6" s="220" t="s">
        <v>842</v>
      </c>
      <c r="H6" s="221">
        <v>14000</v>
      </c>
      <c r="I6" s="221">
        <v>31540</v>
      </c>
      <c r="J6" s="221">
        <v>17540</v>
      </c>
    </row>
    <row r="7" spans="1:10" x14ac:dyDescent="0.3">
      <c r="A7" s="217">
        <v>3</v>
      </c>
      <c r="B7" s="217" t="s">
        <v>4049</v>
      </c>
      <c r="C7" s="218">
        <v>46259</v>
      </c>
      <c r="D7" s="219" t="s">
        <v>4050</v>
      </c>
      <c r="E7" s="218">
        <v>46259</v>
      </c>
      <c r="F7" s="219" t="s">
        <v>4051</v>
      </c>
      <c r="G7" s="220" t="s">
        <v>540</v>
      </c>
      <c r="H7" s="221">
        <v>13720</v>
      </c>
      <c r="I7" s="221">
        <v>30730</v>
      </c>
      <c r="J7" s="221">
        <v>17010</v>
      </c>
    </row>
    <row r="8" spans="1:10" x14ac:dyDescent="0.3">
      <c r="A8" s="217">
        <v>4</v>
      </c>
      <c r="B8" s="217" t="s">
        <v>4052</v>
      </c>
      <c r="C8" s="218">
        <v>46259</v>
      </c>
      <c r="D8" s="219" t="s">
        <v>4053</v>
      </c>
      <c r="E8" s="218">
        <v>46259</v>
      </c>
      <c r="F8" s="219" t="s">
        <v>4054</v>
      </c>
      <c r="G8" s="220" t="s">
        <v>90</v>
      </c>
      <c r="H8" s="221">
        <v>13820</v>
      </c>
      <c r="I8" s="221">
        <v>30710</v>
      </c>
      <c r="J8" s="221">
        <v>16890</v>
      </c>
    </row>
    <row r="9" spans="1:10" x14ac:dyDescent="0.3">
      <c r="A9" s="217">
        <v>5</v>
      </c>
      <c r="B9" s="217" t="s">
        <v>4055</v>
      </c>
      <c r="C9" s="218">
        <v>46259</v>
      </c>
      <c r="D9" s="219" t="s">
        <v>4056</v>
      </c>
      <c r="E9" s="218">
        <v>46259</v>
      </c>
      <c r="F9" s="219" t="s">
        <v>4057</v>
      </c>
      <c r="G9" s="220" t="s">
        <v>335</v>
      </c>
      <c r="H9" s="221">
        <v>13900</v>
      </c>
      <c r="I9" s="221">
        <v>30960</v>
      </c>
      <c r="J9" s="221">
        <v>17060</v>
      </c>
    </row>
    <row r="10" spans="1:10" x14ac:dyDescent="0.3">
      <c r="A10" s="217">
        <v>6</v>
      </c>
      <c r="B10" s="217" t="s">
        <v>4058</v>
      </c>
      <c r="C10" s="218">
        <v>46259</v>
      </c>
      <c r="D10" s="219" t="s">
        <v>4059</v>
      </c>
      <c r="E10" s="218">
        <v>46259</v>
      </c>
      <c r="F10" s="219" t="s">
        <v>4060</v>
      </c>
      <c r="G10" s="220" t="s">
        <v>336</v>
      </c>
      <c r="H10" s="221">
        <v>13820</v>
      </c>
      <c r="I10" s="221">
        <v>30680</v>
      </c>
      <c r="J10" s="221">
        <v>16860</v>
      </c>
    </row>
    <row r="11" spans="1:10" x14ac:dyDescent="0.3">
      <c r="A11" s="217">
        <v>7</v>
      </c>
      <c r="B11" s="217" t="s">
        <v>4061</v>
      </c>
      <c r="C11" s="218">
        <v>46259</v>
      </c>
      <c r="D11" s="219" t="s">
        <v>4062</v>
      </c>
      <c r="E11" s="218">
        <v>46259</v>
      </c>
      <c r="F11" s="219" t="s">
        <v>4063</v>
      </c>
      <c r="G11" s="220" t="s">
        <v>840</v>
      </c>
      <c r="H11" s="221">
        <v>13990</v>
      </c>
      <c r="I11" s="221">
        <v>32140</v>
      </c>
      <c r="J11" s="221">
        <v>18150</v>
      </c>
    </row>
    <row r="12" spans="1:10" x14ac:dyDescent="0.3">
      <c r="A12" s="217">
        <v>8</v>
      </c>
      <c r="B12" s="217" t="s">
        <v>4064</v>
      </c>
      <c r="C12" s="218">
        <v>46259</v>
      </c>
      <c r="D12" s="219" t="s">
        <v>4065</v>
      </c>
      <c r="E12" s="218">
        <v>46259</v>
      </c>
      <c r="F12" s="219" t="s">
        <v>4066</v>
      </c>
      <c r="G12" s="220" t="s">
        <v>537</v>
      </c>
      <c r="H12" s="221">
        <v>13910</v>
      </c>
      <c r="I12" s="221">
        <v>31720</v>
      </c>
      <c r="J12" s="221">
        <v>17810</v>
      </c>
    </row>
    <row r="13" spans="1:10" x14ac:dyDescent="0.3">
      <c r="A13" s="217">
        <v>9</v>
      </c>
      <c r="B13" s="217" t="s">
        <v>4067</v>
      </c>
      <c r="C13" s="218">
        <v>46259</v>
      </c>
      <c r="D13" s="219" t="s">
        <v>4068</v>
      </c>
      <c r="E13" s="218">
        <v>46259</v>
      </c>
      <c r="F13" s="219" t="s">
        <v>4069</v>
      </c>
      <c r="G13" s="220" t="s">
        <v>43</v>
      </c>
      <c r="H13" s="221">
        <v>14030</v>
      </c>
      <c r="I13" s="221">
        <v>32030</v>
      </c>
      <c r="J13" s="221">
        <v>18000</v>
      </c>
    </row>
    <row r="14" spans="1:10" x14ac:dyDescent="0.3">
      <c r="A14" s="217">
        <v>10</v>
      </c>
      <c r="B14" s="217" t="s">
        <v>4070</v>
      </c>
      <c r="C14" s="218">
        <v>46259</v>
      </c>
      <c r="D14" s="219" t="s">
        <v>4071</v>
      </c>
      <c r="E14" s="218">
        <v>46259</v>
      </c>
      <c r="F14" s="219" t="s">
        <v>4072</v>
      </c>
      <c r="G14" s="220" t="s">
        <v>85</v>
      </c>
      <c r="H14" s="221">
        <v>13950</v>
      </c>
      <c r="I14" s="221">
        <v>31470</v>
      </c>
      <c r="J14" s="221">
        <v>17520</v>
      </c>
    </row>
    <row r="15" spans="1:10" x14ac:dyDescent="0.3">
      <c r="A15" s="217">
        <v>11</v>
      </c>
      <c r="B15" s="217" t="s">
        <v>4073</v>
      </c>
      <c r="C15" s="218">
        <v>46259</v>
      </c>
      <c r="D15" s="219" t="s">
        <v>4074</v>
      </c>
      <c r="E15" s="218">
        <v>46259</v>
      </c>
      <c r="F15" s="219" t="s">
        <v>4075</v>
      </c>
      <c r="G15" s="220" t="s">
        <v>55</v>
      </c>
      <c r="H15" s="221">
        <v>14010</v>
      </c>
      <c r="I15" s="221">
        <v>32140</v>
      </c>
      <c r="J15" s="221">
        <v>18130</v>
      </c>
    </row>
    <row r="16" spans="1:10" x14ac:dyDescent="0.3">
      <c r="A16" s="217">
        <v>12</v>
      </c>
      <c r="B16" s="217" t="s">
        <v>4076</v>
      </c>
      <c r="C16" s="218">
        <v>46259</v>
      </c>
      <c r="D16" s="219" t="s">
        <v>4077</v>
      </c>
      <c r="E16" s="218">
        <v>46259</v>
      </c>
      <c r="F16" s="219" t="s">
        <v>4078</v>
      </c>
      <c r="G16" s="220" t="s">
        <v>337</v>
      </c>
      <c r="H16" s="221">
        <v>13860</v>
      </c>
      <c r="I16" s="221">
        <v>31230</v>
      </c>
      <c r="J16" s="221">
        <v>17370</v>
      </c>
    </row>
    <row r="17" spans="1:10" x14ac:dyDescent="0.3">
      <c r="A17" s="217">
        <v>13</v>
      </c>
      <c r="B17" s="217" t="s">
        <v>4079</v>
      </c>
      <c r="C17" s="218">
        <v>46259</v>
      </c>
      <c r="D17" s="219" t="s">
        <v>4080</v>
      </c>
      <c r="E17" s="218">
        <v>46259</v>
      </c>
      <c r="F17" s="219" t="s">
        <v>4081</v>
      </c>
      <c r="G17" s="220" t="s">
        <v>76</v>
      </c>
      <c r="H17" s="221">
        <v>14030</v>
      </c>
      <c r="I17" s="221">
        <v>31790</v>
      </c>
      <c r="J17" s="221">
        <v>17760</v>
      </c>
    </row>
    <row r="18" spans="1:10" x14ac:dyDescent="0.3">
      <c r="A18" s="217">
        <v>14</v>
      </c>
      <c r="B18" s="217" t="s">
        <v>4082</v>
      </c>
      <c r="C18" s="218">
        <v>46259</v>
      </c>
      <c r="D18" s="219" t="s">
        <v>4083</v>
      </c>
      <c r="E18" s="218">
        <v>46259</v>
      </c>
      <c r="F18" s="219" t="s">
        <v>4084</v>
      </c>
      <c r="G18" s="220" t="s">
        <v>80</v>
      </c>
      <c r="H18" s="221">
        <v>13950</v>
      </c>
      <c r="I18" s="221">
        <v>31850</v>
      </c>
      <c r="J18" s="221">
        <v>17900</v>
      </c>
    </row>
    <row r="19" spans="1:10" x14ac:dyDescent="0.3">
      <c r="A19" s="217">
        <v>15</v>
      </c>
      <c r="B19" s="217" t="s">
        <v>4085</v>
      </c>
      <c r="C19" s="218">
        <v>46259</v>
      </c>
      <c r="D19" s="219" t="s">
        <v>4086</v>
      </c>
      <c r="E19" s="218">
        <v>46259</v>
      </c>
      <c r="F19" s="219" t="s">
        <v>4087</v>
      </c>
      <c r="G19" s="220" t="s">
        <v>843</v>
      </c>
      <c r="H19" s="221">
        <v>14200</v>
      </c>
      <c r="I19" s="221">
        <v>31820</v>
      </c>
      <c r="J19" s="221">
        <v>17620</v>
      </c>
    </row>
    <row r="20" spans="1:10" x14ac:dyDescent="0.3">
      <c r="A20" s="217">
        <v>16</v>
      </c>
      <c r="B20" s="217" t="s">
        <v>4088</v>
      </c>
      <c r="C20" s="218">
        <v>46259</v>
      </c>
      <c r="D20" s="219" t="s">
        <v>4089</v>
      </c>
      <c r="E20" s="218">
        <v>46259</v>
      </c>
      <c r="F20" s="219" t="s">
        <v>4090</v>
      </c>
      <c r="G20" s="220" t="s">
        <v>143</v>
      </c>
      <c r="H20" s="221">
        <v>13840</v>
      </c>
      <c r="I20" s="221">
        <v>32310</v>
      </c>
      <c r="J20" s="221">
        <v>18470</v>
      </c>
    </row>
    <row r="21" spans="1:10" x14ac:dyDescent="0.3">
      <c r="A21" s="217">
        <v>17</v>
      </c>
      <c r="B21" s="217" t="s">
        <v>4091</v>
      </c>
      <c r="C21" s="218">
        <v>46259</v>
      </c>
      <c r="D21" s="219" t="s">
        <v>4092</v>
      </c>
      <c r="E21" s="218">
        <v>46259</v>
      </c>
      <c r="F21" s="219" t="s">
        <v>4093</v>
      </c>
      <c r="G21" s="220" t="s">
        <v>71</v>
      </c>
      <c r="H21" s="221">
        <v>13840</v>
      </c>
      <c r="I21" s="221">
        <v>31730</v>
      </c>
      <c r="J21" s="221">
        <v>17890</v>
      </c>
    </row>
    <row r="22" spans="1:10" x14ac:dyDescent="0.3">
      <c r="A22" s="217">
        <v>18</v>
      </c>
      <c r="B22" s="217" t="s">
        <v>4094</v>
      </c>
      <c r="C22" s="218">
        <v>46259</v>
      </c>
      <c r="D22" s="219" t="s">
        <v>4095</v>
      </c>
      <c r="E22" s="218">
        <v>46259</v>
      </c>
      <c r="F22" s="219" t="s">
        <v>4096</v>
      </c>
      <c r="G22" s="220" t="s">
        <v>840</v>
      </c>
      <c r="H22" s="221">
        <v>13940</v>
      </c>
      <c r="I22" s="221">
        <v>31410</v>
      </c>
      <c r="J22" s="221">
        <v>17470</v>
      </c>
    </row>
    <row r="23" spans="1:10" x14ac:dyDescent="0.3">
      <c r="A23" s="217">
        <v>19</v>
      </c>
      <c r="B23" s="217" t="s">
        <v>4097</v>
      </c>
      <c r="C23" s="218">
        <v>46259</v>
      </c>
      <c r="D23" s="219" t="s">
        <v>4098</v>
      </c>
      <c r="E23" s="218">
        <v>46259</v>
      </c>
      <c r="F23" s="219" t="s">
        <v>4099</v>
      </c>
      <c r="G23" s="220" t="s">
        <v>842</v>
      </c>
      <c r="H23" s="221">
        <v>13970</v>
      </c>
      <c r="I23" s="221">
        <v>31430</v>
      </c>
      <c r="J23" s="221">
        <v>17460</v>
      </c>
    </row>
    <row r="24" spans="1:10" x14ac:dyDescent="0.3">
      <c r="A24" s="217">
        <v>20</v>
      </c>
      <c r="B24" s="217" t="s">
        <v>4100</v>
      </c>
      <c r="C24" s="218">
        <v>46259</v>
      </c>
      <c r="D24" s="219" t="s">
        <v>4101</v>
      </c>
      <c r="E24" s="218">
        <v>46259</v>
      </c>
      <c r="F24" s="219" t="s">
        <v>4102</v>
      </c>
      <c r="G24" s="220" t="s">
        <v>540</v>
      </c>
      <c r="H24" s="221">
        <v>13680</v>
      </c>
      <c r="I24" s="221">
        <v>31300</v>
      </c>
      <c r="J24" s="221">
        <v>17620</v>
      </c>
    </row>
    <row r="25" spans="1:10" x14ac:dyDescent="0.3">
      <c r="A25" s="217">
        <v>21</v>
      </c>
      <c r="B25" s="217" t="s">
        <v>4103</v>
      </c>
      <c r="C25" s="218">
        <v>46259</v>
      </c>
      <c r="D25" s="219" t="s">
        <v>4104</v>
      </c>
      <c r="E25" s="218">
        <v>46259</v>
      </c>
      <c r="F25" s="219" t="s">
        <v>4105</v>
      </c>
      <c r="G25" s="220" t="s">
        <v>336</v>
      </c>
      <c r="H25" s="221">
        <v>13780</v>
      </c>
      <c r="I25" s="221">
        <v>30920</v>
      </c>
      <c r="J25" s="221">
        <v>17140</v>
      </c>
    </row>
    <row r="26" spans="1:10" x14ac:dyDescent="0.3">
      <c r="A26" s="217">
        <v>22</v>
      </c>
      <c r="B26" s="217" t="s">
        <v>4106</v>
      </c>
      <c r="C26" s="218">
        <v>46259</v>
      </c>
      <c r="D26" s="219" t="s">
        <v>4107</v>
      </c>
      <c r="E26" s="218">
        <v>46259</v>
      </c>
      <c r="F26" s="219" t="s">
        <v>4108</v>
      </c>
      <c r="G26" s="220" t="s">
        <v>90</v>
      </c>
      <c r="H26" s="221">
        <v>13770</v>
      </c>
      <c r="I26" s="221">
        <v>30900</v>
      </c>
      <c r="J26" s="221">
        <v>17130</v>
      </c>
    </row>
    <row r="27" spans="1:10" x14ac:dyDescent="0.3">
      <c r="A27" s="217">
        <v>23</v>
      </c>
      <c r="B27" s="217" t="s">
        <v>4109</v>
      </c>
      <c r="C27" s="218">
        <v>46259</v>
      </c>
      <c r="D27" s="219" t="s">
        <v>4110</v>
      </c>
      <c r="E27" s="218">
        <v>46259</v>
      </c>
      <c r="F27" s="219" t="s">
        <v>4111</v>
      </c>
      <c r="G27" s="220" t="s">
        <v>335</v>
      </c>
      <c r="H27" s="221">
        <v>13840</v>
      </c>
      <c r="I27" s="221">
        <v>31190</v>
      </c>
      <c r="J27" s="221">
        <v>17350</v>
      </c>
    </row>
    <row r="28" spans="1:10" x14ac:dyDescent="0.3">
      <c r="A28" s="217">
        <v>24</v>
      </c>
      <c r="B28" s="217" t="s">
        <v>4112</v>
      </c>
      <c r="C28" s="218">
        <v>46259</v>
      </c>
      <c r="D28" s="219" t="s">
        <v>4113</v>
      </c>
      <c r="E28" s="218">
        <v>46259</v>
      </c>
      <c r="F28" s="219" t="s">
        <v>4114</v>
      </c>
      <c r="G28" s="220" t="s">
        <v>337</v>
      </c>
      <c r="H28" s="221">
        <v>13820</v>
      </c>
      <c r="I28" s="221">
        <v>32380</v>
      </c>
      <c r="J28" s="221">
        <v>18560</v>
      </c>
    </row>
    <row r="29" spans="1:10" x14ac:dyDescent="0.3">
      <c r="A29" s="217">
        <v>25</v>
      </c>
      <c r="B29" s="217" t="s">
        <v>4115</v>
      </c>
      <c r="C29" s="218">
        <v>46259</v>
      </c>
      <c r="D29" s="219" t="s">
        <v>4116</v>
      </c>
      <c r="E29" s="218">
        <v>46259</v>
      </c>
      <c r="F29" s="219" t="s">
        <v>4117</v>
      </c>
      <c r="G29" s="220" t="s">
        <v>43</v>
      </c>
      <c r="H29" s="221">
        <v>13980</v>
      </c>
      <c r="I29" s="221">
        <v>31930</v>
      </c>
      <c r="J29" s="221">
        <v>17950</v>
      </c>
    </row>
    <row r="30" spans="1:10" x14ac:dyDescent="0.3">
      <c r="A30" s="217">
        <v>26</v>
      </c>
      <c r="B30" s="217" t="s">
        <v>4118</v>
      </c>
      <c r="C30" s="218">
        <v>46259</v>
      </c>
      <c r="D30" s="219" t="s">
        <v>4119</v>
      </c>
      <c r="E30" s="218">
        <v>46259</v>
      </c>
      <c r="F30" s="219" t="s">
        <v>4120</v>
      </c>
      <c r="G30" s="220" t="s">
        <v>143</v>
      </c>
      <c r="H30" s="221">
        <v>13850</v>
      </c>
      <c r="I30" s="221">
        <v>31300</v>
      </c>
      <c r="J30" s="221">
        <v>17450</v>
      </c>
    </row>
    <row r="31" spans="1:10" x14ac:dyDescent="0.3">
      <c r="A31" s="217">
        <v>27</v>
      </c>
      <c r="B31" s="217" t="s">
        <v>4121</v>
      </c>
      <c r="C31" s="218">
        <v>46259</v>
      </c>
      <c r="D31" s="219" t="s">
        <v>4122</v>
      </c>
      <c r="E31" s="218">
        <v>46259</v>
      </c>
      <c r="F31" s="219" t="s">
        <v>4123</v>
      </c>
      <c r="G31" s="220" t="s">
        <v>80</v>
      </c>
      <c r="H31" s="221">
        <v>13910</v>
      </c>
      <c r="I31" s="221">
        <v>31110</v>
      </c>
      <c r="J31" s="221">
        <v>17200</v>
      </c>
    </row>
    <row r="32" spans="1:10" x14ac:dyDescent="0.3">
      <c r="A32" s="217">
        <v>28</v>
      </c>
      <c r="B32" s="217" t="s">
        <v>4124</v>
      </c>
      <c r="C32" s="218">
        <v>46259</v>
      </c>
      <c r="D32" s="219" t="s">
        <v>4125</v>
      </c>
      <c r="E32" s="218">
        <v>46259</v>
      </c>
      <c r="F32" s="219" t="s">
        <v>4126</v>
      </c>
      <c r="G32" s="220" t="s">
        <v>85</v>
      </c>
      <c r="H32" s="221">
        <v>13870</v>
      </c>
      <c r="I32" s="221">
        <v>31720</v>
      </c>
      <c r="J32" s="221">
        <v>17850</v>
      </c>
    </row>
    <row r="33" spans="1:10" x14ac:dyDescent="0.3">
      <c r="A33" s="217">
        <v>29</v>
      </c>
      <c r="B33" s="217" t="s">
        <v>4127</v>
      </c>
      <c r="C33" s="218">
        <v>46259</v>
      </c>
      <c r="D33" s="219" t="s">
        <v>4128</v>
      </c>
      <c r="E33" s="218">
        <v>46259</v>
      </c>
      <c r="F33" s="219" t="s">
        <v>4129</v>
      </c>
      <c r="G33" s="220" t="s">
        <v>537</v>
      </c>
      <c r="H33" s="221">
        <v>13880</v>
      </c>
      <c r="I33" s="221">
        <v>31590</v>
      </c>
      <c r="J33" s="221">
        <v>17710</v>
      </c>
    </row>
    <row r="34" spans="1:10" x14ac:dyDescent="0.3">
      <c r="A34" s="217">
        <v>30</v>
      </c>
      <c r="B34" s="217" t="s">
        <v>4130</v>
      </c>
      <c r="C34" s="218">
        <v>46259</v>
      </c>
      <c r="D34" s="219" t="s">
        <v>4131</v>
      </c>
      <c r="E34" s="218">
        <v>46259</v>
      </c>
      <c r="F34" s="219" t="s">
        <v>4132</v>
      </c>
      <c r="G34" s="220" t="s">
        <v>55</v>
      </c>
      <c r="H34" s="221">
        <v>13940</v>
      </c>
      <c r="I34" s="221">
        <v>31290</v>
      </c>
      <c r="J34" s="221">
        <v>17350</v>
      </c>
    </row>
    <row r="35" spans="1:10" x14ac:dyDescent="0.3">
      <c r="A35" s="217">
        <v>31</v>
      </c>
      <c r="B35" s="217" t="s">
        <v>4133</v>
      </c>
      <c r="C35" s="218">
        <v>46259</v>
      </c>
      <c r="D35" s="219" t="s">
        <v>4134</v>
      </c>
      <c r="E35" s="218">
        <v>46259</v>
      </c>
      <c r="F35" s="219" t="s">
        <v>4135</v>
      </c>
      <c r="G35" s="220" t="s">
        <v>76</v>
      </c>
      <c r="H35" s="221">
        <v>13990</v>
      </c>
      <c r="I35" s="221">
        <v>30980</v>
      </c>
      <c r="J35" s="221">
        <v>16990</v>
      </c>
    </row>
    <row r="36" spans="1:10" x14ac:dyDescent="0.3">
      <c r="A36" s="217">
        <v>32</v>
      </c>
      <c r="B36" s="217" t="s">
        <v>4136</v>
      </c>
      <c r="C36" s="218">
        <v>46259</v>
      </c>
      <c r="D36" s="219" t="s">
        <v>4137</v>
      </c>
      <c r="E36" s="218">
        <v>46259</v>
      </c>
      <c r="F36" s="219" t="s">
        <v>4138</v>
      </c>
      <c r="G36" s="220" t="s">
        <v>843</v>
      </c>
      <c r="H36" s="221">
        <v>14180</v>
      </c>
      <c r="I36" s="221">
        <v>30900</v>
      </c>
      <c r="J36" s="221">
        <v>16720</v>
      </c>
    </row>
    <row r="37" spans="1:10" x14ac:dyDescent="0.3">
      <c r="A37" s="217">
        <v>33</v>
      </c>
      <c r="B37" s="217" t="s">
        <v>4139</v>
      </c>
      <c r="C37" s="218">
        <v>46259</v>
      </c>
      <c r="D37" s="219" t="s">
        <v>4140</v>
      </c>
      <c r="E37" s="218">
        <v>46259</v>
      </c>
      <c r="F37" s="219" t="s">
        <v>4141</v>
      </c>
      <c r="G37" s="220" t="s">
        <v>71</v>
      </c>
      <c r="H37" s="221">
        <v>13810</v>
      </c>
      <c r="I37" s="221">
        <v>31490</v>
      </c>
      <c r="J37" s="221">
        <v>17680</v>
      </c>
    </row>
    <row r="38" spans="1:10" x14ac:dyDescent="0.3">
      <c r="A38" s="217">
        <v>34</v>
      </c>
      <c r="B38" s="217" t="s">
        <v>4142</v>
      </c>
      <c r="C38" s="218">
        <v>46260</v>
      </c>
      <c r="D38" s="219" t="s">
        <v>4143</v>
      </c>
      <c r="E38" s="218">
        <v>46260</v>
      </c>
      <c r="F38" s="219" t="s">
        <v>4144</v>
      </c>
      <c r="G38" s="220" t="s">
        <v>840</v>
      </c>
      <c r="H38" s="221">
        <v>13900</v>
      </c>
      <c r="I38" s="221">
        <v>31680</v>
      </c>
      <c r="J38" s="221">
        <v>17780</v>
      </c>
    </row>
    <row r="39" spans="1:10" x14ac:dyDescent="0.3">
      <c r="A39" s="217">
        <v>35</v>
      </c>
      <c r="B39" s="217" t="s">
        <v>4145</v>
      </c>
      <c r="C39" s="218">
        <v>46260</v>
      </c>
      <c r="D39" s="219" t="s">
        <v>4146</v>
      </c>
      <c r="E39" s="218">
        <v>46260</v>
      </c>
      <c r="F39" s="219" t="s">
        <v>4147</v>
      </c>
      <c r="G39" s="220" t="s">
        <v>336</v>
      </c>
      <c r="H39" s="221">
        <v>13750</v>
      </c>
      <c r="I39" s="221">
        <v>30680</v>
      </c>
      <c r="J39" s="221">
        <v>16930</v>
      </c>
    </row>
    <row r="40" spans="1:10" x14ac:dyDescent="0.3">
      <c r="A40" s="217">
        <v>36</v>
      </c>
      <c r="B40" s="217" t="s">
        <v>4148</v>
      </c>
      <c r="C40" s="218">
        <v>46260</v>
      </c>
      <c r="D40" s="219" t="s">
        <v>4149</v>
      </c>
      <c r="E40" s="218">
        <v>46260</v>
      </c>
      <c r="F40" s="219" t="s">
        <v>4150</v>
      </c>
      <c r="G40" s="220" t="s">
        <v>90</v>
      </c>
      <c r="H40" s="221">
        <v>13740</v>
      </c>
      <c r="I40" s="221">
        <v>31650</v>
      </c>
      <c r="J40" s="221">
        <v>17910</v>
      </c>
    </row>
    <row r="41" spans="1:10" x14ac:dyDescent="0.3">
      <c r="A41" s="217">
        <v>37</v>
      </c>
      <c r="B41" s="217" t="s">
        <v>4151</v>
      </c>
      <c r="C41" s="218">
        <v>46260</v>
      </c>
      <c r="D41" s="219" t="s">
        <v>4152</v>
      </c>
      <c r="E41" s="218">
        <v>46260</v>
      </c>
      <c r="F41" s="219" t="s">
        <v>4153</v>
      </c>
      <c r="G41" s="220" t="s">
        <v>540</v>
      </c>
      <c r="H41" s="221">
        <v>13660</v>
      </c>
      <c r="I41" s="221">
        <v>32260</v>
      </c>
      <c r="J41" s="221">
        <v>18600</v>
      </c>
    </row>
    <row r="42" spans="1:10" x14ac:dyDescent="0.3">
      <c r="A42" s="217">
        <v>38</v>
      </c>
      <c r="B42" s="217" t="s">
        <v>4154</v>
      </c>
      <c r="C42" s="218">
        <v>46260</v>
      </c>
      <c r="D42" s="219" t="s">
        <v>4155</v>
      </c>
      <c r="E42" s="218">
        <v>46260</v>
      </c>
      <c r="F42" s="219" t="s">
        <v>4156</v>
      </c>
      <c r="G42" s="220" t="s">
        <v>335</v>
      </c>
      <c r="H42" s="221">
        <v>13820</v>
      </c>
      <c r="I42" s="221">
        <v>31760</v>
      </c>
      <c r="J42" s="221">
        <v>17940</v>
      </c>
    </row>
    <row r="43" spans="1:10" x14ac:dyDescent="0.3">
      <c r="A43" s="217">
        <v>39</v>
      </c>
      <c r="B43" s="217" t="s">
        <v>4157</v>
      </c>
      <c r="C43" s="218">
        <v>46260</v>
      </c>
      <c r="D43" s="219" t="s">
        <v>4158</v>
      </c>
      <c r="E43" s="218">
        <v>46260</v>
      </c>
      <c r="F43" s="219" t="s">
        <v>4159</v>
      </c>
      <c r="G43" s="220" t="s">
        <v>143</v>
      </c>
      <c r="H43" s="221">
        <v>13770</v>
      </c>
      <c r="I43" s="221">
        <v>31380</v>
      </c>
      <c r="J43" s="221">
        <v>17610</v>
      </c>
    </row>
    <row r="44" spans="1:10" x14ac:dyDescent="0.3">
      <c r="A44" s="217">
        <v>40</v>
      </c>
      <c r="B44" s="217" t="s">
        <v>4160</v>
      </c>
      <c r="C44" s="218">
        <v>46260</v>
      </c>
      <c r="D44" s="219" t="s">
        <v>4161</v>
      </c>
      <c r="E44" s="218">
        <v>46260</v>
      </c>
      <c r="F44" s="219" t="s">
        <v>4162</v>
      </c>
      <c r="G44" s="220" t="s">
        <v>43</v>
      </c>
      <c r="H44" s="221">
        <v>13940</v>
      </c>
      <c r="I44" s="221">
        <v>31070</v>
      </c>
      <c r="J44" s="221">
        <v>17130</v>
      </c>
    </row>
    <row r="45" spans="1:10" x14ac:dyDescent="0.3">
      <c r="A45" s="217">
        <v>41</v>
      </c>
      <c r="B45" s="217" t="s">
        <v>4163</v>
      </c>
      <c r="C45" s="218">
        <v>46260</v>
      </c>
      <c r="D45" s="219" t="s">
        <v>4164</v>
      </c>
      <c r="E45" s="218">
        <v>46260</v>
      </c>
      <c r="F45" s="219" t="s">
        <v>4165</v>
      </c>
      <c r="G45" s="220" t="s">
        <v>80</v>
      </c>
      <c r="H45" s="221">
        <v>13880</v>
      </c>
      <c r="I45" s="221">
        <v>30470</v>
      </c>
      <c r="J45" s="221">
        <v>16590</v>
      </c>
    </row>
    <row r="46" spans="1:10" x14ac:dyDescent="0.3">
      <c r="A46" s="217">
        <v>42</v>
      </c>
      <c r="B46" s="217" t="s">
        <v>4166</v>
      </c>
      <c r="C46" s="218">
        <v>46260</v>
      </c>
      <c r="D46" s="219" t="s">
        <v>4167</v>
      </c>
      <c r="E46" s="218">
        <v>46260</v>
      </c>
      <c r="F46" s="219" t="s">
        <v>4168</v>
      </c>
      <c r="G46" s="220" t="s">
        <v>537</v>
      </c>
      <c r="H46" s="221">
        <v>13840</v>
      </c>
      <c r="I46" s="221">
        <v>31150</v>
      </c>
      <c r="J46" s="221">
        <v>17310</v>
      </c>
    </row>
    <row r="47" spans="1:10" x14ac:dyDescent="0.3">
      <c r="A47" s="217">
        <v>43</v>
      </c>
      <c r="B47" s="217" t="s">
        <v>4169</v>
      </c>
      <c r="C47" s="218">
        <v>46260</v>
      </c>
      <c r="D47" s="219" t="s">
        <v>1099</v>
      </c>
      <c r="E47" s="218">
        <v>46260</v>
      </c>
      <c r="F47" s="219" t="s">
        <v>4170</v>
      </c>
      <c r="G47" s="220" t="s">
        <v>55</v>
      </c>
      <c r="H47" s="221">
        <v>13900</v>
      </c>
      <c r="I47" s="221">
        <v>30760</v>
      </c>
      <c r="J47" s="221">
        <v>16860</v>
      </c>
    </row>
    <row r="48" spans="1:10" x14ac:dyDescent="0.3">
      <c r="A48" s="217">
        <v>44</v>
      </c>
      <c r="B48" s="217" t="s">
        <v>4171</v>
      </c>
      <c r="C48" s="218">
        <v>46260</v>
      </c>
      <c r="D48" s="219" t="s">
        <v>4172</v>
      </c>
      <c r="E48" s="218">
        <v>46260</v>
      </c>
      <c r="F48" s="219" t="s">
        <v>4173</v>
      </c>
      <c r="G48" s="220" t="s">
        <v>85</v>
      </c>
      <c r="H48" s="221">
        <v>13850</v>
      </c>
      <c r="I48" s="221">
        <v>30750</v>
      </c>
      <c r="J48" s="221">
        <v>16900</v>
      </c>
    </row>
    <row r="49" spans="1:10" x14ac:dyDescent="0.3">
      <c r="A49" s="217">
        <v>45</v>
      </c>
      <c r="B49" s="217" t="s">
        <v>4174</v>
      </c>
      <c r="C49" s="218">
        <v>46260</v>
      </c>
      <c r="D49" s="219" t="s">
        <v>4175</v>
      </c>
      <c r="E49" s="218">
        <v>46260</v>
      </c>
      <c r="F49" s="219" t="s">
        <v>4176</v>
      </c>
      <c r="G49" s="220" t="s">
        <v>76</v>
      </c>
      <c r="H49" s="221">
        <v>13980</v>
      </c>
      <c r="I49" s="221">
        <v>31040</v>
      </c>
      <c r="J49" s="221">
        <v>17060</v>
      </c>
    </row>
    <row r="50" spans="1:10" x14ac:dyDescent="0.3">
      <c r="A50" s="217">
        <v>46</v>
      </c>
      <c r="B50" s="217" t="s">
        <v>4177</v>
      </c>
      <c r="C50" s="218">
        <v>46260</v>
      </c>
      <c r="D50" s="219" t="s">
        <v>4178</v>
      </c>
      <c r="E50" s="218">
        <v>46260</v>
      </c>
      <c r="F50" s="219" t="s">
        <v>4179</v>
      </c>
      <c r="G50" s="220" t="s">
        <v>843</v>
      </c>
      <c r="H50" s="221">
        <v>14150</v>
      </c>
      <c r="I50" s="221">
        <v>30560</v>
      </c>
      <c r="J50" s="221">
        <v>16410</v>
      </c>
    </row>
    <row r="51" spans="1:10" x14ac:dyDescent="0.3">
      <c r="A51" s="217">
        <v>47</v>
      </c>
      <c r="B51" s="217" t="s">
        <v>4180</v>
      </c>
      <c r="C51" s="218">
        <v>46260</v>
      </c>
      <c r="D51" s="219" t="s">
        <v>4181</v>
      </c>
      <c r="E51" s="218">
        <v>46260</v>
      </c>
      <c r="F51" s="219" t="s">
        <v>4182</v>
      </c>
      <c r="G51" s="220" t="s">
        <v>337</v>
      </c>
      <c r="H51" s="221">
        <v>13780</v>
      </c>
      <c r="I51" s="221">
        <v>30440</v>
      </c>
      <c r="J51" s="221">
        <v>16660</v>
      </c>
    </row>
    <row r="52" spans="1:10" x14ac:dyDescent="0.3">
      <c r="A52" s="217">
        <v>48</v>
      </c>
      <c r="B52" s="217" t="s">
        <v>4183</v>
      </c>
      <c r="C52" s="218">
        <v>46260</v>
      </c>
      <c r="D52" s="219" t="s">
        <v>4184</v>
      </c>
      <c r="E52" s="218">
        <v>46260</v>
      </c>
      <c r="F52" s="219" t="s">
        <v>4185</v>
      </c>
      <c r="G52" s="220" t="s">
        <v>840</v>
      </c>
      <c r="H52" s="221">
        <v>13880</v>
      </c>
      <c r="I52" s="221">
        <v>30530</v>
      </c>
      <c r="J52" s="221">
        <v>16650</v>
      </c>
    </row>
    <row r="53" spans="1:10" x14ac:dyDescent="0.3">
      <c r="A53" s="217">
        <v>49</v>
      </c>
      <c r="B53" s="217" t="s">
        <v>4186</v>
      </c>
      <c r="C53" s="218">
        <v>46260</v>
      </c>
      <c r="D53" s="219" t="s">
        <v>4187</v>
      </c>
      <c r="E53" s="218">
        <v>46260</v>
      </c>
      <c r="F53" s="219" t="s">
        <v>4188</v>
      </c>
      <c r="G53" s="220" t="s">
        <v>71</v>
      </c>
      <c r="H53" s="221">
        <v>13780</v>
      </c>
      <c r="I53" s="221">
        <v>30750</v>
      </c>
      <c r="J53" s="221">
        <v>16970</v>
      </c>
    </row>
    <row r="54" spans="1:10" x14ac:dyDescent="0.3">
      <c r="A54" s="217">
        <v>50</v>
      </c>
      <c r="B54" s="217" t="s">
        <v>4189</v>
      </c>
      <c r="C54" s="218">
        <v>46260</v>
      </c>
      <c r="D54" s="219" t="s">
        <v>4190</v>
      </c>
      <c r="E54" s="218">
        <v>46260</v>
      </c>
      <c r="F54" s="219" t="s">
        <v>1639</v>
      </c>
      <c r="G54" s="220" t="s">
        <v>336</v>
      </c>
      <c r="H54" s="221">
        <v>13710</v>
      </c>
      <c r="I54" s="221">
        <v>29920</v>
      </c>
      <c r="J54" s="221">
        <v>16210</v>
      </c>
    </row>
    <row r="55" spans="1:10" x14ac:dyDescent="0.3">
      <c r="A55" s="217">
        <v>51</v>
      </c>
      <c r="B55" s="217" t="s">
        <v>4191</v>
      </c>
      <c r="C55" s="218">
        <v>46260</v>
      </c>
      <c r="D55" s="219" t="s">
        <v>4192</v>
      </c>
      <c r="E55" s="218">
        <v>46260</v>
      </c>
      <c r="F55" s="219" t="s">
        <v>4193</v>
      </c>
      <c r="G55" s="220" t="s">
        <v>537</v>
      </c>
      <c r="H55" s="221">
        <v>13800</v>
      </c>
      <c r="I55" s="221">
        <v>30450</v>
      </c>
      <c r="J55" s="221">
        <v>16650</v>
      </c>
    </row>
    <row r="56" spans="1:10" x14ac:dyDescent="0.3">
      <c r="A56" s="217">
        <v>52</v>
      </c>
      <c r="B56" s="217" t="s">
        <v>4194</v>
      </c>
      <c r="C56" s="218">
        <v>46260</v>
      </c>
      <c r="D56" s="219" t="s">
        <v>4195</v>
      </c>
      <c r="E56" s="218">
        <v>46260</v>
      </c>
      <c r="F56" s="219" t="s">
        <v>4196</v>
      </c>
      <c r="G56" s="220" t="s">
        <v>842</v>
      </c>
      <c r="H56" s="221">
        <v>13850</v>
      </c>
      <c r="I56" s="221">
        <v>31140</v>
      </c>
      <c r="J56" s="221">
        <v>17290</v>
      </c>
    </row>
    <row r="57" spans="1:10" x14ac:dyDescent="0.3">
      <c r="A57" s="217">
        <v>53</v>
      </c>
      <c r="B57" s="217" t="s">
        <v>4197</v>
      </c>
      <c r="C57" s="218">
        <v>46260</v>
      </c>
      <c r="D57" s="219" t="s">
        <v>4198</v>
      </c>
      <c r="E57" s="218">
        <v>46260</v>
      </c>
      <c r="F57" s="219" t="s">
        <v>4199</v>
      </c>
      <c r="G57" s="220" t="s">
        <v>80</v>
      </c>
      <c r="H57" s="221">
        <v>13850</v>
      </c>
      <c r="I57" s="221">
        <v>31020</v>
      </c>
      <c r="J57" s="221">
        <v>17170</v>
      </c>
    </row>
    <row r="58" spans="1:10" x14ac:dyDescent="0.3">
      <c r="A58" s="217">
        <v>54</v>
      </c>
      <c r="B58" s="217" t="s">
        <v>4200</v>
      </c>
      <c r="C58" s="218">
        <v>46260</v>
      </c>
      <c r="D58" s="219" t="s">
        <v>4201</v>
      </c>
      <c r="E58" s="218">
        <v>46260</v>
      </c>
      <c r="F58" s="219" t="s">
        <v>4202</v>
      </c>
      <c r="G58" s="220" t="s">
        <v>43</v>
      </c>
      <c r="H58" s="221">
        <v>13920</v>
      </c>
      <c r="I58" s="221">
        <v>30980</v>
      </c>
      <c r="J58" s="221">
        <v>17060</v>
      </c>
    </row>
    <row r="59" spans="1:10" x14ac:dyDescent="0.3">
      <c r="A59" s="217">
        <v>55</v>
      </c>
      <c r="B59" s="217" t="s">
        <v>4203</v>
      </c>
      <c r="C59" s="218">
        <v>46260</v>
      </c>
      <c r="D59" s="219" t="s">
        <v>4204</v>
      </c>
      <c r="E59" s="218">
        <v>46260</v>
      </c>
      <c r="F59" s="219" t="s">
        <v>4205</v>
      </c>
      <c r="G59" s="220" t="s">
        <v>76</v>
      </c>
      <c r="H59" s="221">
        <v>13950</v>
      </c>
      <c r="I59" s="221">
        <v>31230</v>
      </c>
      <c r="J59" s="221">
        <v>17280</v>
      </c>
    </row>
    <row r="60" spans="1:10" x14ac:dyDescent="0.3">
      <c r="A60" s="217">
        <v>56</v>
      </c>
      <c r="B60" s="217" t="s">
        <v>4206</v>
      </c>
      <c r="C60" s="218">
        <v>46260</v>
      </c>
      <c r="D60" s="219" t="s">
        <v>4207</v>
      </c>
      <c r="E60" s="218">
        <v>46260</v>
      </c>
      <c r="F60" s="219" t="s">
        <v>4208</v>
      </c>
      <c r="G60" s="220" t="s">
        <v>143</v>
      </c>
      <c r="H60" s="221">
        <v>13730</v>
      </c>
      <c r="I60" s="221">
        <v>31200</v>
      </c>
      <c r="J60" s="221">
        <v>17470</v>
      </c>
    </row>
    <row r="61" spans="1:10" x14ac:dyDescent="0.3">
      <c r="A61" s="217">
        <v>57</v>
      </c>
      <c r="B61" s="217" t="s">
        <v>4209</v>
      </c>
      <c r="C61" s="218">
        <v>46260</v>
      </c>
      <c r="D61" s="219" t="s">
        <v>4210</v>
      </c>
      <c r="E61" s="218">
        <v>46260</v>
      </c>
      <c r="F61" s="219" t="s">
        <v>4211</v>
      </c>
      <c r="G61" s="220" t="s">
        <v>85</v>
      </c>
      <c r="H61" s="221">
        <v>13790</v>
      </c>
      <c r="I61" s="221">
        <v>30950</v>
      </c>
      <c r="J61" s="221">
        <v>17160</v>
      </c>
    </row>
    <row r="62" spans="1:10" x14ac:dyDescent="0.3">
      <c r="A62" s="217">
        <v>58</v>
      </c>
      <c r="B62" s="217" t="s">
        <v>4212</v>
      </c>
      <c r="C62" s="218">
        <v>46260</v>
      </c>
      <c r="D62" s="219" t="s">
        <v>2049</v>
      </c>
      <c r="E62" s="218">
        <v>46260</v>
      </c>
      <c r="F62" s="219" t="s">
        <v>4213</v>
      </c>
      <c r="G62" s="220" t="s">
        <v>540</v>
      </c>
      <c r="H62" s="221">
        <v>13620</v>
      </c>
      <c r="I62" s="221">
        <v>31480</v>
      </c>
      <c r="J62" s="221">
        <v>17860</v>
      </c>
    </row>
    <row r="63" spans="1:10" x14ac:dyDescent="0.3">
      <c r="A63" s="217">
        <v>59</v>
      </c>
      <c r="B63" s="217" t="s">
        <v>4214</v>
      </c>
      <c r="C63" s="218">
        <v>46260</v>
      </c>
      <c r="D63" s="219" t="s">
        <v>4215</v>
      </c>
      <c r="E63" s="218">
        <v>46260</v>
      </c>
      <c r="F63" s="219" t="s">
        <v>4216</v>
      </c>
      <c r="G63" s="220" t="s">
        <v>843</v>
      </c>
      <c r="H63" s="221">
        <v>14100</v>
      </c>
      <c r="I63" s="221">
        <v>31250</v>
      </c>
      <c r="J63" s="221">
        <v>17150</v>
      </c>
    </row>
    <row r="64" spans="1:10" x14ac:dyDescent="0.3">
      <c r="A64" s="217">
        <v>60</v>
      </c>
      <c r="B64" s="217" t="s">
        <v>4217</v>
      </c>
      <c r="C64" s="218">
        <v>46260</v>
      </c>
      <c r="D64" s="219" t="s">
        <v>4218</v>
      </c>
      <c r="E64" s="218">
        <v>46260</v>
      </c>
      <c r="F64" s="219" t="s">
        <v>4219</v>
      </c>
      <c r="G64" s="220" t="s">
        <v>335</v>
      </c>
      <c r="H64" s="221">
        <v>13860</v>
      </c>
      <c r="I64" s="221">
        <v>30910</v>
      </c>
      <c r="J64" s="221">
        <v>17050</v>
      </c>
    </row>
    <row r="65" spans="1:10" x14ac:dyDescent="0.3">
      <c r="A65" s="217">
        <v>61</v>
      </c>
      <c r="B65" s="217" t="s">
        <v>4220</v>
      </c>
      <c r="C65" s="218">
        <v>46260</v>
      </c>
      <c r="D65" s="219" t="s">
        <v>711</v>
      </c>
      <c r="E65" s="218">
        <v>46260</v>
      </c>
      <c r="F65" s="219" t="s">
        <v>1681</v>
      </c>
      <c r="G65" s="220" t="s">
        <v>55</v>
      </c>
      <c r="H65" s="221">
        <v>13870</v>
      </c>
      <c r="I65" s="221">
        <v>29760</v>
      </c>
      <c r="J65" s="221">
        <v>15890</v>
      </c>
    </row>
    <row r="66" spans="1:10" x14ac:dyDescent="0.3">
      <c r="A66" s="217">
        <v>62</v>
      </c>
      <c r="B66" s="217" t="s">
        <v>4221</v>
      </c>
      <c r="C66" s="218">
        <v>46260</v>
      </c>
      <c r="D66" s="219" t="s">
        <v>4222</v>
      </c>
      <c r="E66" s="218">
        <v>46260</v>
      </c>
      <c r="F66" s="219" t="s">
        <v>4223</v>
      </c>
      <c r="G66" s="220" t="s">
        <v>90</v>
      </c>
      <c r="H66" s="221">
        <v>13710</v>
      </c>
      <c r="I66" s="221">
        <v>29990</v>
      </c>
      <c r="J66" s="221">
        <v>16280</v>
      </c>
    </row>
    <row r="67" spans="1:10" x14ac:dyDescent="0.3">
      <c r="A67" s="217">
        <v>63</v>
      </c>
      <c r="B67" s="217" t="s">
        <v>4224</v>
      </c>
      <c r="C67" s="218">
        <v>46260</v>
      </c>
      <c r="D67" s="219" t="s">
        <v>4225</v>
      </c>
      <c r="E67" s="218">
        <v>46260</v>
      </c>
      <c r="F67" s="219" t="s">
        <v>4226</v>
      </c>
      <c r="G67" s="220" t="s">
        <v>337</v>
      </c>
      <c r="H67" s="221">
        <v>13840</v>
      </c>
      <c r="I67" s="221">
        <v>30210</v>
      </c>
      <c r="J67" s="221">
        <v>16370</v>
      </c>
    </row>
    <row r="68" spans="1:10" x14ac:dyDescent="0.3">
      <c r="A68" s="217">
        <v>64</v>
      </c>
      <c r="B68" s="217" t="s">
        <v>4228</v>
      </c>
      <c r="C68" s="218">
        <v>46260</v>
      </c>
      <c r="D68" s="219" t="s">
        <v>4229</v>
      </c>
      <c r="E68" s="218">
        <v>46260</v>
      </c>
      <c r="F68" s="219" t="s">
        <v>4230</v>
      </c>
      <c r="G68" s="220" t="s">
        <v>842</v>
      </c>
      <c r="H68" s="221">
        <v>13810</v>
      </c>
      <c r="I68" s="221">
        <v>30740</v>
      </c>
      <c r="J68" s="221">
        <v>16930</v>
      </c>
    </row>
    <row r="69" spans="1:10" x14ac:dyDescent="0.3">
      <c r="A69" s="217">
        <v>65</v>
      </c>
      <c r="B69" s="217" t="s">
        <v>4232</v>
      </c>
      <c r="C69" s="218">
        <v>46260</v>
      </c>
      <c r="D69" s="219" t="s">
        <v>4233</v>
      </c>
      <c r="E69" s="218">
        <v>46260</v>
      </c>
      <c r="F69" s="219" t="s">
        <v>4234</v>
      </c>
      <c r="G69" s="220" t="s">
        <v>537</v>
      </c>
      <c r="H69" s="221">
        <v>13990</v>
      </c>
      <c r="I69" s="221">
        <v>30560</v>
      </c>
      <c r="J69" s="221">
        <v>16570</v>
      </c>
    </row>
    <row r="70" spans="1:10" x14ac:dyDescent="0.3">
      <c r="A70" s="217">
        <v>66</v>
      </c>
      <c r="B70" s="217" t="s">
        <v>4236</v>
      </c>
      <c r="C70" s="218">
        <v>46260</v>
      </c>
      <c r="D70" s="219" t="s">
        <v>4237</v>
      </c>
      <c r="E70" s="218">
        <v>46260</v>
      </c>
      <c r="F70" s="219" t="s">
        <v>4238</v>
      </c>
      <c r="G70" s="220" t="s">
        <v>71</v>
      </c>
      <c r="H70" s="221">
        <v>13750</v>
      </c>
      <c r="I70" s="221">
        <v>30670</v>
      </c>
      <c r="J70" s="221">
        <v>16920</v>
      </c>
    </row>
    <row r="71" spans="1:10" x14ac:dyDescent="0.3">
      <c r="A71" s="217">
        <v>67</v>
      </c>
      <c r="B71" s="217" t="s">
        <v>4240</v>
      </c>
      <c r="C71" s="218">
        <v>46260</v>
      </c>
      <c r="D71" s="219" t="s">
        <v>4241</v>
      </c>
      <c r="E71" s="218">
        <v>46260</v>
      </c>
      <c r="F71" s="219" t="s">
        <v>4242</v>
      </c>
      <c r="G71" s="220" t="s">
        <v>840</v>
      </c>
      <c r="H71" s="221">
        <v>13900</v>
      </c>
      <c r="I71" s="221">
        <v>30950</v>
      </c>
      <c r="J71" s="221">
        <v>17050</v>
      </c>
    </row>
    <row r="72" spans="1:10" x14ac:dyDescent="0.3">
      <c r="A72" s="217">
        <v>68</v>
      </c>
      <c r="B72" s="217" t="s">
        <v>4244</v>
      </c>
      <c r="C72" s="218">
        <v>46260</v>
      </c>
      <c r="D72" s="219" t="s">
        <v>4245</v>
      </c>
      <c r="E72" s="218">
        <v>46260</v>
      </c>
      <c r="F72" s="219" t="s">
        <v>4246</v>
      </c>
      <c r="G72" s="220" t="s">
        <v>80</v>
      </c>
      <c r="H72" s="221">
        <v>13800</v>
      </c>
      <c r="I72" s="221">
        <v>30360</v>
      </c>
      <c r="J72" s="221">
        <v>16560</v>
      </c>
    </row>
    <row r="73" spans="1:10" x14ac:dyDescent="0.3">
      <c r="A73" s="217">
        <v>69</v>
      </c>
      <c r="B73" s="217" t="s">
        <v>4248</v>
      </c>
      <c r="C73" s="218">
        <v>46260</v>
      </c>
      <c r="D73" s="219" t="s">
        <v>4249</v>
      </c>
      <c r="E73" s="218">
        <v>46260</v>
      </c>
      <c r="F73" s="219" t="s">
        <v>4250</v>
      </c>
      <c r="G73" s="220" t="s">
        <v>143</v>
      </c>
      <c r="H73" s="221">
        <v>13700</v>
      </c>
      <c r="I73" s="221">
        <v>30900</v>
      </c>
      <c r="J73" s="221">
        <v>17200</v>
      </c>
    </row>
    <row r="74" spans="1:10" x14ac:dyDescent="0.3">
      <c r="A74" s="217">
        <v>70</v>
      </c>
      <c r="B74" s="217" t="s">
        <v>4252</v>
      </c>
      <c r="C74" s="218">
        <v>46260</v>
      </c>
      <c r="D74" s="219" t="s">
        <v>4253</v>
      </c>
      <c r="E74" s="218">
        <v>46260</v>
      </c>
      <c r="F74" s="219" t="s">
        <v>4254</v>
      </c>
      <c r="G74" s="220" t="s">
        <v>76</v>
      </c>
      <c r="H74" s="221">
        <v>13860</v>
      </c>
      <c r="I74" s="221">
        <v>30520</v>
      </c>
      <c r="J74" s="221">
        <v>16660</v>
      </c>
    </row>
    <row r="75" spans="1:10" x14ac:dyDescent="0.3">
      <c r="A75" s="217">
        <v>71</v>
      </c>
      <c r="B75" s="217" t="s">
        <v>4256</v>
      </c>
      <c r="C75" s="218">
        <v>46260</v>
      </c>
      <c r="D75" s="219" t="s">
        <v>4257</v>
      </c>
      <c r="E75" s="218">
        <v>46260</v>
      </c>
      <c r="F75" s="219" t="s">
        <v>4258</v>
      </c>
      <c r="G75" s="220" t="s">
        <v>843</v>
      </c>
      <c r="H75" s="221">
        <v>14080</v>
      </c>
      <c r="I75" s="221">
        <v>31090</v>
      </c>
      <c r="J75" s="221">
        <v>17010</v>
      </c>
    </row>
    <row r="76" spans="1:10" x14ac:dyDescent="0.3">
      <c r="A76" s="217">
        <v>72</v>
      </c>
      <c r="B76" s="217" t="s">
        <v>4260</v>
      </c>
      <c r="C76" s="218">
        <v>46260</v>
      </c>
      <c r="D76" s="219" t="s">
        <v>4261</v>
      </c>
      <c r="E76" s="218">
        <v>46260</v>
      </c>
      <c r="F76" s="219" t="s">
        <v>4262</v>
      </c>
      <c r="G76" s="220" t="s">
        <v>43</v>
      </c>
      <c r="H76" s="221">
        <v>13890</v>
      </c>
      <c r="I76" s="221">
        <v>30610</v>
      </c>
      <c r="J76" s="221">
        <v>16720</v>
      </c>
    </row>
    <row r="77" spans="1:10" x14ac:dyDescent="0.3">
      <c r="A77" s="217">
        <v>73</v>
      </c>
      <c r="B77" s="217" t="s">
        <v>4264</v>
      </c>
      <c r="C77" s="218">
        <v>46260</v>
      </c>
      <c r="D77" s="219" t="s">
        <v>4265</v>
      </c>
      <c r="E77" s="218">
        <v>46260</v>
      </c>
      <c r="F77" s="219" t="s">
        <v>4266</v>
      </c>
      <c r="G77" s="220" t="s">
        <v>335</v>
      </c>
      <c r="H77" s="221">
        <v>13740</v>
      </c>
      <c r="I77" s="221">
        <v>30880</v>
      </c>
      <c r="J77" s="221">
        <v>17140</v>
      </c>
    </row>
    <row r="78" spans="1:10" x14ac:dyDescent="0.3">
      <c r="A78" s="217">
        <v>74</v>
      </c>
      <c r="B78" s="217" t="s">
        <v>4268</v>
      </c>
      <c r="C78" s="218">
        <v>46260</v>
      </c>
      <c r="D78" s="219" t="s">
        <v>4269</v>
      </c>
      <c r="E78" s="218">
        <v>46260</v>
      </c>
      <c r="F78" s="219" t="s">
        <v>4270</v>
      </c>
      <c r="G78" s="220" t="s">
        <v>540</v>
      </c>
      <c r="H78" s="221">
        <v>13860</v>
      </c>
      <c r="I78" s="221">
        <v>31370</v>
      </c>
      <c r="J78" s="221">
        <v>17510</v>
      </c>
    </row>
    <row r="79" spans="1:10" x14ac:dyDescent="0.3">
      <c r="A79" s="217">
        <v>75</v>
      </c>
      <c r="B79" s="217" t="s">
        <v>4272</v>
      </c>
      <c r="C79" s="218">
        <v>46260</v>
      </c>
      <c r="D79" s="219" t="s">
        <v>4273</v>
      </c>
      <c r="E79" s="218">
        <v>46260</v>
      </c>
      <c r="F79" s="219" t="s">
        <v>4274</v>
      </c>
      <c r="G79" s="220" t="s">
        <v>336</v>
      </c>
      <c r="H79" s="221">
        <v>13680</v>
      </c>
      <c r="I79" s="221">
        <v>30590</v>
      </c>
      <c r="J79" s="221">
        <v>16910</v>
      </c>
    </row>
    <row r="80" spans="1:10" x14ac:dyDescent="0.3">
      <c r="A80" s="217">
        <v>76</v>
      </c>
      <c r="B80" s="217" t="s">
        <v>4276</v>
      </c>
      <c r="C80" s="218">
        <v>46260</v>
      </c>
      <c r="D80" s="219" t="s">
        <v>4277</v>
      </c>
      <c r="E80" s="218">
        <v>46260</v>
      </c>
      <c r="F80" s="219" t="s">
        <v>4278</v>
      </c>
      <c r="G80" s="220" t="s">
        <v>55</v>
      </c>
      <c r="H80" s="221">
        <v>13800</v>
      </c>
      <c r="I80" s="221">
        <v>30880</v>
      </c>
      <c r="J80" s="221">
        <v>17080</v>
      </c>
    </row>
    <row r="81" spans="1:10" x14ac:dyDescent="0.3">
      <c r="A81" s="217">
        <v>77</v>
      </c>
      <c r="B81" s="217" t="s">
        <v>4280</v>
      </c>
      <c r="C81" s="218">
        <v>46260</v>
      </c>
      <c r="D81" s="219" t="s">
        <v>4281</v>
      </c>
      <c r="E81" s="218">
        <v>46260</v>
      </c>
      <c r="F81" s="219" t="s">
        <v>4282</v>
      </c>
      <c r="G81" s="220" t="s">
        <v>90</v>
      </c>
      <c r="H81" s="221">
        <v>13670</v>
      </c>
      <c r="I81" s="221">
        <v>29650</v>
      </c>
      <c r="J81" s="221">
        <v>15980</v>
      </c>
    </row>
    <row r="82" spans="1:10" x14ac:dyDescent="0.3">
      <c r="A82" s="217">
        <v>78</v>
      </c>
      <c r="B82" s="217" t="s">
        <v>4284</v>
      </c>
      <c r="C82" s="218">
        <v>46260</v>
      </c>
      <c r="D82" s="219" t="s">
        <v>156</v>
      </c>
      <c r="E82" s="218">
        <v>46260</v>
      </c>
      <c r="F82" s="219" t="s">
        <v>4285</v>
      </c>
      <c r="G82" s="220" t="s">
        <v>85</v>
      </c>
      <c r="H82" s="221">
        <v>13710</v>
      </c>
      <c r="I82" s="221">
        <v>30540</v>
      </c>
      <c r="J82" s="221">
        <v>16830</v>
      </c>
    </row>
    <row r="83" spans="1:10" x14ac:dyDescent="0.3">
      <c r="A83" s="217">
        <v>79</v>
      </c>
      <c r="B83" s="217" t="s">
        <v>4287</v>
      </c>
      <c r="C83" s="218">
        <v>46260</v>
      </c>
      <c r="D83" s="219" t="s">
        <v>4288</v>
      </c>
      <c r="E83" s="218">
        <v>46260</v>
      </c>
      <c r="F83" s="219" t="s">
        <v>4289</v>
      </c>
      <c r="G83" s="220" t="s">
        <v>337</v>
      </c>
      <c r="H83" s="221">
        <v>13720</v>
      </c>
      <c r="I83" s="221">
        <v>31100</v>
      </c>
      <c r="J83" s="221">
        <v>17380</v>
      </c>
    </row>
    <row r="84" spans="1:10" x14ac:dyDescent="0.3">
      <c r="A84" s="217">
        <v>80</v>
      </c>
      <c r="B84" s="217" t="s">
        <v>4291</v>
      </c>
      <c r="C84" s="218">
        <v>46260</v>
      </c>
      <c r="D84" s="219" t="s">
        <v>4292</v>
      </c>
      <c r="E84" s="218">
        <v>46260</v>
      </c>
      <c r="F84" s="219" t="s">
        <v>4293</v>
      </c>
      <c r="G84" s="220" t="s">
        <v>537</v>
      </c>
      <c r="H84" s="221">
        <v>13950</v>
      </c>
      <c r="I84" s="221">
        <v>30900</v>
      </c>
      <c r="J84" s="221">
        <v>16950</v>
      </c>
    </row>
    <row r="85" spans="1:10" x14ac:dyDescent="0.3">
      <c r="A85" s="217">
        <v>81</v>
      </c>
      <c r="B85" s="217" t="s">
        <v>4295</v>
      </c>
      <c r="C85" s="218">
        <v>46260</v>
      </c>
      <c r="D85" s="219" t="s">
        <v>4296</v>
      </c>
      <c r="E85" s="218">
        <v>46260</v>
      </c>
      <c r="F85" s="219" t="s">
        <v>4297</v>
      </c>
      <c r="G85" s="220" t="s">
        <v>842</v>
      </c>
      <c r="H85" s="221">
        <v>13770</v>
      </c>
      <c r="I85" s="221">
        <v>30750</v>
      </c>
      <c r="J85" s="221">
        <v>16980</v>
      </c>
    </row>
    <row r="86" spans="1:10" x14ac:dyDescent="0.3">
      <c r="A86" s="217">
        <v>82</v>
      </c>
      <c r="B86" s="217" t="s">
        <v>4299</v>
      </c>
      <c r="C86" s="218">
        <v>46260</v>
      </c>
      <c r="D86" s="219" t="s">
        <v>4300</v>
      </c>
      <c r="E86" s="218">
        <v>46260</v>
      </c>
      <c r="F86" s="219" t="s">
        <v>4301</v>
      </c>
      <c r="G86" s="220" t="s">
        <v>840</v>
      </c>
      <c r="H86" s="221">
        <v>13800</v>
      </c>
      <c r="I86" s="221">
        <v>30600</v>
      </c>
      <c r="J86" s="221">
        <v>16800</v>
      </c>
    </row>
    <row r="87" spans="1:10" x14ac:dyDescent="0.3">
      <c r="A87" s="217">
        <v>83</v>
      </c>
      <c r="B87" s="217" t="s">
        <v>4303</v>
      </c>
      <c r="C87" s="218">
        <v>46260</v>
      </c>
      <c r="D87" s="219" t="s">
        <v>4304</v>
      </c>
      <c r="E87" s="218">
        <v>46260</v>
      </c>
      <c r="F87" s="219" t="s">
        <v>4305</v>
      </c>
      <c r="G87" s="220" t="s">
        <v>80</v>
      </c>
      <c r="H87" s="221">
        <v>14150</v>
      </c>
      <c r="I87" s="221">
        <v>31040</v>
      </c>
      <c r="J87" s="221">
        <v>16890</v>
      </c>
    </row>
    <row r="88" spans="1:10" x14ac:dyDescent="0.3">
      <c r="A88" s="217">
        <v>84</v>
      </c>
      <c r="B88" s="217" t="s">
        <v>4307</v>
      </c>
      <c r="C88" s="218">
        <v>46260</v>
      </c>
      <c r="D88" s="219" t="s">
        <v>4308</v>
      </c>
      <c r="E88" s="218">
        <v>46260</v>
      </c>
      <c r="F88" s="219" t="s">
        <v>4309</v>
      </c>
      <c r="G88" s="220" t="s">
        <v>540</v>
      </c>
      <c r="H88" s="221">
        <v>13830</v>
      </c>
      <c r="I88" s="221">
        <v>31000</v>
      </c>
      <c r="J88" s="221">
        <v>17170</v>
      </c>
    </row>
    <row r="89" spans="1:10" x14ac:dyDescent="0.3">
      <c r="A89" s="217">
        <v>85</v>
      </c>
      <c r="B89" s="217" t="s">
        <v>4311</v>
      </c>
      <c r="C89" s="218">
        <v>46260</v>
      </c>
      <c r="D89" s="219" t="s">
        <v>4312</v>
      </c>
      <c r="E89" s="218">
        <v>46260</v>
      </c>
      <c r="F89" s="219" t="s">
        <v>4313</v>
      </c>
      <c r="G89" s="220" t="s">
        <v>335</v>
      </c>
      <c r="H89" s="221">
        <v>13720</v>
      </c>
      <c r="I89" s="221">
        <v>31570</v>
      </c>
      <c r="J89" s="221">
        <v>17850</v>
      </c>
    </row>
    <row r="90" spans="1:10" x14ac:dyDescent="0.3">
      <c r="A90" s="217">
        <v>86</v>
      </c>
      <c r="B90" s="217" t="s">
        <v>4315</v>
      </c>
      <c r="C90" s="218">
        <v>46260</v>
      </c>
      <c r="D90" s="219" t="s">
        <v>4316</v>
      </c>
      <c r="E90" s="218">
        <v>46260</v>
      </c>
      <c r="F90" s="219" t="s">
        <v>4317</v>
      </c>
      <c r="G90" s="220" t="s">
        <v>64</v>
      </c>
      <c r="H90" s="221">
        <v>13980</v>
      </c>
      <c r="I90" s="221">
        <v>31270</v>
      </c>
      <c r="J90" s="221">
        <v>17290</v>
      </c>
    </row>
    <row r="91" spans="1:10" x14ac:dyDescent="0.3">
      <c r="A91" s="217">
        <v>87</v>
      </c>
      <c r="B91" s="217" t="s">
        <v>4319</v>
      </c>
      <c r="C91" s="218">
        <v>46260</v>
      </c>
      <c r="D91" s="219" t="s">
        <v>4320</v>
      </c>
      <c r="E91" s="218">
        <v>46260</v>
      </c>
      <c r="F91" s="219" t="s">
        <v>4321</v>
      </c>
      <c r="G91" s="220" t="s">
        <v>71</v>
      </c>
      <c r="H91" s="221">
        <v>13720</v>
      </c>
      <c r="I91" s="221">
        <v>31550</v>
      </c>
      <c r="J91" s="221">
        <v>17830</v>
      </c>
    </row>
    <row r="92" spans="1:10" x14ac:dyDescent="0.3">
      <c r="A92" s="217">
        <v>88</v>
      </c>
      <c r="B92" s="217" t="s">
        <v>4323</v>
      </c>
      <c r="C92" s="218">
        <v>46260</v>
      </c>
      <c r="D92" s="219" t="s">
        <v>4324</v>
      </c>
      <c r="E92" s="218">
        <v>46260</v>
      </c>
      <c r="F92" s="219" t="s">
        <v>4325</v>
      </c>
      <c r="G92" s="220" t="s">
        <v>143</v>
      </c>
      <c r="H92" s="221">
        <v>13980</v>
      </c>
      <c r="I92" s="221">
        <v>31620</v>
      </c>
      <c r="J92" s="221">
        <v>17640</v>
      </c>
    </row>
    <row r="93" spans="1:10" x14ac:dyDescent="0.3">
      <c r="A93" s="217">
        <v>89</v>
      </c>
      <c r="B93" s="217" t="s">
        <v>4327</v>
      </c>
      <c r="C93" s="218">
        <v>46260</v>
      </c>
      <c r="D93" s="219" t="s">
        <v>4328</v>
      </c>
      <c r="E93" s="218">
        <v>46260</v>
      </c>
      <c r="F93" s="219" t="s">
        <v>4329</v>
      </c>
      <c r="G93" s="220" t="s">
        <v>336</v>
      </c>
      <c r="H93" s="221">
        <v>13630</v>
      </c>
      <c r="I93" s="221">
        <v>30750</v>
      </c>
      <c r="J93" s="221">
        <v>17120</v>
      </c>
    </row>
    <row r="94" spans="1:10" x14ac:dyDescent="0.3">
      <c r="A94" s="217">
        <v>90</v>
      </c>
      <c r="B94" s="217" t="s">
        <v>4331</v>
      </c>
      <c r="C94" s="218">
        <v>46260</v>
      </c>
      <c r="D94" s="219" t="s">
        <v>4332</v>
      </c>
      <c r="E94" s="218">
        <v>46260</v>
      </c>
      <c r="F94" s="219" t="s">
        <v>4333</v>
      </c>
      <c r="G94" s="220" t="s">
        <v>76</v>
      </c>
      <c r="H94" s="221">
        <v>13880</v>
      </c>
      <c r="I94" s="221">
        <v>30750</v>
      </c>
      <c r="J94" s="221">
        <v>16870</v>
      </c>
    </row>
    <row r="95" spans="1:10" x14ac:dyDescent="0.3">
      <c r="A95" s="217">
        <v>91</v>
      </c>
      <c r="B95" s="217" t="s">
        <v>4335</v>
      </c>
      <c r="C95" s="218">
        <v>46260</v>
      </c>
      <c r="D95" s="219" t="s">
        <v>4336</v>
      </c>
      <c r="E95" s="218">
        <v>46260</v>
      </c>
      <c r="F95" s="219" t="s">
        <v>4337</v>
      </c>
      <c r="G95" s="220" t="s">
        <v>43</v>
      </c>
      <c r="H95" s="221">
        <v>13850</v>
      </c>
      <c r="I95" s="221">
        <v>30730</v>
      </c>
      <c r="J95" s="221">
        <v>16880</v>
      </c>
    </row>
    <row r="96" spans="1:10" x14ac:dyDescent="0.3">
      <c r="A96" s="217">
        <v>92</v>
      </c>
      <c r="B96" s="217" t="s">
        <v>4339</v>
      </c>
      <c r="C96" s="218">
        <v>46260</v>
      </c>
      <c r="D96" s="219" t="s">
        <v>4340</v>
      </c>
      <c r="E96" s="218">
        <v>46260</v>
      </c>
      <c r="F96" s="219" t="s">
        <v>4341</v>
      </c>
      <c r="G96" s="220" t="s">
        <v>843</v>
      </c>
      <c r="H96" s="221">
        <v>14050</v>
      </c>
      <c r="I96" s="221">
        <v>31580</v>
      </c>
      <c r="J96" s="221">
        <v>17530</v>
      </c>
    </row>
    <row r="97" spans="1:10" x14ac:dyDescent="0.3">
      <c r="A97" s="217">
        <v>93</v>
      </c>
      <c r="B97" s="217" t="s">
        <v>4343</v>
      </c>
      <c r="C97" s="218">
        <v>46260</v>
      </c>
      <c r="D97" s="219" t="s">
        <v>4344</v>
      </c>
      <c r="E97" s="218">
        <v>46260</v>
      </c>
      <c r="F97" s="219" t="s">
        <v>4345</v>
      </c>
      <c r="G97" s="220" t="s">
        <v>90</v>
      </c>
      <c r="H97" s="221">
        <v>13970</v>
      </c>
      <c r="I97" s="221">
        <v>31260</v>
      </c>
      <c r="J97" s="221">
        <v>17290</v>
      </c>
    </row>
    <row r="98" spans="1:10" x14ac:dyDescent="0.3">
      <c r="A98" s="217">
        <v>94</v>
      </c>
      <c r="B98" s="217" t="s">
        <v>4347</v>
      </c>
      <c r="C98" s="218">
        <v>46260</v>
      </c>
      <c r="D98" s="219" t="s">
        <v>4348</v>
      </c>
      <c r="E98" s="218">
        <v>46260</v>
      </c>
      <c r="F98" s="219" t="s">
        <v>4349</v>
      </c>
      <c r="G98" s="220" t="s">
        <v>55</v>
      </c>
      <c r="H98" s="221">
        <v>13780</v>
      </c>
      <c r="I98" s="221">
        <v>30810</v>
      </c>
      <c r="J98" s="221">
        <v>17030</v>
      </c>
    </row>
    <row r="99" spans="1:10" x14ac:dyDescent="0.3">
      <c r="A99" s="217">
        <v>95</v>
      </c>
      <c r="B99" s="217" t="s">
        <v>4351</v>
      </c>
      <c r="C99" s="218">
        <v>46260</v>
      </c>
      <c r="D99" s="219" t="s">
        <v>4352</v>
      </c>
      <c r="E99" s="218">
        <v>46260</v>
      </c>
      <c r="F99" s="219" t="s">
        <v>783</v>
      </c>
      <c r="G99" s="220" t="s">
        <v>337</v>
      </c>
      <c r="H99" s="221">
        <v>14000</v>
      </c>
      <c r="I99" s="221">
        <v>31780</v>
      </c>
      <c r="J99" s="221">
        <v>17780</v>
      </c>
    </row>
    <row r="100" spans="1:10" x14ac:dyDescent="0.3">
      <c r="A100" s="217">
        <v>96</v>
      </c>
      <c r="B100" s="217" t="s">
        <v>4354</v>
      </c>
      <c r="C100" s="218">
        <v>46260</v>
      </c>
      <c r="D100" s="219" t="s">
        <v>691</v>
      </c>
      <c r="E100" s="218">
        <v>46260</v>
      </c>
      <c r="F100" s="219" t="s">
        <v>4355</v>
      </c>
      <c r="G100" s="220" t="s">
        <v>842</v>
      </c>
      <c r="H100" s="221">
        <v>14030</v>
      </c>
      <c r="I100" s="221">
        <v>31860</v>
      </c>
      <c r="J100" s="221">
        <v>17830</v>
      </c>
    </row>
    <row r="101" spans="1:10" x14ac:dyDescent="0.3">
      <c r="A101" s="217">
        <v>97</v>
      </c>
      <c r="B101" s="217" t="s">
        <v>4357</v>
      </c>
      <c r="C101" s="218">
        <v>46260</v>
      </c>
      <c r="D101" s="219" t="s">
        <v>4358</v>
      </c>
      <c r="E101" s="218">
        <v>46260</v>
      </c>
      <c r="F101" s="219" t="s">
        <v>4359</v>
      </c>
      <c r="G101" s="220" t="s">
        <v>85</v>
      </c>
      <c r="H101" s="221">
        <v>13980</v>
      </c>
      <c r="I101" s="221">
        <v>32160</v>
      </c>
      <c r="J101" s="221">
        <v>18180</v>
      </c>
    </row>
    <row r="102" spans="1:10" x14ac:dyDescent="0.3">
      <c r="A102" s="217">
        <v>98</v>
      </c>
      <c r="B102" s="217" t="s">
        <v>4361</v>
      </c>
      <c r="C102" s="218">
        <v>46260</v>
      </c>
      <c r="D102" s="219" t="s">
        <v>4362</v>
      </c>
      <c r="E102" s="218">
        <v>46260</v>
      </c>
      <c r="F102" s="219" t="s">
        <v>4363</v>
      </c>
      <c r="G102" s="220" t="s">
        <v>537</v>
      </c>
      <c r="H102" s="221">
        <v>13920</v>
      </c>
      <c r="I102" s="221">
        <v>31550</v>
      </c>
      <c r="J102" s="221">
        <v>17630</v>
      </c>
    </row>
    <row r="103" spans="1:10" x14ac:dyDescent="0.3">
      <c r="A103" s="217">
        <v>99</v>
      </c>
      <c r="B103" s="217" t="s">
        <v>4365</v>
      </c>
      <c r="C103" s="218">
        <v>46260</v>
      </c>
      <c r="D103" s="219" t="s">
        <v>4366</v>
      </c>
      <c r="E103" s="218">
        <v>46260</v>
      </c>
      <c r="F103" s="219" t="s">
        <v>4367</v>
      </c>
      <c r="G103" s="220" t="s">
        <v>840</v>
      </c>
      <c r="H103" s="221">
        <v>13780</v>
      </c>
      <c r="I103" s="221">
        <v>31710</v>
      </c>
      <c r="J103" s="221">
        <v>17930</v>
      </c>
    </row>
    <row r="104" spans="1:10" x14ac:dyDescent="0.3">
      <c r="A104" s="217">
        <v>100</v>
      </c>
      <c r="B104" s="217" t="s">
        <v>4369</v>
      </c>
      <c r="C104" s="218">
        <v>46260</v>
      </c>
      <c r="D104" s="219" t="s">
        <v>4370</v>
      </c>
      <c r="E104" s="218">
        <v>46260</v>
      </c>
      <c r="F104" s="219" t="s">
        <v>4371</v>
      </c>
      <c r="G104" s="220" t="s">
        <v>540</v>
      </c>
      <c r="H104" s="221">
        <v>13800</v>
      </c>
      <c r="I104" s="221">
        <v>31300</v>
      </c>
      <c r="J104" s="221">
        <v>17500</v>
      </c>
    </row>
    <row r="105" spans="1:10" x14ac:dyDescent="0.3">
      <c r="A105" s="217">
        <v>101</v>
      </c>
      <c r="B105" s="217" t="s">
        <v>4373</v>
      </c>
      <c r="C105" s="218">
        <v>46260</v>
      </c>
      <c r="D105" s="219" t="s">
        <v>4374</v>
      </c>
      <c r="E105" s="218">
        <v>46260</v>
      </c>
      <c r="F105" s="219" t="s">
        <v>4375</v>
      </c>
      <c r="G105" s="220" t="s">
        <v>80</v>
      </c>
      <c r="H105" s="221">
        <v>14100</v>
      </c>
      <c r="I105" s="221">
        <v>31730</v>
      </c>
      <c r="J105" s="221">
        <v>17630</v>
      </c>
    </row>
    <row r="106" spans="1:10" x14ac:dyDescent="0.3">
      <c r="A106" s="217">
        <v>102</v>
      </c>
      <c r="B106" s="217" t="s">
        <v>4377</v>
      </c>
      <c r="C106" s="218">
        <v>46260</v>
      </c>
      <c r="D106" s="219" t="s">
        <v>4378</v>
      </c>
      <c r="E106" s="218">
        <v>46260</v>
      </c>
      <c r="F106" s="219" t="s">
        <v>4379</v>
      </c>
      <c r="G106" s="220" t="s">
        <v>143</v>
      </c>
      <c r="H106" s="221">
        <v>13980</v>
      </c>
      <c r="I106" s="221">
        <v>30900</v>
      </c>
      <c r="J106" s="221">
        <v>16920</v>
      </c>
    </row>
    <row r="107" spans="1:10" x14ac:dyDescent="0.3">
      <c r="A107" s="217">
        <v>103</v>
      </c>
      <c r="B107" s="217" t="s">
        <v>4381</v>
      </c>
      <c r="C107" s="218">
        <v>46260</v>
      </c>
      <c r="D107" s="219" t="s">
        <v>4382</v>
      </c>
      <c r="E107" s="218">
        <v>46260</v>
      </c>
      <c r="F107" s="219" t="s">
        <v>4383</v>
      </c>
      <c r="G107" s="220" t="s">
        <v>335</v>
      </c>
      <c r="H107" s="221">
        <v>13990</v>
      </c>
      <c r="I107" s="221">
        <v>31410</v>
      </c>
      <c r="J107" s="221">
        <v>17420</v>
      </c>
    </row>
    <row r="108" spans="1:10" x14ac:dyDescent="0.3">
      <c r="A108" s="217">
        <v>104</v>
      </c>
      <c r="B108" s="217" t="s">
        <v>4385</v>
      </c>
      <c r="C108" s="218">
        <v>46260</v>
      </c>
      <c r="D108" s="219" t="s">
        <v>4386</v>
      </c>
      <c r="E108" s="218">
        <v>46260</v>
      </c>
      <c r="F108" s="219" t="s">
        <v>4387</v>
      </c>
      <c r="G108" s="220" t="s">
        <v>64</v>
      </c>
      <c r="H108" s="221">
        <v>13960</v>
      </c>
      <c r="I108" s="221">
        <v>31820</v>
      </c>
      <c r="J108" s="221">
        <v>17860</v>
      </c>
    </row>
    <row r="109" spans="1:10" x14ac:dyDescent="0.3">
      <c r="A109" s="217">
        <v>105</v>
      </c>
      <c r="B109" s="217" t="s">
        <v>4389</v>
      </c>
      <c r="C109" s="218">
        <v>46260</v>
      </c>
      <c r="D109" s="219" t="s">
        <v>4390</v>
      </c>
      <c r="E109" s="218">
        <v>46260</v>
      </c>
      <c r="F109" s="219" t="s">
        <v>4391</v>
      </c>
      <c r="G109" s="220" t="s">
        <v>76</v>
      </c>
      <c r="H109" s="221">
        <v>13840</v>
      </c>
      <c r="I109" s="221">
        <v>31190</v>
      </c>
      <c r="J109" s="221">
        <v>17350</v>
      </c>
    </row>
    <row r="110" spans="1:10" x14ac:dyDescent="0.3">
      <c r="A110" s="217">
        <v>106</v>
      </c>
      <c r="B110" s="217" t="s">
        <v>4393</v>
      </c>
      <c r="C110" s="218">
        <v>46260</v>
      </c>
      <c r="D110" s="219" t="s">
        <v>4394</v>
      </c>
      <c r="E110" s="218">
        <v>46260</v>
      </c>
      <c r="F110" s="219" t="s">
        <v>4395</v>
      </c>
      <c r="G110" s="220" t="s">
        <v>336</v>
      </c>
      <c r="H110" s="221">
        <v>13910</v>
      </c>
      <c r="I110" s="221">
        <v>31400</v>
      </c>
      <c r="J110" s="221">
        <v>17490</v>
      </c>
    </row>
    <row r="111" spans="1:10" x14ac:dyDescent="0.3">
      <c r="A111" s="217">
        <v>107</v>
      </c>
      <c r="B111" s="217" t="s">
        <v>4397</v>
      </c>
      <c r="C111" s="218">
        <v>46260</v>
      </c>
      <c r="D111" s="219" t="s">
        <v>4398</v>
      </c>
      <c r="E111" s="218">
        <v>46260</v>
      </c>
      <c r="F111" s="219" t="s">
        <v>4399</v>
      </c>
      <c r="G111" s="220" t="s">
        <v>43</v>
      </c>
      <c r="H111" s="221">
        <v>13810</v>
      </c>
      <c r="I111" s="221">
        <v>31800</v>
      </c>
      <c r="J111" s="221">
        <v>17990</v>
      </c>
    </row>
    <row r="112" spans="1:10" x14ac:dyDescent="0.3">
      <c r="A112" s="217">
        <v>108</v>
      </c>
      <c r="B112" s="217" t="s">
        <v>4401</v>
      </c>
      <c r="C112" s="218">
        <v>46260</v>
      </c>
      <c r="D112" s="219" t="s">
        <v>4402</v>
      </c>
      <c r="E112" s="218">
        <v>46260</v>
      </c>
      <c r="F112" s="219" t="s">
        <v>4403</v>
      </c>
      <c r="G112" s="220" t="s">
        <v>71</v>
      </c>
      <c r="H112" s="221">
        <v>13970</v>
      </c>
      <c r="I112" s="221">
        <v>31930</v>
      </c>
      <c r="J112" s="221">
        <v>17960</v>
      </c>
    </row>
    <row r="113" spans="1:10" x14ac:dyDescent="0.3">
      <c r="A113" s="217">
        <v>109</v>
      </c>
      <c r="B113" s="217" t="s">
        <v>4405</v>
      </c>
      <c r="C113" s="218">
        <v>46260</v>
      </c>
      <c r="D113" s="219" t="s">
        <v>4406</v>
      </c>
      <c r="E113" s="218">
        <v>46260</v>
      </c>
      <c r="F113" s="219" t="s">
        <v>4407</v>
      </c>
      <c r="G113" s="220" t="s">
        <v>90</v>
      </c>
      <c r="H113" s="221">
        <v>13900</v>
      </c>
      <c r="I113" s="221">
        <v>30150</v>
      </c>
      <c r="J113" s="221">
        <v>16250</v>
      </c>
    </row>
    <row r="114" spans="1:10" x14ac:dyDescent="0.3">
      <c r="A114" s="217">
        <v>110</v>
      </c>
      <c r="B114" s="217" t="s">
        <v>4409</v>
      </c>
      <c r="C114" s="218">
        <v>46260</v>
      </c>
      <c r="D114" s="219" t="s">
        <v>4410</v>
      </c>
      <c r="E114" s="218">
        <v>46260</v>
      </c>
      <c r="F114" s="219" t="s">
        <v>4411</v>
      </c>
      <c r="G114" s="220" t="s">
        <v>85</v>
      </c>
      <c r="H114" s="221">
        <v>13970</v>
      </c>
      <c r="I114" s="221">
        <v>31020</v>
      </c>
      <c r="J114" s="221">
        <v>17050</v>
      </c>
    </row>
    <row r="115" spans="1:10" x14ac:dyDescent="0.3">
      <c r="A115" s="217">
        <v>111</v>
      </c>
      <c r="B115" s="217" t="s">
        <v>4413</v>
      </c>
      <c r="C115" s="218">
        <v>46260</v>
      </c>
      <c r="D115" s="219" t="s">
        <v>4414</v>
      </c>
      <c r="E115" s="218">
        <v>46260</v>
      </c>
      <c r="F115" s="219" t="s">
        <v>4415</v>
      </c>
      <c r="G115" s="220" t="s">
        <v>55</v>
      </c>
      <c r="H115" s="221">
        <v>13760</v>
      </c>
      <c r="I115" s="221">
        <v>30780</v>
      </c>
      <c r="J115" s="221">
        <v>17020</v>
      </c>
    </row>
    <row r="116" spans="1:10" x14ac:dyDescent="0.3">
      <c r="A116" s="217">
        <v>112</v>
      </c>
      <c r="B116" s="217" t="s">
        <v>4417</v>
      </c>
      <c r="C116" s="218">
        <v>46260</v>
      </c>
      <c r="D116" s="219" t="s">
        <v>4418</v>
      </c>
      <c r="E116" s="218">
        <v>46260</v>
      </c>
      <c r="F116" s="219" t="s">
        <v>4419</v>
      </c>
      <c r="G116" s="220" t="s">
        <v>843</v>
      </c>
      <c r="H116" s="221">
        <v>14010</v>
      </c>
      <c r="I116" s="221">
        <v>30780</v>
      </c>
      <c r="J116" s="221">
        <v>16770</v>
      </c>
    </row>
    <row r="117" spans="1:10" x14ac:dyDescent="0.3">
      <c r="A117" s="217">
        <v>113</v>
      </c>
      <c r="B117" s="217" t="s">
        <v>4421</v>
      </c>
      <c r="C117" s="218">
        <v>46260</v>
      </c>
      <c r="D117" s="219" t="s">
        <v>4422</v>
      </c>
      <c r="E117" s="218">
        <v>46260</v>
      </c>
      <c r="F117" s="219" t="s">
        <v>4423</v>
      </c>
      <c r="G117" s="220" t="s">
        <v>540</v>
      </c>
      <c r="H117" s="221">
        <v>13760</v>
      </c>
      <c r="I117" s="221">
        <v>30990</v>
      </c>
      <c r="J117" s="221">
        <v>17230</v>
      </c>
    </row>
    <row r="118" spans="1:10" x14ac:dyDescent="0.3">
      <c r="A118" s="217">
        <v>114</v>
      </c>
      <c r="B118" s="217" t="s">
        <v>4425</v>
      </c>
      <c r="C118" s="218">
        <v>46261</v>
      </c>
      <c r="D118" s="219" t="s">
        <v>4426</v>
      </c>
      <c r="E118" s="218">
        <v>46261</v>
      </c>
      <c r="F118" s="219" t="s">
        <v>4427</v>
      </c>
      <c r="G118" s="220" t="s">
        <v>842</v>
      </c>
      <c r="H118" s="221">
        <v>13980</v>
      </c>
      <c r="I118" s="221">
        <v>31280</v>
      </c>
      <c r="J118" s="221">
        <v>17300</v>
      </c>
    </row>
    <row r="119" spans="1:10" x14ac:dyDescent="0.3">
      <c r="A119" s="217">
        <v>115</v>
      </c>
      <c r="B119" s="217" t="s">
        <v>4429</v>
      </c>
      <c r="C119" s="218">
        <v>46261</v>
      </c>
      <c r="D119" s="219" t="s">
        <v>4430</v>
      </c>
      <c r="E119" s="218">
        <v>46261</v>
      </c>
      <c r="F119" s="219" t="s">
        <v>4431</v>
      </c>
      <c r="G119" s="220" t="s">
        <v>337</v>
      </c>
      <c r="H119" s="221">
        <v>13960</v>
      </c>
      <c r="I119" s="221">
        <v>31640</v>
      </c>
      <c r="J119" s="221">
        <v>17680</v>
      </c>
    </row>
    <row r="120" spans="1:10" x14ac:dyDescent="0.3">
      <c r="A120" s="217">
        <v>116</v>
      </c>
      <c r="B120" s="217" t="s">
        <v>4433</v>
      </c>
      <c r="C120" s="218">
        <v>46261</v>
      </c>
      <c r="D120" s="219" t="s">
        <v>4434</v>
      </c>
      <c r="E120" s="218">
        <v>46261</v>
      </c>
      <c r="F120" s="219" t="s">
        <v>4435</v>
      </c>
      <c r="G120" s="220" t="s">
        <v>537</v>
      </c>
      <c r="H120" s="221">
        <v>13870</v>
      </c>
      <c r="I120" s="221">
        <v>31230</v>
      </c>
      <c r="J120" s="221">
        <v>17360</v>
      </c>
    </row>
    <row r="121" spans="1:10" x14ac:dyDescent="0.3">
      <c r="A121" s="217">
        <v>117</v>
      </c>
      <c r="B121" s="217" t="s">
        <v>4437</v>
      </c>
      <c r="C121" s="218">
        <v>46261</v>
      </c>
      <c r="D121" s="219" t="s">
        <v>4438</v>
      </c>
      <c r="E121" s="218">
        <v>46261</v>
      </c>
      <c r="F121" s="219" t="s">
        <v>4439</v>
      </c>
      <c r="G121" s="220" t="s">
        <v>80</v>
      </c>
      <c r="H121" s="221">
        <v>14020</v>
      </c>
      <c r="I121" s="221">
        <v>31240</v>
      </c>
      <c r="J121" s="221">
        <v>17220</v>
      </c>
    </row>
    <row r="122" spans="1:10" x14ac:dyDescent="0.3">
      <c r="A122" s="217">
        <v>118</v>
      </c>
      <c r="B122" s="217" t="s">
        <v>4441</v>
      </c>
      <c r="C122" s="218">
        <v>46261</v>
      </c>
      <c r="D122" s="219" t="s">
        <v>4442</v>
      </c>
      <c r="E122" s="218">
        <v>46261</v>
      </c>
      <c r="F122" s="219" t="s">
        <v>4443</v>
      </c>
      <c r="G122" s="220" t="s">
        <v>71</v>
      </c>
      <c r="H122" s="221">
        <v>13950</v>
      </c>
      <c r="I122" s="221">
        <v>32120</v>
      </c>
      <c r="J122" s="221">
        <v>18170</v>
      </c>
    </row>
    <row r="123" spans="1:10" x14ac:dyDescent="0.3">
      <c r="A123" s="217">
        <v>119</v>
      </c>
      <c r="B123" s="217" t="s">
        <v>4445</v>
      </c>
      <c r="C123" s="218">
        <v>46261</v>
      </c>
      <c r="D123" s="219" t="s">
        <v>4446</v>
      </c>
      <c r="E123" s="218">
        <v>46261</v>
      </c>
      <c r="F123" s="219" t="s">
        <v>4447</v>
      </c>
      <c r="G123" s="220" t="s">
        <v>85</v>
      </c>
      <c r="H123" s="221">
        <v>13900</v>
      </c>
      <c r="I123" s="221">
        <v>31780</v>
      </c>
      <c r="J123" s="221">
        <v>17880</v>
      </c>
    </row>
    <row r="124" spans="1:10" x14ac:dyDescent="0.3">
      <c r="A124" s="217">
        <v>120</v>
      </c>
      <c r="B124" s="217" t="s">
        <v>4449</v>
      </c>
      <c r="C124" s="218">
        <v>46261</v>
      </c>
      <c r="D124" s="219" t="s">
        <v>2679</v>
      </c>
      <c r="E124" s="218">
        <v>46261</v>
      </c>
      <c r="F124" s="219" t="s">
        <v>4450</v>
      </c>
      <c r="G124" s="220" t="s">
        <v>55</v>
      </c>
      <c r="H124" s="221">
        <v>13720</v>
      </c>
      <c r="I124" s="221">
        <v>32130</v>
      </c>
      <c r="J124" s="221">
        <v>18410</v>
      </c>
    </row>
    <row r="125" spans="1:10" x14ac:dyDescent="0.3">
      <c r="A125" s="217">
        <v>121</v>
      </c>
      <c r="B125" s="217" t="s">
        <v>4452</v>
      </c>
      <c r="C125" s="218">
        <v>46261</v>
      </c>
      <c r="D125" s="219" t="s">
        <v>4453</v>
      </c>
      <c r="E125" s="218">
        <v>46261</v>
      </c>
      <c r="F125" s="219" t="s">
        <v>4454</v>
      </c>
      <c r="G125" s="220" t="s">
        <v>143</v>
      </c>
      <c r="H125" s="221">
        <v>13910</v>
      </c>
      <c r="I125" s="221">
        <v>30570</v>
      </c>
      <c r="J125" s="221">
        <v>16660</v>
      </c>
    </row>
    <row r="126" spans="1:10" x14ac:dyDescent="0.3">
      <c r="A126" s="217">
        <v>122</v>
      </c>
      <c r="B126" s="217" t="s">
        <v>4456</v>
      </c>
      <c r="C126" s="218">
        <v>46261</v>
      </c>
      <c r="D126" s="219" t="s">
        <v>4457</v>
      </c>
      <c r="E126" s="218">
        <v>46261</v>
      </c>
      <c r="F126" s="219" t="s">
        <v>670</v>
      </c>
      <c r="G126" s="220" t="s">
        <v>335</v>
      </c>
      <c r="H126" s="221">
        <v>13920</v>
      </c>
      <c r="I126" s="221">
        <v>31550</v>
      </c>
      <c r="J126" s="221">
        <v>17630</v>
      </c>
    </row>
    <row r="127" spans="1:10" x14ac:dyDescent="0.3">
      <c r="A127" s="217">
        <v>123</v>
      </c>
      <c r="B127" s="217" t="s">
        <v>4459</v>
      </c>
      <c r="C127" s="218">
        <v>46261</v>
      </c>
      <c r="D127" s="219" t="s">
        <v>4460</v>
      </c>
      <c r="E127" s="218">
        <v>46261</v>
      </c>
      <c r="F127" s="219" t="s">
        <v>4461</v>
      </c>
      <c r="G127" s="220" t="s">
        <v>64</v>
      </c>
      <c r="H127" s="221">
        <v>13920</v>
      </c>
      <c r="I127" s="221">
        <v>31270</v>
      </c>
      <c r="J127" s="221">
        <v>17350</v>
      </c>
    </row>
    <row r="128" spans="1:10" x14ac:dyDescent="0.3">
      <c r="A128" s="217">
        <v>124</v>
      </c>
      <c r="B128" s="217" t="s">
        <v>4463</v>
      </c>
      <c r="C128" s="218">
        <v>46261</v>
      </c>
      <c r="D128" s="219" t="s">
        <v>4464</v>
      </c>
      <c r="E128" s="218">
        <v>46261</v>
      </c>
      <c r="F128" s="219" t="s">
        <v>4465</v>
      </c>
      <c r="G128" s="220" t="s">
        <v>842</v>
      </c>
      <c r="H128" s="221">
        <v>13950</v>
      </c>
      <c r="I128" s="221">
        <v>30140</v>
      </c>
      <c r="J128" s="221">
        <v>16190</v>
      </c>
    </row>
    <row r="129" spans="1:10" x14ac:dyDescent="0.3">
      <c r="A129" s="217">
        <v>125</v>
      </c>
      <c r="B129" s="217" t="s">
        <v>4467</v>
      </c>
      <c r="C129" s="218">
        <v>46261</v>
      </c>
      <c r="D129" s="219" t="s">
        <v>4468</v>
      </c>
      <c r="E129" s="218">
        <v>46261</v>
      </c>
      <c r="F129" s="219" t="s">
        <v>4469</v>
      </c>
      <c r="G129" s="220" t="s">
        <v>90</v>
      </c>
      <c r="H129" s="221">
        <v>13910</v>
      </c>
      <c r="I129" s="221">
        <v>31170</v>
      </c>
      <c r="J129" s="221">
        <v>17260</v>
      </c>
    </row>
    <row r="130" spans="1:10" x14ac:dyDescent="0.3">
      <c r="A130" s="217">
        <v>126</v>
      </c>
      <c r="B130" s="217" t="s">
        <v>4471</v>
      </c>
      <c r="C130" s="218">
        <v>46261</v>
      </c>
      <c r="D130" s="219" t="s">
        <v>4472</v>
      </c>
      <c r="E130" s="218">
        <v>46261</v>
      </c>
      <c r="F130" s="219" t="s">
        <v>4473</v>
      </c>
      <c r="G130" s="220" t="s">
        <v>540</v>
      </c>
      <c r="H130" s="221">
        <v>13730</v>
      </c>
      <c r="I130" s="221">
        <v>31090</v>
      </c>
      <c r="J130" s="221">
        <v>17360</v>
      </c>
    </row>
    <row r="131" spans="1:10" x14ac:dyDescent="0.3">
      <c r="A131" s="217">
        <v>127</v>
      </c>
      <c r="B131" s="217" t="s">
        <v>4475</v>
      </c>
      <c r="C131" s="218">
        <v>46261</v>
      </c>
      <c r="D131" s="219" t="s">
        <v>4476</v>
      </c>
      <c r="E131" s="218">
        <v>46261</v>
      </c>
      <c r="F131" s="219" t="s">
        <v>4477</v>
      </c>
      <c r="G131" s="220" t="s">
        <v>76</v>
      </c>
      <c r="H131" s="221">
        <v>13820</v>
      </c>
      <c r="I131" s="221">
        <v>30850</v>
      </c>
      <c r="J131" s="221">
        <v>17030</v>
      </c>
    </row>
    <row r="132" spans="1:10" x14ac:dyDescent="0.3">
      <c r="A132" s="217">
        <v>128</v>
      </c>
      <c r="B132" s="217" t="s">
        <v>4479</v>
      </c>
      <c r="C132" s="218">
        <v>46261</v>
      </c>
      <c r="D132" s="219" t="s">
        <v>4480</v>
      </c>
      <c r="E132" s="218">
        <v>46261</v>
      </c>
      <c r="F132" s="219" t="s">
        <v>4481</v>
      </c>
      <c r="G132" s="220" t="s">
        <v>43</v>
      </c>
      <c r="H132" s="221">
        <v>13780</v>
      </c>
      <c r="I132" s="221">
        <v>30660</v>
      </c>
      <c r="J132" s="221">
        <v>16880</v>
      </c>
    </row>
    <row r="133" spans="1:10" x14ac:dyDescent="0.3">
      <c r="A133" s="217">
        <v>129</v>
      </c>
      <c r="B133" s="217" t="s">
        <v>4483</v>
      </c>
      <c r="C133" s="218">
        <v>46261</v>
      </c>
      <c r="D133" s="219" t="s">
        <v>4484</v>
      </c>
      <c r="E133" s="218">
        <v>46261</v>
      </c>
      <c r="F133" s="219" t="s">
        <v>4485</v>
      </c>
      <c r="G133" s="220" t="s">
        <v>843</v>
      </c>
      <c r="H133" s="221">
        <v>13970</v>
      </c>
      <c r="I133" s="221">
        <v>31050</v>
      </c>
      <c r="J133" s="221">
        <v>17080</v>
      </c>
    </row>
    <row r="134" spans="1:10" x14ac:dyDescent="0.3">
      <c r="A134" s="217">
        <v>130</v>
      </c>
      <c r="B134" s="217" t="s">
        <v>4487</v>
      </c>
      <c r="C134" s="218">
        <v>46261</v>
      </c>
      <c r="D134" s="219" t="s">
        <v>4488</v>
      </c>
      <c r="E134" s="218">
        <v>46261</v>
      </c>
      <c r="F134" s="219" t="s">
        <v>4489</v>
      </c>
      <c r="G134" s="220" t="s">
        <v>537</v>
      </c>
      <c r="H134" s="221">
        <v>13840</v>
      </c>
      <c r="I134" s="221">
        <v>30720</v>
      </c>
      <c r="J134" s="221">
        <v>16880</v>
      </c>
    </row>
    <row r="135" spans="1:10" x14ac:dyDescent="0.3">
      <c r="A135" s="217">
        <v>131</v>
      </c>
      <c r="B135" s="217" t="s">
        <v>4491</v>
      </c>
      <c r="C135" s="218">
        <v>46261</v>
      </c>
      <c r="D135" s="219" t="s">
        <v>4492</v>
      </c>
      <c r="E135" s="218">
        <v>46261</v>
      </c>
      <c r="F135" s="219" t="s">
        <v>4493</v>
      </c>
      <c r="G135" s="220" t="s">
        <v>337</v>
      </c>
      <c r="H135" s="221">
        <v>13930</v>
      </c>
      <c r="I135" s="221">
        <v>32090</v>
      </c>
      <c r="J135" s="221">
        <v>18160</v>
      </c>
    </row>
    <row r="136" spans="1:10" x14ac:dyDescent="0.3">
      <c r="A136" s="217">
        <v>132</v>
      </c>
      <c r="B136" s="217" t="s">
        <v>4495</v>
      </c>
      <c r="C136" s="218">
        <v>46261</v>
      </c>
      <c r="D136" s="219" t="s">
        <v>4496</v>
      </c>
      <c r="E136" s="218">
        <v>46261</v>
      </c>
      <c r="F136" s="219" t="s">
        <v>4497</v>
      </c>
      <c r="G136" s="220" t="s">
        <v>336</v>
      </c>
      <c r="H136" s="221">
        <v>13870</v>
      </c>
      <c r="I136" s="221">
        <v>31200</v>
      </c>
      <c r="J136" s="221">
        <v>17330</v>
      </c>
    </row>
    <row r="137" spans="1:10" x14ac:dyDescent="0.3">
      <c r="A137" s="217">
        <v>133</v>
      </c>
      <c r="B137" s="217" t="s">
        <v>4499</v>
      </c>
      <c r="C137" s="218">
        <v>46261</v>
      </c>
      <c r="D137" s="219" t="s">
        <v>4500</v>
      </c>
      <c r="E137" s="218">
        <v>46261</v>
      </c>
      <c r="F137" s="219" t="s">
        <v>4501</v>
      </c>
      <c r="G137" s="220" t="s">
        <v>80</v>
      </c>
      <c r="H137" s="221">
        <v>13980</v>
      </c>
      <c r="I137" s="221">
        <v>31440</v>
      </c>
      <c r="J137" s="221">
        <v>17460</v>
      </c>
    </row>
    <row r="138" spans="1:10" x14ac:dyDescent="0.3">
      <c r="A138" s="217">
        <v>134</v>
      </c>
      <c r="B138" s="217" t="s">
        <v>4503</v>
      </c>
      <c r="C138" s="218">
        <v>46261</v>
      </c>
      <c r="D138" s="219" t="s">
        <v>4504</v>
      </c>
      <c r="E138" s="218">
        <v>46261</v>
      </c>
      <c r="F138" s="219" t="s">
        <v>4505</v>
      </c>
      <c r="G138" s="220" t="s">
        <v>85</v>
      </c>
      <c r="H138" s="221">
        <v>13910</v>
      </c>
      <c r="I138" s="221">
        <v>30720</v>
      </c>
      <c r="J138" s="221">
        <v>16810</v>
      </c>
    </row>
    <row r="139" spans="1:10" x14ac:dyDescent="0.3">
      <c r="A139" s="217">
        <v>135</v>
      </c>
      <c r="B139" s="217" t="s">
        <v>4507</v>
      </c>
      <c r="C139" s="218">
        <v>46261</v>
      </c>
      <c r="D139" s="219" t="s">
        <v>4508</v>
      </c>
      <c r="E139" s="218">
        <v>46261</v>
      </c>
      <c r="F139" s="219" t="s">
        <v>4509</v>
      </c>
      <c r="G139" s="220" t="s">
        <v>55</v>
      </c>
      <c r="H139" s="221">
        <v>13680</v>
      </c>
      <c r="I139" s="221">
        <v>30380</v>
      </c>
      <c r="J139" s="221">
        <v>16700</v>
      </c>
    </row>
    <row r="140" spans="1:10" x14ac:dyDescent="0.3">
      <c r="A140" s="217">
        <v>136</v>
      </c>
      <c r="B140" s="217" t="s">
        <v>4511</v>
      </c>
      <c r="C140" s="218">
        <v>46261</v>
      </c>
      <c r="D140" s="219" t="s">
        <v>4512</v>
      </c>
      <c r="E140" s="218">
        <v>46261</v>
      </c>
      <c r="F140" s="219" t="s">
        <v>4513</v>
      </c>
      <c r="G140" s="220" t="s">
        <v>71</v>
      </c>
      <c r="H140" s="221">
        <v>13790</v>
      </c>
      <c r="I140" s="221">
        <v>31110</v>
      </c>
      <c r="J140" s="221">
        <v>17320</v>
      </c>
    </row>
    <row r="141" spans="1:10" x14ac:dyDescent="0.3">
      <c r="A141" s="217">
        <v>137</v>
      </c>
      <c r="B141" s="217" t="s">
        <v>4515</v>
      </c>
      <c r="C141" s="218">
        <v>46261</v>
      </c>
      <c r="D141" s="219" t="s">
        <v>4516</v>
      </c>
      <c r="E141" s="218">
        <v>46261</v>
      </c>
      <c r="F141" s="219" t="s">
        <v>4517</v>
      </c>
      <c r="G141" s="220" t="s">
        <v>840</v>
      </c>
      <c r="H141" s="221">
        <v>14050</v>
      </c>
      <c r="I141" s="221">
        <v>31420</v>
      </c>
      <c r="J141" s="221">
        <v>17370</v>
      </c>
    </row>
    <row r="142" spans="1:10" x14ac:dyDescent="0.3">
      <c r="A142" s="217">
        <v>138</v>
      </c>
      <c r="B142" s="217" t="s">
        <v>4519</v>
      </c>
      <c r="C142" s="218">
        <v>46261</v>
      </c>
      <c r="D142" s="219" t="s">
        <v>4520</v>
      </c>
      <c r="E142" s="218">
        <v>46261</v>
      </c>
      <c r="F142" s="219" t="s">
        <v>4521</v>
      </c>
      <c r="G142" s="220" t="s">
        <v>64</v>
      </c>
      <c r="H142" s="221">
        <v>13890</v>
      </c>
      <c r="I142" s="221">
        <v>31040</v>
      </c>
      <c r="J142" s="221">
        <v>17150</v>
      </c>
    </row>
    <row r="143" spans="1:10" x14ac:dyDescent="0.3">
      <c r="A143" s="217">
        <v>139</v>
      </c>
      <c r="B143" s="217" t="s">
        <v>4523</v>
      </c>
      <c r="C143" s="218">
        <v>46261</v>
      </c>
      <c r="D143" s="219" t="s">
        <v>4524</v>
      </c>
      <c r="E143" s="218">
        <v>46261</v>
      </c>
      <c r="F143" s="219" t="s">
        <v>4525</v>
      </c>
      <c r="G143" s="220" t="s">
        <v>335</v>
      </c>
      <c r="H143" s="221">
        <v>13890</v>
      </c>
      <c r="I143" s="221">
        <v>31030</v>
      </c>
      <c r="J143" s="221">
        <v>17140</v>
      </c>
    </row>
    <row r="144" spans="1:10" x14ac:dyDescent="0.3">
      <c r="A144" s="217">
        <v>140</v>
      </c>
      <c r="B144" s="217" t="s">
        <v>4527</v>
      </c>
      <c r="C144" s="218">
        <v>46261</v>
      </c>
      <c r="D144" s="219" t="s">
        <v>4528</v>
      </c>
      <c r="E144" s="218">
        <v>46261</v>
      </c>
      <c r="F144" s="219" t="s">
        <v>4529</v>
      </c>
      <c r="G144" s="220" t="s">
        <v>143</v>
      </c>
      <c r="H144" s="221">
        <v>13880</v>
      </c>
      <c r="I144" s="221">
        <v>31440</v>
      </c>
      <c r="J144" s="221">
        <v>17560</v>
      </c>
    </row>
    <row r="145" spans="1:10" x14ac:dyDescent="0.3">
      <c r="A145" s="217">
        <v>141</v>
      </c>
      <c r="B145" s="217" t="s">
        <v>4531</v>
      </c>
      <c r="C145" s="218">
        <v>46261</v>
      </c>
      <c r="D145" s="219" t="s">
        <v>4532</v>
      </c>
      <c r="E145" s="218">
        <v>46261</v>
      </c>
      <c r="F145" s="219" t="s">
        <v>4533</v>
      </c>
      <c r="G145" s="220" t="s">
        <v>843</v>
      </c>
      <c r="H145" s="221">
        <v>13920</v>
      </c>
      <c r="I145" s="221">
        <v>31520</v>
      </c>
      <c r="J145" s="221">
        <v>17600</v>
      </c>
    </row>
    <row r="146" spans="1:10" x14ac:dyDescent="0.3">
      <c r="A146" s="217">
        <v>142</v>
      </c>
      <c r="B146" s="217" t="s">
        <v>4535</v>
      </c>
      <c r="C146" s="218">
        <v>46261</v>
      </c>
      <c r="D146" s="219" t="s">
        <v>4536</v>
      </c>
      <c r="E146" s="218">
        <v>46261</v>
      </c>
      <c r="F146" s="219" t="s">
        <v>4537</v>
      </c>
      <c r="G146" s="220" t="s">
        <v>540</v>
      </c>
      <c r="H146" s="221">
        <v>13680</v>
      </c>
      <c r="I146" s="221">
        <v>31220</v>
      </c>
      <c r="J146" s="221">
        <v>17540</v>
      </c>
    </row>
    <row r="147" spans="1:10" x14ac:dyDescent="0.3">
      <c r="A147" s="217">
        <v>143</v>
      </c>
      <c r="B147" s="217" t="s">
        <v>4539</v>
      </c>
      <c r="C147" s="218">
        <v>46261</v>
      </c>
      <c r="D147" s="219" t="s">
        <v>4540</v>
      </c>
      <c r="E147" s="218">
        <v>46261</v>
      </c>
      <c r="F147" s="219" t="s">
        <v>4541</v>
      </c>
      <c r="G147" s="220" t="s">
        <v>842</v>
      </c>
      <c r="H147" s="221">
        <v>13900</v>
      </c>
      <c r="I147" s="221">
        <v>31410</v>
      </c>
      <c r="J147" s="221">
        <v>17510</v>
      </c>
    </row>
    <row r="148" spans="1:10" x14ac:dyDescent="0.3">
      <c r="A148" s="217">
        <v>144</v>
      </c>
      <c r="B148" s="217" t="s">
        <v>4543</v>
      </c>
      <c r="C148" s="218">
        <v>46261</v>
      </c>
      <c r="D148" s="219" t="s">
        <v>4544</v>
      </c>
      <c r="E148" s="218">
        <v>46261</v>
      </c>
      <c r="F148" s="219" t="s">
        <v>4545</v>
      </c>
      <c r="G148" s="220" t="s">
        <v>76</v>
      </c>
      <c r="H148" s="221">
        <v>13780</v>
      </c>
      <c r="I148" s="221">
        <v>31250</v>
      </c>
      <c r="J148" s="221">
        <v>17470</v>
      </c>
    </row>
    <row r="149" spans="1:10" x14ac:dyDescent="0.3">
      <c r="A149" s="217">
        <v>145</v>
      </c>
      <c r="B149" s="217" t="s">
        <v>4547</v>
      </c>
      <c r="C149" s="218">
        <v>46261</v>
      </c>
      <c r="D149" s="219" t="s">
        <v>4548</v>
      </c>
      <c r="E149" s="218">
        <v>46261</v>
      </c>
      <c r="F149" s="219" t="s">
        <v>4549</v>
      </c>
      <c r="G149" s="220" t="s">
        <v>90</v>
      </c>
      <c r="H149" s="221">
        <v>13840</v>
      </c>
      <c r="I149" s="221">
        <v>30920</v>
      </c>
      <c r="J149" s="221">
        <v>17080</v>
      </c>
    </row>
    <row r="150" spans="1:10" x14ac:dyDescent="0.3">
      <c r="A150" s="217">
        <v>146</v>
      </c>
      <c r="B150" s="217" t="s">
        <v>4551</v>
      </c>
      <c r="C150" s="218">
        <v>46261</v>
      </c>
      <c r="D150" s="219" t="s">
        <v>4552</v>
      </c>
      <c r="E150" s="218">
        <v>46261</v>
      </c>
      <c r="F150" s="219" t="s">
        <v>4553</v>
      </c>
      <c r="G150" s="220" t="s">
        <v>80</v>
      </c>
      <c r="H150" s="221">
        <v>13970</v>
      </c>
      <c r="I150" s="221">
        <v>31650</v>
      </c>
      <c r="J150" s="221">
        <v>17680</v>
      </c>
    </row>
    <row r="151" spans="1:10" x14ac:dyDescent="0.3">
      <c r="A151" s="217">
        <v>147</v>
      </c>
      <c r="B151" s="217" t="s">
        <v>4555</v>
      </c>
      <c r="C151" s="218">
        <v>46261</v>
      </c>
      <c r="D151" s="219" t="s">
        <v>4556</v>
      </c>
      <c r="E151" s="218">
        <v>46261</v>
      </c>
      <c r="F151" s="219" t="s">
        <v>4557</v>
      </c>
      <c r="G151" s="220" t="s">
        <v>43</v>
      </c>
      <c r="H151" s="221">
        <v>13740</v>
      </c>
      <c r="I151" s="221">
        <v>30970</v>
      </c>
      <c r="J151" s="221">
        <v>17230</v>
      </c>
    </row>
    <row r="152" spans="1:10" x14ac:dyDescent="0.3">
      <c r="A152" s="217">
        <v>148</v>
      </c>
      <c r="B152" s="217" t="s">
        <v>4559</v>
      </c>
      <c r="C152" s="218">
        <v>46261</v>
      </c>
      <c r="D152" s="219" t="s">
        <v>4560</v>
      </c>
      <c r="E152" s="218">
        <v>46261</v>
      </c>
      <c r="F152" s="219" t="s">
        <v>4561</v>
      </c>
      <c r="G152" s="220" t="s">
        <v>337</v>
      </c>
      <c r="H152" s="221">
        <v>13890</v>
      </c>
      <c r="I152" s="221">
        <v>31710</v>
      </c>
      <c r="J152" s="221">
        <v>17820</v>
      </c>
    </row>
    <row r="153" spans="1:10" x14ac:dyDescent="0.3">
      <c r="A153" s="217">
        <v>149</v>
      </c>
      <c r="B153" s="217" t="s">
        <v>4563</v>
      </c>
      <c r="C153" s="218">
        <v>46261</v>
      </c>
      <c r="D153" s="219" t="s">
        <v>4564</v>
      </c>
      <c r="E153" s="218">
        <v>46261</v>
      </c>
      <c r="F153" s="219" t="s">
        <v>4565</v>
      </c>
      <c r="G153" s="220" t="s">
        <v>537</v>
      </c>
      <c r="H153" s="221">
        <v>13800</v>
      </c>
      <c r="I153" s="221">
        <v>30800</v>
      </c>
      <c r="J153" s="221">
        <v>17000</v>
      </c>
    </row>
    <row r="154" spans="1:10" x14ac:dyDescent="0.3">
      <c r="A154" s="217">
        <v>150</v>
      </c>
      <c r="B154" s="217" t="s">
        <v>4567</v>
      </c>
      <c r="C154" s="218">
        <v>46261</v>
      </c>
      <c r="D154" s="219" t="s">
        <v>4568</v>
      </c>
      <c r="E154" s="218">
        <v>46261</v>
      </c>
      <c r="F154" s="219" t="s">
        <v>4569</v>
      </c>
      <c r="G154" s="220" t="s">
        <v>336</v>
      </c>
      <c r="H154" s="221">
        <v>13810</v>
      </c>
      <c r="I154" s="221">
        <v>31490</v>
      </c>
      <c r="J154" s="221">
        <v>17680</v>
      </c>
    </row>
    <row r="155" spans="1:10" x14ac:dyDescent="0.3">
      <c r="A155" s="217">
        <v>151</v>
      </c>
      <c r="B155" s="217" t="s">
        <v>4571</v>
      </c>
      <c r="C155" s="218">
        <v>46261</v>
      </c>
      <c r="D155" s="219" t="s">
        <v>4572</v>
      </c>
      <c r="E155" s="218">
        <v>46261</v>
      </c>
      <c r="F155" s="219" t="s">
        <v>4573</v>
      </c>
      <c r="G155" s="220" t="s">
        <v>840</v>
      </c>
      <c r="H155" s="221">
        <v>14030</v>
      </c>
      <c r="I155" s="221">
        <v>31300</v>
      </c>
      <c r="J155" s="221">
        <v>17270</v>
      </c>
    </row>
    <row r="156" spans="1:10" x14ac:dyDescent="0.3">
      <c r="A156" s="217">
        <v>152</v>
      </c>
      <c r="B156" s="217" t="s">
        <v>4575</v>
      </c>
      <c r="C156" s="218">
        <v>46261</v>
      </c>
      <c r="D156" s="219" t="s">
        <v>4576</v>
      </c>
      <c r="E156" s="218">
        <v>46261</v>
      </c>
      <c r="F156" s="219" t="s">
        <v>4577</v>
      </c>
      <c r="G156" s="220" t="s">
        <v>335</v>
      </c>
      <c r="H156" s="221">
        <v>13880</v>
      </c>
      <c r="I156" s="221">
        <v>31200</v>
      </c>
      <c r="J156" s="221">
        <v>17320</v>
      </c>
    </row>
    <row r="157" spans="1:10" x14ac:dyDescent="0.3">
      <c r="A157" s="217">
        <v>153</v>
      </c>
      <c r="B157" s="217" t="s">
        <v>4579</v>
      </c>
      <c r="C157" s="218">
        <v>46261</v>
      </c>
      <c r="D157" s="219" t="s">
        <v>597</v>
      </c>
      <c r="E157" s="218">
        <v>46261</v>
      </c>
      <c r="F157" s="219" t="s">
        <v>4580</v>
      </c>
      <c r="G157" s="220" t="s">
        <v>64</v>
      </c>
      <c r="H157" s="221">
        <v>13850</v>
      </c>
      <c r="I157" s="221">
        <v>30630</v>
      </c>
      <c r="J157" s="221">
        <v>16780</v>
      </c>
    </row>
    <row r="158" spans="1:10" x14ac:dyDescent="0.3">
      <c r="A158" s="217">
        <v>154</v>
      </c>
      <c r="B158" s="217" t="s">
        <v>4582</v>
      </c>
      <c r="C158" s="218">
        <v>46261</v>
      </c>
      <c r="D158" s="219" t="s">
        <v>4583</v>
      </c>
      <c r="E158" s="218">
        <v>46261</v>
      </c>
      <c r="F158" s="219" t="s">
        <v>4584</v>
      </c>
      <c r="G158" s="220" t="s">
        <v>71</v>
      </c>
      <c r="H158" s="221">
        <v>13800</v>
      </c>
      <c r="I158" s="221">
        <v>30920</v>
      </c>
      <c r="J158" s="221">
        <v>17120</v>
      </c>
    </row>
    <row r="159" spans="1:10" x14ac:dyDescent="0.3">
      <c r="A159" s="217">
        <v>155</v>
      </c>
      <c r="B159" s="217" t="s">
        <v>4586</v>
      </c>
      <c r="C159" s="218">
        <v>46261</v>
      </c>
      <c r="D159" s="219" t="s">
        <v>4587</v>
      </c>
      <c r="E159" s="218">
        <v>46261</v>
      </c>
      <c r="F159" s="219" t="s">
        <v>4588</v>
      </c>
      <c r="G159" s="220" t="s">
        <v>85</v>
      </c>
      <c r="H159" s="221">
        <v>13850</v>
      </c>
      <c r="I159" s="221">
        <v>31620</v>
      </c>
      <c r="J159" s="221">
        <v>17770</v>
      </c>
    </row>
    <row r="160" spans="1:10" x14ac:dyDescent="0.3">
      <c r="A160" s="217">
        <v>156</v>
      </c>
      <c r="B160" s="217" t="s">
        <v>4590</v>
      </c>
      <c r="C160" s="218">
        <v>46261</v>
      </c>
      <c r="D160" s="219" t="s">
        <v>4591</v>
      </c>
      <c r="E160" s="218">
        <v>46261</v>
      </c>
      <c r="F160" s="219" t="s">
        <v>4592</v>
      </c>
      <c r="G160" s="220" t="s">
        <v>55</v>
      </c>
      <c r="H160" s="221">
        <v>13930</v>
      </c>
      <c r="I160" s="221">
        <v>32370</v>
      </c>
      <c r="J160" s="221">
        <v>18440</v>
      </c>
    </row>
    <row r="161" spans="1:10" x14ac:dyDescent="0.3">
      <c r="A161" s="217">
        <v>157</v>
      </c>
      <c r="B161" s="217" t="s">
        <v>4594</v>
      </c>
      <c r="C161" s="218">
        <v>46261</v>
      </c>
      <c r="D161" s="219" t="s">
        <v>4595</v>
      </c>
      <c r="E161" s="218">
        <v>46261</v>
      </c>
      <c r="F161" s="219" t="s">
        <v>4596</v>
      </c>
      <c r="G161" s="220" t="s">
        <v>843</v>
      </c>
      <c r="H161" s="221">
        <v>14190</v>
      </c>
      <c r="I161" s="221">
        <v>31290</v>
      </c>
      <c r="J161" s="221">
        <v>17100</v>
      </c>
    </row>
    <row r="162" spans="1:10" x14ac:dyDescent="0.3">
      <c r="A162" s="217">
        <v>158</v>
      </c>
      <c r="B162" s="217" t="s">
        <v>4598</v>
      </c>
      <c r="C162" s="218">
        <v>46261</v>
      </c>
      <c r="D162" s="219" t="s">
        <v>4599</v>
      </c>
      <c r="E162" s="218">
        <v>46261</v>
      </c>
      <c r="F162" s="219" t="s">
        <v>4600</v>
      </c>
      <c r="G162" s="220" t="s">
        <v>90</v>
      </c>
      <c r="H162" s="221">
        <v>13810</v>
      </c>
      <c r="I162" s="221">
        <v>31360</v>
      </c>
      <c r="J162" s="221">
        <v>17550</v>
      </c>
    </row>
    <row r="163" spans="1:10" x14ac:dyDescent="0.3">
      <c r="A163" s="217">
        <v>159</v>
      </c>
      <c r="B163" s="217" t="s">
        <v>4602</v>
      </c>
      <c r="C163" s="218">
        <v>46261</v>
      </c>
      <c r="D163" s="219" t="s">
        <v>4603</v>
      </c>
      <c r="E163" s="218">
        <v>46261</v>
      </c>
      <c r="F163" s="219" t="s">
        <v>4604</v>
      </c>
      <c r="G163" s="220" t="s">
        <v>842</v>
      </c>
      <c r="H163" s="221">
        <v>13900</v>
      </c>
      <c r="I163" s="221">
        <v>32390</v>
      </c>
      <c r="J163" s="221">
        <v>18490</v>
      </c>
    </row>
    <row r="164" spans="1:10" x14ac:dyDescent="0.3">
      <c r="A164" s="217">
        <v>160</v>
      </c>
      <c r="B164" s="217" t="s">
        <v>4606</v>
      </c>
      <c r="C164" s="218">
        <v>46261</v>
      </c>
      <c r="D164" s="219" t="s">
        <v>4607</v>
      </c>
      <c r="E164" s="218">
        <v>46261</v>
      </c>
      <c r="F164" s="219" t="s">
        <v>4608</v>
      </c>
      <c r="G164" s="220" t="s">
        <v>336</v>
      </c>
      <c r="H164" s="221">
        <v>13800</v>
      </c>
      <c r="I164" s="221">
        <v>31220</v>
      </c>
      <c r="J164" s="221">
        <v>17420</v>
      </c>
    </row>
    <row r="165" spans="1:10" x14ac:dyDescent="0.3">
      <c r="A165" s="217">
        <v>161</v>
      </c>
      <c r="B165" s="217" t="s">
        <v>4610</v>
      </c>
      <c r="C165" s="218">
        <v>46261</v>
      </c>
      <c r="D165" s="219" t="s">
        <v>4611</v>
      </c>
      <c r="E165" s="218">
        <v>46261</v>
      </c>
      <c r="F165" s="219" t="s">
        <v>4612</v>
      </c>
      <c r="G165" s="220" t="s">
        <v>540</v>
      </c>
      <c r="H165" s="221">
        <v>13890</v>
      </c>
      <c r="I165" s="221">
        <v>31500</v>
      </c>
      <c r="J165" s="221">
        <v>17610</v>
      </c>
    </row>
    <row r="166" spans="1:10" x14ac:dyDescent="0.3">
      <c r="A166" s="217">
        <v>162</v>
      </c>
      <c r="B166" s="217" t="s">
        <v>4614</v>
      </c>
      <c r="C166" s="218">
        <v>46261</v>
      </c>
      <c r="D166" s="219" t="s">
        <v>4615</v>
      </c>
      <c r="E166" s="218">
        <v>46261</v>
      </c>
      <c r="F166" s="219" t="s">
        <v>4616</v>
      </c>
      <c r="G166" s="220" t="s">
        <v>43</v>
      </c>
      <c r="H166" s="221">
        <v>14000</v>
      </c>
      <c r="I166" s="221">
        <v>31510</v>
      </c>
      <c r="J166" s="221">
        <v>17510</v>
      </c>
    </row>
    <row r="167" spans="1:10" x14ac:dyDescent="0.3">
      <c r="A167" s="217">
        <v>163</v>
      </c>
      <c r="B167" s="217" t="s">
        <v>4618</v>
      </c>
      <c r="C167" s="218">
        <v>46261</v>
      </c>
      <c r="D167" s="219" t="s">
        <v>4619</v>
      </c>
      <c r="E167" s="218">
        <v>46261</v>
      </c>
      <c r="F167" s="219" t="s">
        <v>4620</v>
      </c>
      <c r="G167" s="220" t="s">
        <v>76</v>
      </c>
      <c r="H167" s="221">
        <v>14040</v>
      </c>
      <c r="I167" s="221">
        <v>31290</v>
      </c>
      <c r="J167" s="221">
        <v>17250</v>
      </c>
    </row>
    <row r="168" spans="1:10" x14ac:dyDescent="0.3">
      <c r="A168" s="217">
        <v>164</v>
      </c>
      <c r="B168" s="217" t="s">
        <v>4622</v>
      </c>
      <c r="C168" s="218">
        <v>46261</v>
      </c>
      <c r="D168" s="219" t="s">
        <v>4623</v>
      </c>
      <c r="E168" s="218">
        <v>46261</v>
      </c>
      <c r="F168" s="219" t="s">
        <v>4624</v>
      </c>
      <c r="G168" s="220" t="s">
        <v>537</v>
      </c>
      <c r="H168" s="221">
        <v>13960</v>
      </c>
      <c r="I168" s="221">
        <v>31510</v>
      </c>
      <c r="J168" s="221">
        <v>17550</v>
      </c>
    </row>
    <row r="169" spans="1:10" x14ac:dyDescent="0.3">
      <c r="A169" s="217">
        <v>165</v>
      </c>
      <c r="B169" s="217" t="s">
        <v>4626</v>
      </c>
      <c r="C169" s="218">
        <v>46261</v>
      </c>
      <c r="D169" s="219" t="s">
        <v>4627</v>
      </c>
      <c r="E169" s="218">
        <v>46261</v>
      </c>
      <c r="F169" s="219" t="s">
        <v>4628</v>
      </c>
      <c r="G169" s="220" t="s">
        <v>80</v>
      </c>
      <c r="H169" s="221">
        <v>13950</v>
      </c>
      <c r="I169" s="221">
        <v>31210</v>
      </c>
      <c r="J169" s="221">
        <v>17260</v>
      </c>
    </row>
    <row r="170" spans="1:10" x14ac:dyDescent="0.3">
      <c r="A170" s="217">
        <v>166</v>
      </c>
      <c r="B170" s="217" t="s">
        <v>4630</v>
      </c>
      <c r="C170" s="218">
        <v>46261</v>
      </c>
      <c r="D170" s="219" t="s">
        <v>4631</v>
      </c>
      <c r="E170" s="218">
        <v>46261</v>
      </c>
      <c r="F170" s="219" t="s">
        <v>4632</v>
      </c>
      <c r="G170" s="220" t="s">
        <v>335</v>
      </c>
      <c r="H170" s="221">
        <v>13830</v>
      </c>
      <c r="I170" s="221">
        <v>30480</v>
      </c>
      <c r="J170" s="221">
        <v>16650</v>
      </c>
    </row>
    <row r="171" spans="1:10" x14ac:dyDescent="0.3">
      <c r="A171" s="217">
        <v>167</v>
      </c>
      <c r="B171" s="217" t="s">
        <v>4634</v>
      </c>
      <c r="C171" s="218">
        <v>46261</v>
      </c>
      <c r="D171" s="219" t="s">
        <v>4635</v>
      </c>
      <c r="E171" s="218">
        <v>46261</v>
      </c>
      <c r="F171" s="219" t="s">
        <v>4636</v>
      </c>
      <c r="G171" s="220" t="s">
        <v>64</v>
      </c>
      <c r="H171" s="221">
        <v>14080</v>
      </c>
      <c r="I171" s="221">
        <v>30900</v>
      </c>
      <c r="J171" s="221">
        <v>16820</v>
      </c>
    </row>
    <row r="172" spans="1:10" x14ac:dyDescent="0.3">
      <c r="A172" s="217">
        <v>168</v>
      </c>
      <c r="B172" s="217" t="s">
        <v>4638</v>
      </c>
      <c r="C172" s="218">
        <v>46261</v>
      </c>
      <c r="D172" s="219" t="s">
        <v>4639</v>
      </c>
      <c r="E172" s="218">
        <v>46261</v>
      </c>
      <c r="F172" s="219" t="s">
        <v>4640</v>
      </c>
      <c r="G172" s="220" t="s">
        <v>840</v>
      </c>
      <c r="H172" s="221">
        <v>13990</v>
      </c>
      <c r="I172" s="221">
        <v>31300</v>
      </c>
      <c r="J172" s="221">
        <v>17310</v>
      </c>
    </row>
    <row r="173" spans="1:10" x14ac:dyDescent="0.3">
      <c r="A173" s="217">
        <v>169</v>
      </c>
      <c r="B173" s="217" t="s">
        <v>4642</v>
      </c>
      <c r="C173" s="218">
        <v>46261</v>
      </c>
      <c r="D173" s="219" t="s">
        <v>4643</v>
      </c>
      <c r="E173" s="218">
        <v>46261</v>
      </c>
      <c r="F173" s="219" t="s">
        <v>4644</v>
      </c>
      <c r="G173" s="220" t="s">
        <v>337</v>
      </c>
      <c r="H173" s="221">
        <v>13850</v>
      </c>
      <c r="I173" s="221">
        <v>31510</v>
      </c>
      <c r="J173" s="221">
        <v>17660</v>
      </c>
    </row>
    <row r="174" spans="1:10" x14ac:dyDescent="0.3">
      <c r="A174" s="217">
        <v>170</v>
      </c>
      <c r="B174" s="217" t="s">
        <v>4646</v>
      </c>
      <c r="C174" s="218">
        <v>46261</v>
      </c>
      <c r="D174" s="219" t="s">
        <v>4647</v>
      </c>
      <c r="E174" s="218">
        <v>46261</v>
      </c>
      <c r="F174" s="219" t="s">
        <v>4648</v>
      </c>
      <c r="G174" s="220" t="s">
        <v>85</v>
      </c>
      <c r="H174" s="221">
        <v>13790</v>
      </c>
      <c r="I174" s="221">
        <v>31390</v>
      </c>
      <c r="J174" s="221">
        <v>17600</v>
      </c>
    </row>
    <row r="175" spans="1:10" x14ac:dyDescent="0.3">
      <c r="A175" s="217">
        <v>171</v>
      </c>
      <c r="B175" s="217" t="s">
        <v>4650</v>
      </c>
      <c r="C175" s="218">
        <v>46261</v>
      </c>
      <c r="D175" s="219" t="s">
        <v>4651</v>
      </c>
      <c r="E175" s="218">
        <v>46261</v>
      </c>
      <c r="F175" s="219" t="s">
        <v>4652</v>
      </c>
      <c r="G175" s="220" t="s">
        <v>71</v>
      </c>
      <c r="H175" s="221">
        <v>13780</v>
      </c>
      <c r="I175" s="221">
        <v>31550</v>
      </c>
      <c r="J175" s="221">
        <v>17770</v>
      </c>
    </row>
    <row r="176" spans="1:10" x14ac:dyDescent="0.3">
      <c r="A176" s="217">
        <v>172</v>
      </c>
      <c r="B176" s="217" t="s">
        <v>4654</v>
      </c>
      <c r="C176" s="218">
        <v>46261</v>
      </c>
      <c r="D176" s="219" t="s">
        <v>4655</v>
      </c>
      <c r="E176" s="218">
        <v>46261</v>
      </c>
      <c r="F176" s="219" t="s">
        <v>4656</v>
      </c>
      <c r="G176" s="220" t="s">
        <v>55</v>
      </c>
      <c r="H176" s="221">
        <v>13900</v>
      </c>
      <c r="I176" s="221">
        <v>31130</v>
      </c>
      <c r="J176" s="221">
        <v>17230</v>
      </c>
    </row>
    <row r="177" spans="1:10" x14ac:dyDescent="0.3">
      <c r="A177" s="217">
        <v>173</v>
      </c>
      <c r="B177" s="217" t="s">
        <v>4657</v>
      </c>
      <c r="C177" s="218">
        <v>46261</v>
      </c>
      <c r="D177" s="219" t="s">
        <v>4658</v>
      </c>
      <c r="E177" s="218">
        <v>46261</v>
      </c>
      <c r="F177" s="219" t="s">
        <v>4659</v>
      </c>
      <c r="G177" s="220" t="s">
        <v>336</v>
      </c>
      <c r="H177" s="221">
        <v>13760</v>
      </c>
      <c r="I177" s="221">
        <v>30040</v>
      </c>
      <c r="J177" s="221">
        <v>16280</v>
      </c>
    </row>
    <row r="178" spans="1:10" x14ac:dyDescent="0.3">
      <c r="A178" s="217">
        <v>174</v>
      </c>
      <c r="B178" s="217" t="s">
        <v>4660</v>
      </c>
      <c r="C178" s="218">
        <v>46261</v>
      </c>
      <c r="D178" s="219" t="s">
        <v>4661</v>
      </c>
      <c r="E178" s="218">
        <v>46261</v>
      </c>
      <c r="F178" s="219" t="s">
        <v>4662</v>
      </c>
      <c r="G178" s="220" t="s">
        <v>143</v>
      </c>
      <c r="H178" s="221">
        <v>13860</v>
      </c>
      <c r="I178" s="221">
        <v>30960</v>
      </c>
      <c r="J178" s="221">
        <v>17100</v>
      </c>
    </row>
    <row r="179" spans="1:10" x14ac:dyDescent="0.3">
      <c r="A179" s="217">
        <v>175</v>
      </c>
      <c r="B179" s="217" t="s">
        <v>4663</v>
      </c>
      <c r="C179" s="218">
        <v>46261</v>
      </c>
      <c r="D179" s="219" t="s">
        <v>4664</v>
      </c>
      <c r="E179" s="218">
        <v>46261</v>
      </c>
      <c r="F179" s="219" t="s">
        <v>4665</v>
      </c>
      <c r="G179" s="220" t="s">
        <v>43</v>
      </c>
      <c r="H179" s="221">
        <v>13970</v>
      </c>
      <c r="I179" s="221">
        <v>31380</v>
      </c>
      <c r="J179" s="221">
        <v>17410</v>
      </c>
    </row>
    <row r="180" spans="1:10" x14ac:dyDescent="0.3">
      <c r="A180" s="217">
        <v>176</v>
      </c>
      <c r="B180" s="217" t="s">
        <v>4666</v>
      </c>
      <c r="C180" s="218">
        <v>46261</v>
      </c>
      <c r="D180" s="219" t="s">
        <v>4667</v>
      </c>
      <c r="E180" s="218">
        <v>46261</v>
      </c>
      <c r="F180" s="219" t="s">
        <v>4668</v>
      </c>
      <c r="G180" s="220" t="s">
        <v>540</v>
      </c>
      <c r="H180" s="221">
        <v>13850</v>
      </c>
      <c r="I180" s="221">
        <v>31770</v>
      </c>
      <c r="J180" s="221">
        <v>17920</v>
      </c>
    </row>
    <row r="181" spans="1:10" x14ac:dyDescent="0.3">
      <c r="A181" s="217">
        <v>177</v>
      </c>
      <c r="B181" s="217" t="s">
        <v>4669</v>
      </c>
      <c r="C181" s="218">
        <v>46261</v>
      </c>
      <c r="D181" s="219" t="s">
        <v>4670</v>
      </c>
      <c r="E181" s="218">
        <v>46261</v>
      </c>
      <c r="F181" s="219" t="s">
        <v>4671</v>
      </c>
      <c r="G181" s="220" t="s">
        <v>76</v>
      </c>
      <c r="H181" s="221">
        <v>14010</v>
      </c>
      <c r="I181" s="221">
        <v>31510</v>
      </c>
      <c r="J181" s="221">
        <v>17500</v>
      </c>
    </row>
    <row r="182" spans="1:10" x14ac:dyDescent="0.3">
      <c r="A182" s="217">
        <v>178</v>
      </c>
      <c r="B182" s="217" t="s">
        <v>4672</v>
      </c>
      <c r="C182" s="218">
        <v>46261</v>
      </c>
      <c r="D182" s="219" t="s">
        <v>4673</v>
      </c>
      <c r="E182" s="218">
        <v>46261</v>
      </c>
      <c r="F182" s="219" t="s">
        <v>4674</v>
      </c>
      <c r="G182" s="220" t="s">
        <v>335</v>
      </c>
      <c r="H182" s="221">
        <v>13800</v>
      </c>
      <c r="I182" s="221">
        <v>31150</v>
      </c>
      <c r="J182" s="221">
        <v>17350</v>
      </c>
    </row>
    <row r="183" spans="1:10" x14ac:dyDescent="0.3">
      <c r="A183" s="217">
        <v>179</v>
      </c>
      <c r="B183" s="217" t="s">
        <v>4675</v>
      </c>
      <c r="C183" s="218">
        <v>46261</v>
      </c>
      <c r="D183" s="219" t="s">
        <v>4676</v>
      </c>
      <c r="E183" s="218">
        <v>46261</v>
      </c>
      <c r="F183" s="219" t="s">
        <v>4677</v>
      </c>
      <c r="G183" s="220" t="s">
        <v>842</v>
      </c>
      <c r="H183" s="221">
        <v>13810</v>
      </c>
      <c r="I183" s="221">
        <v>31170</v>
      </c>
      <c r="J183" s="221">
        <v>17360</v>
      </c>
    </row>
    <row r="184" spans="1:10" x14ac:dyDescent="0.3">
      <c r="A184" s="217">
        <v>180</v>
      </c>
      <c r="B184" s="217" t="s">
        <v>4678</v>
      </c>
      <c r="C184" s="218">
        <v>46261</v>
      </c>
      <c r="D184" s="219" t="s">
        <v>4679</v>
      </c>
      <c r="E184" s="218">
        <v>46261</v>
      </c>
      <c r="F184" s="219" t="s">
        <v>4680</v>
      </c>
      <c r="G184" s="220" t="s">
        <v>843</v>
      </c>
      <c r="H184" s="221">
        <v>14150</v>
      </c>
      <c r="I184" s="221">
        <v>31180</v>
      </c>
      <c r="J184" s="221">
        <v>17030</v>
      </c>
    </row>
    <row r="185" spans="1:10" x14ac:dyDescent="0.3">
      <c r="A185" s="217">
        <v>181</v>
      </c>
      <c r="B185" s="217" t="s">
        <v>4681</v>
      </c>
      <c r="C185" s="218">
        <v>46261</v>
      </c>
      <c r="D185" s="219" t="s">
        <v>4682</v>
      </c>
      <c r="E185" s="218">
        <v>46261</v>
      </c>
      <c r="F185" s="219" t="s">
        <v>4683</v>
      </c>
      <c r="G185" s="220" t="s">
        <v>90</v>
      </c>
      <c r="H185" s="221">
        <v>13760</v>
      </c>
      <c r="I185" s="221">
        <v>32060</v>
      </c>
      <c r="J185" s="221">
        <v>18300</v>
      </c>
    </row>
    <row r="186" spans="1:10" x14ac:dyDescent="0.3">
      <c r="A186" s="217">
        <v>182</v>
      </c>
      <c r="B186" s="217" t="s">
        <v>4684</v>
      </c>
      <c r="C186" s="218">
        <v>46262</v>
      </c>
      <c r="D186" s="219" t="s">
        <v>912</v>
      </c>
      <c r="E186" s="218">
        <v>46262</v>
      </c>
      <c r="F186" s="219" t="s">
        <v>4685</v>
      </c>
      <c r="G186" s="220" t="s">
        <v>71</v>
      </c>
      <c r="H186" s="221">
        <v>13740</v>
      </c>
      <c r="I186" s="221">
        <v>33070</v>
      </c>
      <c r="J186" s="221">
        <v>19330</v>
      </c>
    </row>
    <row r="187" spans="1:10" x14ac:dyDescent="0.3">
      <c r="A187" s="217">
        <v>183</v>
      </c>
      <c r="B187" s="217" t="s">
        <v>4686</v>
      </c>
      <c r="C187" s="218">
        <v>46262</v>
      </c>
      <c r="D187" s="219" t="s">
        <v>4687</v>
      </c>
      <c r="E187" s="218">
        <v>46262</v>
      </c>
      <c r="F187" s="219" t="s">
        <v>4688</v>
      </c>
      <c r="G187" s="220" t="s">
        <v>55</v>
      </c>
      <c r="H187" s="221">
        <v>13850</v>
      </c>
      <c r="I187" s="221">
        <v>31950</v>
      </c>
      <c r="J187" s="221">
        <v>18100</v>
      </c>
    </row>
    <row r="188" spans="1:10" x14ac:dyDescent="0.3">
      <c r="A188" s="217">
        <v>184</v>
      </c>
      <c r="B188" s="217" t="s">
        <v>4689</v>
      </c>
      <c r="C188" s="218">
        <v>46262</v>
      </c>
      <c r="D188" s="219" t="s">
        <v>4690</v>
      </c>
      <c r="E188" s="218">
        <v>46262</v>
      </c>
      <c r="F188" s="219" t="s">
        <v>4691</v>
      </c>
      <c r="G188" s="220" t="s">
        <v>85</v>
      </c>
      <c r="H188" s="221">
        <v>13770</v>
      </c>
      <c r="I188" s="221">
        <v>32200</v>
      </c>
      <c r="J188" s="221">
        <v>18430</v>
      </c>
    </row>
    <row r="189" spans="1:10" x14ac:dyDescent="0.3">
      <c r="A189" s="217">
        <v>185</v>
      </c>
      <c r="B189" s="217" t="s">
        <v>4692</v>
      </c>
      <c r="C189" s="218">
        <v>46262</v>
      </c>
      <c r="D189" s="219" t="s">
        <v>4693</v>
      </c>
      <c r="E189" s="218">
        <v>46262</v>
      </c>
      <c r="F189" s="219" t="s">
        <v>4694</v>
      </c>
      <c r="G189" s="220" t="s">
        <v>80</v>
      </c>
      <c r="H189" s="221">
        <v>13860</v>
      </c>
      <c r="I189" s="221">
        <v>31550</v>
      </c>
      <c r="J189" s="221">
        <v>17690</v>
      </c>
    </row>
    <row r="190" spans="1:10" x14ac:dyDescent="0.3">
      <c r="A190" s="217">
        <v>186</v>
      </c>
      <c r="B190" s="217" t="s">
        <v>4695</v>
      </c>
      <c r="C190" s="218">
        <v>46262</v>
      </c>
      <c r="D190" s="219" t="s">
        <v>4696</v>
      </c>
      <c r="E190" s="218">
        <v>46262</v>
      </c>
      <c r="F190" s="219" t="s">
        <v>4697</v>
      </c>
      <c r="G190" s="220" t="s">
        <v>143</v>
      </c>
      <c r="H190" s="221">
        <v>13800</v>
      </c>
      <c r="I190" s="221">
        <v>31880</v>
      </c>
      <c r="J190" s="221">
        <v>18080</v>
      </c>
    </row>
    <row r="191" spans="1:10" x14ac:dyDescent="0.3">
      <c r="A191" s="217">
        <v>187</v>
      </c>
      <c r="B191" s="217" t="s">
        <v>4698</v>
      </c>
      <c r="C191" s="218">
        <v>46262</v>
      </c>
      <c r="D191" s="219" t="s">
        <v>4699</v>
      </c>
      <c r="E191" s="218">
        <v>46262</v>
      </c>
      <c r="F191" s="219" t="s">
        <v>4700</v>
      </c>
      <c r="G191" s="220" t="s">
        <v>337</v>
      </c>
      <c r="H191" s="221">
        <v>13850</v>
      </c>
      <c r="I191" s="221">
        <v>31160</v>
      </c>
      <c r="J191" s="221">
        <v>17310</v>
      </c>
    </row>
    <row r="192" spans="1:10" x14ac:dyDescent="0.3">
      <c r="A192" s="217">
        <v>188</v>
      </c>
      <c r="B192" s="217" t="s">
        <v>4701</v>
      </c>
      <c r="C192" s="218">
        <v>46262</v>
      </c>
      <c r="D192" s="219" t="s">
        <v>4702</v>
      </c>
      <c r="E192" s="218">
        <v>46262</v>
      </c>
      <c r="F192" s="219" t="s">
        <v>4703</v>
      </c>
      <c r="G192" s="220" t="s">
        <v>840</v>
      </c>
      <c r="H192" s="221">
        <v>13950</v>
      </c>
      <c r="I192" s="221">
        <v>31200</v>
      </c>
      <c r="J192" s="221">
        <v>17250</v>
      </c>
    </row>
    <row r="193" spans="1:10" x14ac:dyDescent="0.3">
      <c r="A193" s="217">
        <v>189</v>
      </c>
      <c r="B193" s="217" t="s">
        <v>4704</v>
      </c>
      <c r="C193" s="218">
        <v>46262</v>
      </c>
      <c r="D193" s="219" t="s">
        <v>4705</v>
      </c>
      <c r="E193" s="218">
        <v>46262</v>
      </c>
      <c r="F193" s="219" t="s">
        <v>4037</v>
      </c>
      <c r="G193" s="220" t="s">
        <v>843</v>
      </c>
      <c r="H193" s="221">
        <v>14120</v>
      </c>
      <c r="I193" s="221">
        <v>31020</v>
      </c>
      <c r="J193" s="221">
        <v>16900</v>
      </c>
    </row>
    <row r="194" spans="1:10" x14ac:dyDescent="0.3">
      <c r="A194" s="217">
        <v>190</v>
      </c>
      <c r="B194" s="217" t="s">
        <v>4706</v>
      </c>
      <c r="C194" s="218">
        <v>46262</v>
      </c>
      <c r="D194" s="219" t="s">
        <v>4707</v>
      </c>
      <c r="E194" s="218">
        <v>46262</v>
      </c>
      <c r="F194" s="219" t="s">
        <v>4708</v>
      </c>
      <c r="G194" s="220" t="s">
        <v>335</v>
      </c>
      <c r="H194" s="221">
        <v>13760</v>
      </c>
      <c r="I194" s="221">
        <v>30740</v>
      </c>
      <c r="J194" s="221">
        <v>16980</v>
      </c>
    </row>
    <row r="195" spans="1:10" x14ac:dyDescent="0.3">
      <c r="A195" s="217">
        <v>191</v>
      </c>
      <c r="B195" s="217" t="s">
        <v>4709</v>
      </c>
      <c r="C195" s="218">
        <v>46262</v>
      </c>
      <c r="D195" s="219" t="s">
        <v>4710</v>
      </c>
      <c r="E195" s="218">
        <v>46262</v>
      </c>
      <c r="F195" s="219" t="s">
        <v>4711</v>
      </c>
      <c r="G195" s="220" t="s">
        <v>55</v>
      </c>
      <c r="H195" s="221">
        <v>13820</v>
      </c>
      <c r="I195" s="221">
        <v>30830</v>
      </c>
      <c r="J195" s="221">
        <v>17010</v>
      </c>
    </row>
    <row r="196" spans="1:10" x14ac:dyDescent="0.3">
      <c r="A196" s="217">
        <v>192</v>
      </c>
      <c r="B196" s="217" t="s">
        <v>4712</v>
      </c>
      <c r="C196" s="218">
        <v>46262</v>
      </c>
      <c r="D196" s="219" t="s">
        <v>4713</v>
      </c>
      <c r="E196" s="218">
        <v>46262</v>
      </c>
      <c r="F196" s="219" t="s">
        <v>4714</v>
      </c>
      <c r="G196" s="220" t="s">
        <v>64</v>
      </c>
      <c r="H196" s="221">
        <v>14040</v>
      </c>
      <c r="I196" s="221">
        <v>30800</v>
      </c>
      <c r="J196" s="221">
        <v>16760</v>
      </c>
    </row>
    <row r="197" spans="1:10" x14ac:dyDescent="0.3">
      <c r="A197" s="217">
        <v>193</v>
      </c>
      <c r="B197" s="217" t="s">
        <v>4715</v>
      </c>
      <c r="C197" s="218">
        <v>46262</v>
      </c>
      <c r="D197" s="219" t="s">
        <v>4716</v>
      </c>
      <c r="E197" s="218">
        <v>46262</v>
      </c>
      <c r="F197" s="219" t="s">
        <v>4717</v>
      </c>
      <c r="G197" s="220" t="s">
        <v>537</v>
      </c>
      <c r="H197" s="221">
        <v>13910</v>
      </c>
      <c r="I197" s="221">
        <v>31150</v>
      </c>
      <c r="J197" s="221">
        <v>17240</v>
      </c>
    </row>
    <row r="198" spans="1:10" x14ac:dyDescent="0.3">
      <c r="A198" s="217">
        <v>194</v>
      </c>
      <c r="B198" s="217" t="s">
        <v>4718</v>
      </c>
      <c r="C198" s="218">
        <v>46262</v>
      </c>
      <c r="D198" s="219" t="s">
        <v>4719</v>
      </c>
      <c r="E198" s="218">
        <v>46262</v>
      </c>
      <c r="F198" s="219" t="s">
        <v>4720</v>
      </c>
      <c r="G198" s="220" t="s">
        <v>76</v>
      </c>
      <c r="H198" s="221">
        <v>13960</v>
      </c>
      <c r="I198" s="221">
        <v>31060</v>
      </c>
      <c r="J198" s="221">
        <v>17100</v>
      </c>
    </row>
    <row r="199" spans="1:10" x14ac:dyDescent="0.3">
      <c r="A199" s="217">
        <v>195</v>
      </c>
      <c r="B199" s="217" t="s">
        <v>4721</v>
      </c>
      <c r="C199" s="218">
        <v>46262</v>
      </c>
      <c r="D199" s="219" t="s">
        <v>4722</v>
      </c>
      <c r="E199" s="218">
        <v>46262</v>
      </c>
      <c r="F199" s="219" t="s">
        <v>4723</v>
      </c>
      <c r="G199" s="220" t="s">
        <v>540</v>
      </c>
      <c r="H199" s="221">
        <v>13810</v>
      </c>
      <c r="I199" s="221">
        <v>31020</v>
      </c>
      <c r="J199" s="221">
        <v>17210</v>
      </c>
    </row>
    <row r="200" spans="1:10" x14ac:dyDescent="0.3">
      <c r="A200" s="217">
        <v>196</v>
      </c>
      <c r="B200" s="217" t="s">
        <v>4724</v>
      </c>
      <c r="C200" s="218">
        <v>46262</v>
      </c>
      <c r="D200" s="219" t="s">
        <v>4725</v>
      </c>
      <c r="E200" s="218">
        <v>46262</v>
      </c>
      <c r="F200" s="219" t="s">
        <v>4726</v>
      </c>
      <c r="G200" s="220" t="s">
        <v>840</v>
      </c>
      <c r="H200" s="221">
        <v>13910</v>
      </c>
      <c r="I200" s="221">
        <v>30850</v>
      </c>
      <c r="J200" s="221">
        <v>16940</v>
      </c>
    </row>
    <row r="201" spans="1:10" x14ac:dyDescent="0.3">
      <c r="A201" s="217">
        <v>197</v>
      </c>
      <c r="B201" s="217" t="s">
        <v>4727</v>
      </c>
      <c r="C201" s="218">
        <v>46262</v>
      </c>
      <c r="D201" s="219" t="s">
        <v>4728</v>
      </c>
      <c r="E201" s="218">
        <v>46262</v>
      </c>
      <c r="F201" s="219" t="s">
        <v>4729</v>
      </c>
      <c r="G201" s="220" t="s">
        <v>143</v>
      </c>
      <c r="H201" s="221">
        <v>13770</v>
      </c>
      <c r="I201" s="221">
        <v>30650</v>
      </c>
      <c r="J201" s="221">
        <v>16880</v>
      </c>
    </row>
    <row r="202" spans="1:10" x14ac:dyDescent="0.3">
      <c r="A202" s="217">
        <v>198</v>
      </c>
      <c r="B202" s="217" t="s">
        <v>4730</v>
      </c>
      <c r="C202" s="218">
        <v>46262</v>
      </c>
      <c r="D202" s="219" t="s">
        <v>4731</v>
      </c>
      <c r="E202" s="218">
        <v>46262</v>
      </c>
      <c r="F202" s="219" t="s">
        <v>4732</v>
      </c>
      <c r="G202" s="220" t="s">
        <v>80</v>
      </c>
      <c r="H202" s="221">
        <v>13850</v>
      </c>
      <c r="I202" s="221">
        <v>30890</v>
      </c>
      <c r="J202" s="221">
        <v>17040</v>
      </c>
    </row>
    <row r="203" spans="1:10" x14ac:dyDescent="0.3">
      <c r="A203" s="217">
        <v>199</v>
      </c>
      <c r="B203" s="217" t="s">
        <v>4733</v>
      </c>
      <c r="C203" s="218">
        <v>46262</v>
      </c>
      <c r="D203" s="219" t="s">
        <v>4734</v>
      </c>
      <c r="E203" s="218">
        <v>46262</v>
      </c>
      <c r="F203" s="219" t="s">
        <v>4735</v>
      </c>
      <c r="G203" s="220" t="s">
        <v>842</v>
      </c>
      <c r="H203" s="221">
        <v>13770</v>
      </c>
      <c r="I203" s="221">
        <v>31550</v>
      </c>
      <c r="J203" s="221">
        <v>17780</v>
      </c>
    </row>
    <row r="204" spans="1:10" x14ac:dyDescent="0.3">
      <c r="A204" s="217">
        <v>200</v>
      </c>
      <c r="B204" s="217" t="s">
        <v>4736</v>
      </c>
      <c r="C204" s="218">
        <v>46262</v>
      </c>
      <c r="D204" s="219" t="s">
        <v>4737</v>
      </c>
      <c r="E204" s="218">
        <v>46262</v>
      </c>
      <c r="F204" s="219" t="s">
        <v>666</v>
      </c>
      <c r="G204" s="220" t="s">
        <v>337</v>
      </c>
      <c r="H204" s="221">
        <v>13760</v>
      </c>
      <c r="I204" s="221">
        <v>31200</v>
      </c>
      <c r="J204" s="221">
        <v>17440</v>
      </c>
    </row>
    <row r="205" spans="1:10" x14ac:dyDescent="0.3">
      <c r="A205" s="217">
        <v>201</v>
      </c>
      <c r="B205" s="217" t="s">
        <v>4738</v>
      </c>
      <c r="C205" s="218">
        <v>46262</v>
      </c>
      <c r="D205" s="219" t="s">
        <v>4739</v>
      </c>
      <c r="E205" s="218">
        <v>46262</v>
      </c>
      <c r="F205" s="219" t="s">
        <v>3916</v>
      </c>
      <c r="G205" s="220" t="s">
        <v>336</v>
      </c>
      <c r="H205" s="221">
        <v>13650</v>
      </c>
      <c r="I205" s="221">
        <v>31310</v>
      </c>
      <c r="J205" s="221">
        <v>17660</v>
      </c>
    </row>
    <row r="206" spans="1:10" x14ac:dyDescent="0.3">
      <c r="A206" s="217">
        <v>202</v>
      </c>
      <c r="B206" s="217" t="s">
        <v>4740</v>
      </c>
      <c r="C206" s="218">
        <v>46262</v>
      </c>
      <c r="D206" s="219" t="s">
        <v>4741</v>
      </c>
      <c r="E206" s="218">
        <v>46262</v>
      </c>
      <c r="F206" s="219" t="s">
        <v>4742</v>
      </c>
      <c r="G206" s="220" t="s">
        <v>335</v>
      </c>
      <c r="H206" s="221">
        <v>13730</v>
      </c>
      <c r="I206" s="221">
        <v>31270</v>
      </c>
      <c r="J206" s="221">
        <v>17540</v>
      </c>
    </row>
    <row r="207" spans="1:10" x14ac:dyDescent="0.3">
      <c r="A207" s="217">
        <v>203</v>
      </c>
      <c r="B207" s="217" t="s">
        <v>4743</v>
      </c>
      <c r="C207" s="218">
        <v>46262</v>
      </c>
      <c r="D207" s="219" t="s">
        <v>4744</v>
      </c>
      <c r="E207" s="218">
        <v>46262</v>
      </c>
      <c r="F207" s="219" t="s">
        <v>4745</v>
      </c>
      <c r="G207" s="220" t="s">
        <v>90</v>
      </c>
      <c r="H207" s="221">
        <v>13720</v>
      </c>
      <c r="I207" s="221">
        <v>31740</v>
      </c>
      <c r="J207" s="221">
        <v>18020</v>
      </c>
    </row>
    <row r="208" spans="1:10" x14ac:dyDescent="0.3">
      <c r="A208" s="217">
        <v>204</v>
      </c>
      <c r="B208" s="217" t="s">
        <v>4746</v>
      </c>
      <c r="C208" s="218">
        <v>46262</v>
      </c>
      <c r="D208" s="219" t="s">
        <v>4747</v>
      </c>
      <c r="E208" s="218">
        <v>46262</v>
      </c>
      <c r="F208" s="219" t="s">
        <v>4748</v>
      </c>
      <c r="G208" s="220" t="s">
        <v>843</v>
      </c>
      <c r="H208" s="221">
        <v>14110</v>
      </c>
      <c r="I208" s="221">
        <v>31830</v>
      </c>
      <c r="J208" s="221">
        <v>17720</v>
      </c>
    </row>
    <row r="209" spans="1:10" x14ac:dyDescent="0.3">
      <c r="A209" s="217">
        <v>205</v>
      </c>
      <c r="B209" s="217" t="s">
        <v>4749</v>
      </c>
      <c r="C209" s="218">
        <v>46262</v>
      </c>
      <c r="D209" s="219" t="s">
        <v>4750</v>
      </c>
      <c r="E209" s="218">
        <v>46262</v>
      </c>
      <c r="F209" s="219" t="s">
        <v>4751</v>
      </c>
      <c r="G209" s="220" t="s">
        <v>85</v>
      </c>
      <c r="H209" s="221">
        <v>13970</v>
      </c>
      <c r="I209" s="221">
        <v>31290</v>
      </c>
      <c r="J209" s="221">
        <v>17320</v>
      </c>
    </row>
    <row r="210" spans="1:10" x14ac:dyDescent="0.3">
      <c r="A210" s="217">
        <v>206</v>
      </c>
      <c r="B210" s="217" t="s">
        <v>4752</v>
      </c>
      <c r="C210" s="218">
        <v>46262</v>
      </c>
      <c r="D210" s="219" t="s">
        <v>4753</v>
      </c>
      <c r="E210" s="218">
        <v>46262</v>
      </c>
      <c r="F210" s="219" t="s">
        <v>4754</v>
      </c>
      <c r="G210" s="220" t="s">
        <v>64</v>
      </c>
      <c r="H210" s="221">
        <v>14000</v>
      </c>
      <c r="I210" s="221">
        <v>31040</v>
      </c>
      <c r="J210" s="221">
        <v>17040</v>
      </c>
    </row>
    <row r="211" spans="1:10" x14ac:dyDescent="0.3">
      <c r="A211" s="217">
        <v>207</v>
      </c>
      <c r="B211" s="217" t="s">
        <v>4755</v>
      </c>
      <c r="C211" s="218">
        <v>46262</v>
      </c>
      <c r="D211" s="219" t="s">
        <v>4756</v>
      </c>
      <c r="E211" s="218">
        <v>46262</v>
      </c>
      <c r="F211" s="219" t="s">
        <v>4757</v>
      </c>
      <c r="G211" s="220" t="s">
        <v>71</v>
      </c>
      <c r="H211" s="221">
        <v>14010</v>
      </c>
      <c r="I211" s="221">
        <v>31330</v>
      </c>
      <c r="J211" s="221">
        <v>17320</v>
      </c>
    </row>
    <row r="212" spans="1:10" x14ac:dyDescent="0.3">
      <c r="A212" s="217">
        <v>208</v>
      </c>
      <c r="B212" s="217" t="s">
        <v>4758</v>
      </c>
      <c r="C212" s="218">
        <v>46262</v>
      </c>
      <c r="D212" s="219" t="s">
        <v>4038</v>
      </c>
      <c r="E212" s="218">
        <v>46262</v>
      </c>
      <c r="F212" s="219" t="s">
        <v>4759</v>
      </c>
      <c r="G212" s="220" t="s">
        <v>540</v>
      </c>
      <c r="H212" s="221">
        <v>13750</v>
      </c>
      <c r="I212" s="221">
        <v>31000</v>
      </c>
      <c r="J212" s="221">
        <v>17250</v>
      </c>
    </row>
    <row r="213" spans="1:10" x14ac:dyDescent="0.3">
      <c r="A213" s="217">
        <v>209</v>
      </c>
      <c r="B213" s="217" t="s">
        <v>4760</v>
      </c>
      <c r="C213" s="218">
        <v>46262</v>
      </c>
      <c r="D213" s="219" t="s">
        <v>4761</v>
      </c>
      <c r="E213" s="218">
        <v>46262</v>
      </c>
      <c r="F213" s="219" t="s">
        <v>4762</v>
      </c>
      <c r="G213" s="220" t="s">
        <v>840</v>
      </c>
      <c r="H213" s="221">
        <v>13880</v>
      </c>
      <c r="I213" s="221">
        <v>31020</v>
      </c>
      <c r="J213" s="221">
        <v>17140</v>
      </c>
    </row>
    <row r="214" spans="1:10" x14ac:dyDescent="0.3">
      <c r="A214" s="217">
        <v>210</v>
      </c>
      <c r="B214" s="217" t="s">
        <v>4763</v>
      </c>
      <c r="C214" s="218">
        <v>46262</v>
      </c>
      <c r="D214" s="219" t="s">
        <v>4764</v>
      </c>
      <c r="E214" s="218">
        <v>46262</v>
      </c>
      <c r="F214" s="219" t="s">
        <v>4765</v>
      </c>
      <c r="G214" s="220" t="s">
        <v>143</v>
      </c>
      <c r="H214" s="221">
        <v>13720</v>
      </c>
      <c r="I214" s="221">
        <v>31560</v>
      </c>
      <c r="J214" s="221">
        <v>17840</v>
      </c>
    </row>
    <row r="215" spans="1:10" x14ac:dyDescent="0.3">
      <c r="A215" s="217">
        <v>211</v>
      </c>
      <c r="B215" s="217" t="s">
        <v>4766</v>
      </c>
      <c r="C215" s="218">
        <v>46262</v>
      </c>
      <c r="D215" s="219" t="s">
        <v>554</v>
      </c>
      <c r="E215" s="218">
        <v>46262</v>
      </c>
      <c r="F215" s="219" t="s">
        <v>4767</v>
      </c>
      <c r="G215" s="220" t="s">
        <v>337</v>
      </c>
      <c r="H215" s="221">
        <v>13740</v>
      </c>
      <c r="I215" s="221">
        <v>32050</v>
      </c>
      <c r="J215" s="221">
        <v>18310</v>
      </c>
    </row>
    <row r="216" spans="1:10" x14ac:dyDescent="0.3">
      <c r="A216" s="217">
        <v>212</v>
      </c>
      <c r="B216" s="217" t="s">
        <v>4768</v>
      </c>
      <c r="C216" s="218">
        <v>46262</v>
      </c>
      <c r="D216" s="219" t="s">
        <v>4769</v>
      </c>
      <c r="E216" s="218">
        <v>46262</v>
      </c>
      <c r="F216" s="219" t="s">
        <v>4770</v>
      </c>
      <c r="G216" s="220" t="s">
        <v>80</v>
      </c>
      <c r="H216" s="221">
        <v>14180</v>
      </c>
      <c r="I216" s="221">
        <v>32000</v>
      </c>
      <c r="J216" s="221">
        <v>17820</v>
      </c>
    </row>
    <row r="217" spans="1:10" x14ac:dyDescent="0.3">
      <c r="A217" s="217">
        <v>213</v>
      </c>
      <c r="B217" s="217" t="s">
        <v>4771</v>
      </c>
      <c r="C217" s="218">
        <v>46262</v>
      </c>
      <c r="D217" s="219" t="s">
        <v>4772</v>
      </c>
      <c r="E217" s="218">
        <v>46262</v>
      </c>
      <c r="F217" s="219" t="s">
        <v>4773</v>
      </c>
      <c r="G217" s="220" t="s">
        <v>55</v>
      </c>
      <c r="H217" s="221">
        <v>13790</v>
      </c>
      <c r="I217" s="221">
        <v>31430</v>
      </c>
      <c r="J217" s="221">
        <v>17640</v>
      </c>
    </row>
    <row r="218" spans="1:10" x14ac:dyDescent="0.3">
      <c r="A218" s="217">
        <v>214</v>
      </c>
      <c r="B218" s="217" t="s">
        <v>4774</v>
      </c>
      <c r="C218" s="218">
        <v>46262</v>
      </c>
      <c r="D218" s="219" t="s">
        <v>4775</v>
      </c>
      <c r="E218" s="218">
        <v>46262</v>
      </c>
      <c r="F218" s="219" t="s">
        <v>4776</v>
      </c>
      <c r="G218" s="220" t="s">
        <v>336</v>
      </c>
      <c r="H218" s="221">
        <v>13930</v>
      </c>
      <c r="I218" s="221">
        <v>31180</v>
      </c>
      <c r="J218" s="221">
        <v>17250</v>
      </c>
    </row>
    <row r="219" spans="1:10" x14ac:dyDescent="0.3">
      <c r="A219" s="217">
        <v>215</v>
      </c>
      <c r="B219" s="217" t="s">
        <v>4777</v>
      </c>
      <c r="C219" s="218">
        <v>46262</v>
      </c>
      <c r="D219" s="219" t="s">
        <v>4778</v>
      </c>
      <c r="E219" s="218">
        <v>46262</v>
      </c>
      <c r="F219" s="219" t="s">
        <v>4779</v>
      </c>
      <c r="G219" s="220" t="s">
        <v>842</v>
      </c>
      <c r="H219" s="221">
        <v>14050</v>
      </c>
      <c r="I219" s="221">
        <v>32940</v>
      </c>
      <c r="J219" s="221">
        <v>18890</v>
      </c>
    </row>
    <row r="220" spans="1:10" x14ac:dyDescent="0.3">
      <c r="A220" s="217">
        <v>216</v>
      </c>
      <c r="B220" s="217" t="s">
        <v>4780</v>
      </c>
      <c r="C220" s="218">
        <v>46262</v>
      </c>
      <c r="D220" s="219" t="s">
        <v>4781</v>
      </c>
      <c r="E220" s="218">
        <v>46262</v>
      </c>
      <c r="F220" s="219" t="s">
        <v>4782</v>
      </c>
      <c r="G220" s="220" t="s">
        <v>335</v>
      </c>
      <c r="H220" s="221">
        <v>13690</v>
      </c>
      <c r="I220" s="221">
        <v>30790</v>
      </c>
      <c r="J220" s="221">
        <v>17100</v>
      </c>
    </row>
    <row r="221" spans="1:10" x14ac:dyDescent="0.3">
      <c r="A221" s="217">
        <v>217</v>
      </c>
      <c r="B221" s="217" t="s">
        <v>4783</v>
      </c>
      <c r="C221" s="218">
        <v>46262</v>
      </c>
      <c r="D221" s="219" t="s">
        <v>4039</v>
      </c>
      <c r="E221" s="218">
        <v>46262</v>
      </c>
      <c r="F221" s="219" t="s">
        <v>4784</v>
      </c>
      <c r="G221" s="220" t="s">
        <v>76</v>
      </c>
      <c r="H221" s="221">
        <v>13930</v>
      </c>
      <c r="I221" s="221">
        <v>31010</v>
      </c>
      <c r="J221" s="221">
        <v>17080</v>
      </c>
    </row>
    <row r="222" spans="1:10" x14ac:dyDescent="0.3">
      <c r="A222" s="217">
        <v>218</v>
      </c>
      <c r="B222" s="217" t="s">
        <v>4785</v>
      </c>
      <c r="C222" s="218">
        <v>46262</v>
      </c>
      <c r="D222" s="219" t="s">
        <v>4786</v>
      </c>
      <c r="E222" s="218">
        <v>46262</v>
      </c>
      <c r="F222" s="219" t="s">
        <v>4787</v>
      </c>
      <c r="G222" s="220" t="s">
        <v>90</v>
      </c>
      <c r="H222" s="221">
        <v>13680</v>
      </c>
      <c r="I222" s="221">
        <v>31210</v>
      </c>
      <c r="J222" s="221">
        <v>17530</v>
      </c>
    </row>
    <row r="223" spans="1:10" x14ac:dyDescent="0.3">
      <c r="A223" s="217">
        <v>219</v>
      </c>
      <c r="B223" s="217" t="s">
        <v>4788</v>
      </c>
      <c r="C223" s="218">
        <v>46262</v>
      </c>
      <c r="D223" s="219" t="s">
        <v>4789</v>
      </c>
      <c r="E223" s="218">
        <v>46262</v>
      </c>
      <c r="F223" s="219" t="s">
        <v>4790</v>
      </c>
      <c r="G223" s="220" t="s">
        <v>64</v>
      </c>
      <c r="H223" s="221">
        <v>13970</v>
      </c>
      <c r="I223" s="221">
        <v>31230</v>
      </c>
      <c r="J223" s="221">
        <v>17260</v>
      </c>
    </row>
    <row r="224" spans="1:10" x14ac:dyDescent="0.3">
      <c r="A224" s="217">
        <v>220</v>
      </c>
      <c r="B224" s="217" t="s">
        <v>4791</v>
      </c>
      <c r="C224" s="218">
        <v>46262</v>
      </c>
      <c r="D224" s="219" t="s">
        <v>811</v>
      </c>
      <c r="E224" s="218">
        <v>46262</v>
      </c>
      <c r="F224" s="219" t="s">
        <v>4792</v>
      </c>
      <c r="G224" s="220" t="s">
        <v>540</v>
      </c>
      <c r="H224" s="221">
        <v>13840</v>
      </c>
      <c r="I224" s="221">
        <v>30720</v>
      </c>
      <c r="J224" s="221">
        <v>16880</v>
      </c>
    </row>
    <row r="225" spans="1:10" x14ac:dyDescent="0.3">
      <c r="A225" s="217">
        <v>221</v>
      </c>
      <c r="B225" s="217" t="s">
        <v>4793</v>
      </c>
      <c r="C225" s="218">
        <v>46262</v>
      </c>
      <c r="D225" s="219" t="s">
        <v>4794</v>
      </c>
      <c r="E225" s="218">
        <v>46262</v>
      </c>
      <c r="F225" s="219" t="s">
        <v>4795</v>
      </c>
      <c r="G225" s="220" t="s">
        <v>843</v>
      </c>
      <c r="H225" s="221">
        <v>13880</v>
      </c>
      <c r="I225" s="221">
        <v>31360</v>
      </c>
      <c r="J225" s="221">
        <v>17480</v>
      </c>
    </row>
    <row r="226" spans="1:10" x14ac:dyDescent="0.3">
      <c r="A226" s="217">
        <v>222</v>
      </c>
      <c r="B226" s="217" t="s">
        <v>4796</v>
      </c>
      <c r="C226" s="218">
        <v>46262</v>
      </c>
      <c r="D226" s="219" t="s">
        <v>4797</v>
      </c>
      <c r="E226" s="218">
        <v>46262</v>
      </c>
      <c r="F226" s="219" t="s">
        <v>4798</v>
      </c>
      <c r="G226" s="220" t="s">
        <v>840</v>
      </c>
      <c r="H226" s="221">
        <v>13890</v>
      </c>
      <c r="I226" s="221">
        <v>30680</v>
      </c>
      <c r="J226" s="221">
        <v>16790</v>
      </c>
    </row>
    <row r="227" spans="1:10" x14ac:dyDescent="0.3">
      <c r="A227" s="217">
        <v>223</v>
      </c>
      <c r="B227" s="217" t="s">
        <v>4799</v>
      </c>
      <c r="C227" s="218">
        <v>46262</v>
      </c>
      <c r="D227" s="219" t="s">
        <v>4800</v>
      </c>
      <c r="E227" s="218">
        <v>46262</v>
      </c>
      <c r="F227" s="219" t="s">
        <v>4801</v>
      </c>
      <c r="G227" s="220" t="s">
        <v>337</v>
      </c>
      <c r="H227" s="221">
        <v>13990</v>
      </c>
      <c r="I227" s="221">
        <v>30040</v>
      </c>
      <c r="J227" s="221">
        <v>16050</v>
      </c>
    </row>
    <row r="228" spans="1:10" x14ac:dyDescent="0.3">
      <c r="A228" s="217">
        <v>224</v>
      </c>
      <c r="B228" s="217" t="s">
        <v>4802</v>
      </c>
      <c r="C228" s="218">
        <v>46262</v>
      </c>
      <c r="D228" s="219" t="s">
        <v>4803</v>
      </c>
      <c r="E228" s="218">
        <v>46262</v>
      </c>
      <c r="F228" s="219" t="s">
        <v>4804</v>
      </c>
      <c r="G228" s="220" t="s">
        <v>85</v>
      </c>
      <c r="H228" s="221">
        <v>13930</v>
      </c>
      <c r="I228" s="221">
        <v>30620</v>
      </c>
      <c r="J228" s="221">
        <v>16690</v>
      </c>
    </row>
    <row r="229" spans="1:10" x14ac:dyDescent="0.3">
      <c r="A229" s="217">
        <v>225</v>
      </c>
      <c r="B229" s="217" t="s">
        <v>4805</v>
      </c>
      <c r="C229" s="218">
        <v>46262</v>
      </c>
      <c r="D229" s="219" t="s">
        <v>4806</v>
      </c>
      <c r="E229" s="218">
        <v>46262</v>
      </c>
      <c r="F229" s="219" t="s">
        <v>4807</v>
      </c>
      <c r="G229" s="220" t="s">
        <v>55</v>
      </c>
      <c r="H229" s="221">
        <v>13760</v>
      </c>
      <c r="I229" s="221">
        <v>30730</v>
      </c>
      <c r="J229" s="221">
        <v>16970</v>
      </c>
    </row>
    <row r="230" spans="1:10" x14ac:dyDescent="0.3">
      <c r="A230" s="217">
        <v>226</v>
      </c>
      <c r="B230" s="217" t="s">
        <v>4808</v>
      </c>
      <c r="C230" s="218">
        <v>46262</v>
      </c>
      <c r="D230" s="219" t="s">
        <v>4809</v>
      </c>
      <c r="E230" s="218">
        <v>46262</v>
      </c>
      <c r="F230" s="219" t="s">
        <v>4810</v>
      </c>
      <c r="G230" s="220" t="s">
        <v>80</v>
      </c>
      <c r="H230" s="221">
        <v>14200</v>
      </c>
      <c r="I230" s="221">
        <v>31860</v>
      </c>
      <c r="J230" s="221">
        <v>17660</v>
      </c>
    </row>
    <row r="231" spans="1:10" x14ac:dyDescent="0.3">
      <c r="A231" s="217">
        <v>227</v>
      </c>
      <c r="B231" s="217" t="s">
        <v>4811</v>
      </c>
      <c r="C231" s="218">
        <v>46262</v>
      </c>
      <c r="D231" s="219" t="s">
        <v>4812</v>
      </c>
      <c r="E231" s="218">
        <v>46262</v>
      </c>
      <c r="F231" s="219" t="s">
        <v>4813</v>
      </c>
      <c r="G231" s="220" t="s">
        <v>71</v>
      </c>
      <c r="H231" s="221">
        <v>13970</v>
      </c>
      <c r="I231" s="221">
        <v>31630</v>
      </c>
      <c r="J231" s="221">
        <v>17660</v>
      </c>
    </row>
    <row r="232" spans="1:10" x14ac:dyDescent="0.3">
      <c r="A232" s="217">
        <v>228</v>
      </c>
      <c r="B232" s="217" t="s">
        <v>4814</v>
      </c>
      <c r="C232" s="218">
        <v>46262</v>
      </c>
      <c r="D232" s="219" t="s">
        <v>4815</v>
      </c>
      <c r="E232" s="218">
        <v>46262</v>
      </c>
      <c r="F232" s="219" t="s">
        <v>4816</v>
      </c>
      <c r="G232" s="220" t="s">
        <v>842</v>
      </c>
      <c r="H232" s="221">
        <v>14020</v>
      </c>
      <c r="I232" s="221">
        <v>30770</v>
      </c>
      <c r="J232" s="221">
        <v>16750</v>
      </c>
    </row>
    <row r="233" spans="1:10" x14ac:dyDescent="0.3">
      <c r="A233" s="217">
        <v>229</v>
      </c>
      <c r="B233" s="217" t="s">
        <v>4817</v>
      </c>
      <c r="C233" s="218">
        <v>46262</v>
      </c>
      <c r="D233" s="219" t="s">
        <v>619</v>
      </c>
      <c r="E233" s="218">
        <v>46262</v>
      </c>
      <c r="F233" s="219" t="s">
        <v>4818</v>
      </c>
      <c r="G233" s="220" t="s">
        <v>143</v>
      </c>
      <c r="H233" s="221">
        <v>13960</v>
      </c>
      <c r="I233" s="221">
        <v>30330</v>
      </c>
      <c r="J233" s="221">
        <v>16370</v>
      </c>
    </row>
    <row r="234" spans="1:10" x14ac:dyDescent="0.3">
      <c r="A234" s="217">
        <v>230</v>
      </c>
      <c r="B234" s="217" t="s">
        <v>4819</v>
      </c>
      <c r="C234" s="218">
        <v>46262</v>
      </c>
      <c r="D234" s="219" t="s">
        <v>4820</v>
      </c>
      <c r="E234" s="218">
        <v>46262</v>
      </c>
      <c r="F234" s="219" t="s">
        <v>4821</v>
      </c>
      <c r="G234" s="220" t="s">
        <v>336</v>
      </c>
      <c r="H234" s="221">
        <v>13900</v>
      </c>
      <c r="I234" s="221">
        <v>30730</v>
      </c>
      <c r="J234" s="221">
        <v>16830</v>
      </c>
    </row>
    <row r="235" spans="1:10" x14ac:dyDescent="0.3">
      <c r="A235" s="217">
        <v>231</v>
      </c>
      <c r="B235" s="217" t="s">
        <v>4822</v>
      </c>
      <c r="C235" s="218">
        <v>46262</v>
      </c>
      <c r="D235" s="219" t="s">
        <v>4823</v>
      </c>
      <c r="E235" s="218">
        <v>46262</v>
      </c>
      <c r="F235" s="219" t="s">
        <v>4824</v>
      </c>
      <c r="G235" s="220" t="s">
        <v>335</v>
      </c>
      <c r="H235" s="221">
        <v>14020</v>
      </c>
      <c r="I235" s="221">
        <v>30660</v>
      </c>
      <c r="J235" s="221">
        <v>16640</v>
      </c>
    </row>
    <row r="236" spans="1:10" x14ac:dyDescent="0.3">
      <c r="A236" s="217">
        <v>232</v>
      </c>
      <c r="B236" s="217" t="s">
        <v>4825</v>
      </c>
      <c r="C236" s="218">
        <v>46262</v>
      </c>
      <c r="D236" s="219" t="s">
        <v>516</v>
      </c>
      <c r="E236" s="218">
        <v>46262</v>
      </c>
      <c r="F236" s="219" t="s">
        <v>4826</v>
      </c>
      <c r="G236" s="220" t="s">
        <v>90</v>
      </c>
      <c r="H236" s="221">
        <v>13960</v>
      </c>
      <c r="I236" s="221">
        <v>30500</v>
      </c>
      <c r="J236" s="221">
        <v>16540</v>
      </c>
    </row>
    <row r="237" spans="1:10" x14ac:dyDescent="0.3">
      <c r="A237" s="217">
        <v>233</v>
      </c>
      <c r="B237" s="217" t="s">
        <v>4827</v>
      </c>
      <c r="C237" s="218">
        <v>46262</v>
      </c>
      <c r="D237" s="219" t="s">
        <v>4828</v>
      </c>
      <c r="E237" s="218">
        <v>46262</v>
      </c>
      <c r="F237" s="219" t="s">
        <v>4829</v>
      </c>
      <c r="G237" s="220" t="s">
        <v>76</v>
      </c>
      <c r="H237" s="221">
        <v>13900</v>
      </c>
      <c r="I237" s="221">
        <v>31030</v>
      </c>
      <c r="J237" s="221">
        <v>17130</v>
      </c>
    </row>
    <row r="238" spans="1:10" x14ac:dyDescent="0.3">
      <c r="A238" s="217">
        <v>234</v>
      </c>
      <c r="B238" s="217" t="s">
        <v>4830</v>
      </c>
      <c r="C238" s="218">
        <v>46262</v>
      </c>
      <c r="D238" s="219" t="s">
        <v>4831</v>
      </c>
      <c r="E238" s="218">
        <v>46262</v>
      </c>
      <c r="F238" s="219" t="s">
        <v>4832</v>
      </c>
      <c r="G238" s="220" t="s">
        <v>64</v>
      </c>
      <c r="H238" s="221">
        <v>13940</v>
      </c>
      <c r="I238" s="221">
        <v>31500</v>
      </c>
      <c r="J238" s="221">
        <v>17560</v>
      </c>
    </row>
    <row r="239" spans="1:10" x14ac:dyDescent="0.3">
      <c r="A239" s="217">
        <v>235</v>
      </c>
      <c r="B239" s="217" t="s">
        <v>4833</v>
      </c>
      <c r="C239" s="218">
        <v>46262</v>
      </c>
      <c r="D239" s="219" t="s">
        <v>4834</v>
      </c>
      <c r="E239" s="218">
        <v>46262</v>
      </c>
      <c r="F239" s="219" t="s">
        <v>4835</v>
      </c>
      <c r="G239" s="220" t="s">
        <v>840</v>
      </c>
      <c r="H239" s="221">
        <v>13850</v>
      </c>
      <c r="I239" s="221">
        <v>31120</v>
      </c>
      <c r="J239" s="221">
        <v>17270</v>
      </c>
    </row>
    <row r="240" spans="1:10" x14ac:dyDescent="0.3">
      <c r="A240" s="217">
        <v>236</v>
      </c>
      <c r="B240" s="217" t="s">
        <v>4836</v>
      </c>
      <c r="C240" s="218">
        <v>46262</v>
      </c>
      <c r="D240" s="219" t="s">
        <v>4837</v>
      </c>
      <c r="E240" s="218">
        <v>46262</v>
      </c>
      <c r="F240" s="219" t="s">
        <v>4838</v>
      </c>
      <c r="G240" s="220" t="s">
        <v>843</v>
      </c>
      <c r="H240" s="221">
        <v>14020</v>
      </c>
      <c r="I240" s="221">
        <v>30700</v>
      </c>
      <c r="J240" s="221">
        <v>16680</v>
      </c>
    </row>
    <row r="241" spans="1:10" x14ac:dyDescent="0.3">
      <c r="A241" s="217">
        <v>237</v>
      </c>
      <c r="B241" s="217" t="s">
        <v>4839</v>
      </c>
      <c r="C241" s="218">
        <v>46262</v>
      </c>
      <c r="D241" s="219" t="s">
        <v>4840</v>
      </c>
      <c r="E241" s="218">
        <v>46262</v>
      </c>
      <c r="F241" s="219" t="s">
        <v>4841</v>
      </c>
      <c r="G241" s="220" t="s">
        <v>85</v>
      </c>
      <c r="H241" s="221">
        <v>13890</v>
      </c>
      <c r="I241" s="221">
        <v>31130</v>
      </c>
      <c r="J241" s="221">
        <v>17240</v>
      </c>
    </row>
    <row r="242" spans="1:10" x14ac:dyDescent="0.3">
      <c r="A242" s="217">
        <v>238</v>
      </c>
      <c r="B242" s="217" t="s">
        <v>4842</v>
      </c>
      <c r="C242" s="218">
        <v>46262</v>
      </c>
      <c r="D242" s="219" t="s">
        <v>4843</v>
      </c>
      <c r="E242" s="218">
        <v>46262</v>
      </c>
      <c r="F242" s="219" t="s">
        <v>4844</v>
      </c>
      <c r="G242" s="220" t="s">
        <v>337</v>
      </c>
      <c r="H242" s="221">
        <v>13960</v>
      </c>
      <c r="I242" s="221">
        <v>31010</v>
      </c>
      <c r="J242" s="221">
        <v>17050</v>
      </c>
    </row>
    <row r="243" spans="1:10" x14ac:dyDescent="0.3">
      <c r="A243" s="217">
        <v>239</v>
      </c>
      <c r="B243" s="217" t="s">
        <v>4845</v>
      </c>
      <c r="C243" s="218">
        <v>46262</v>
      </c>
      <c r="D243" s="219" t="s">
        <v>4846</v>
      </c>
      <c r="E243" s="218">
        <v>46262</v>
      </c>
      <c r="F243" s="219" t="s">
        <v>4847</v>
      </c>
      <c r="G243" s="220" t="s">
        <v>80</v>
      </c>
      <c r="H243" s="221">
        <v>14120</v>
      </c>
      <c r="I243" s="221">
        <v>30620</v>
      </c>
      <c r="J243" s="221">
        <v>16500</v>
      </c>
    </row>
    <row r="244" spans="1:10" x14ac:dyDescent="0.3">
      <c r="A244" s="217">
        <v>240</v>
      </c>
      <c r="B244" s="217" t="s">
        <v>4848</v>
      </c>
      <c r="C244" s="218">
        <v>46262</v>
      </c>
      <c r="D244" s="219" t="s">
        <v>4849</v>
      </c>
      <c r="E244" s="218">
        <v>46262</v>
      </c>
      <c r="F244" s="219" t="s">
        <v>4850</v>
      </c>
      <c r="G244" s="220" t="s">
        <v>43</v>
      </c>
      <c r="H244" s="221">
        <v>13940</v>
      </c>
      <c r="I244" s="221">
        <v>30520</v>
      </c>
      <c r="J244" s="221">
        <v>16580</v>
      </c>
    </row>
    <row r="245" spans="1:10" x14ac:dyDescent="0.3">
      <c r="A245" s="217">
        <v>241</v>
      </c>
      <c r="B245" s="217" t="s">
        <v>4851</v>
      </c>
      <c r="C245" s="218">
        <v>46262</v>
      </c>
      <c r="D245" s="219" t="s">
        <v>4852</v>
      </c>
      <c r="E245" s="218">
        <v>46262</v>
      </c>
      <c r="F245" s="219" t="s">
        <v>4853</v>
      </c>
      <c r="G245" s="220" t="s">
        <v>55</v>
      </c>
      <c r="H245" s="221">
        <v>13710</v>
      </c>
      <c r="I245" s="221">
        <v>30420</v>
      </c>
      <c r="J245" s="221">
        <v>16710</v>
      </c>
    </row>
    <row r="246" spans="1:10" x14ac:dyDescent="0.3">
      <c r="A246" s="217">
        <v>242</v>
      </c>
      <c r="B246" s="217" t="s">
        <v>4854</v>
      </c>
      <c r="C246" s="218">
        <v>46262</v>
      </c>
      <c r="D246" s="219" t="s">
        <v>4855</v>
      </c>
      <c r="E246" s="218">
        <v>46262</v>
      </c>
      <c r="F246" s="219" t="s">
        <v>4856</v>
      </c>
      <c r="G246" s="220" t="s">
        <v>537</v>
      </c>
      <c r="H246" s="221">
        <v>13850</v>
      </c>
      <c r="I246" s="221">
        <v>30020</v>
      </c>
      <c r="J246" s="221">
        <v>16170</v>
      </c>
    </row>
    <row r="247" spans="1:10" x14ac:dyDescent="0.3">
      <c r="A247" s="217">
        <v>243</v>
      </c>
      <c r="B247" s="217" t="s">
        <v>4857</v>
      </c>
      <c r="C247" s="218">
        <v>46262</v>
      </c>
      <c r="D247" s="219" t="s">
        <v>4858</v>
      </c>
      <c r="E247" s="218">
        <v>46262</v>
      </c>
      <c r="F247" s="219" t="s">
        <v>4859</v>
      </c>
      <c r="G247" s="220" t="s">
        <v>842</v>
      </c>
      <c r="H247" s="221">
        <v>13980</v>
      </c>
      <c r="I247" s="221">
        <v>30380</v>
      </c>
      <c r="J247" s="221">
        <v>16400</v>
      </c>
    </row>
    <row r="248" spans="1:10" x14ac:dyDescent="0.3">
      <c r="A248" s="217">
        <v>244</v>
      </c>
      <c r="B248" s="217" t="s">
        <v>4860</v>
      </c>
      <c r="C248" s="218">
        <v>46262</v>
      </c>
      <c r="D248" s="219" t="s">
        <v>4861</v>
      </c>
      <c r="E248" s="218">
        <v>46262</v>
      </c>
      <c r="F248" s="219" t="s">
        <v>4862</v>
      </c>
      <c r="G248" s="220" t="s">
        <v>71</v>
      </c>
      <c r="H248" s="221">
        <v>13940</v>
      </c>
      <c r="I248" s="221">
        <v>30130</v>
      </c>
      <c r="J248" s="221">
        <v>16190</v>
      </c>
    </row>
    <row r="249" spans="1:10" x14ac:dyDescent="0.3">
      <c r="A249" s="217">
        <v>245</v>
      </c>
      <c r="B249" s="217" t="s">
        <v>4863</v>
      </c>
      <c r="C249" s="218">
        <v>46262</v>
      </c>
      <c r="D249" s="219" t="s">
        <v>4864</v>
      </c>
      <c r="E249" s="218">
        <v>46262</v>
      </c>
      <c r="F249" s="219" t="s">
        <v>4865</v>
      </c>
      <c r="G249" s="220" t="s">
        <v>540</v>
      </c>
      <c r="H249" s="221">
        <v>13820</v>
      </c>
      <c r="I249" s="221">
        <v>30890</v>
      </c>
      <c r="J249" s="221">
        <v>17070</v>
      </c>
    </row>
    <row r="250" spans="1:10" x14ac:dyDescent="0.3">
      <c r="A250" s="217">
        <v>246</v>
      </c>
      <c r="B250" s="217" t="s">
        <v>4866</v>
      </c>
      <c r="C250" s="218">
        <v>46262</v>
      </c>
      <c r="D250" s="219" t="s">
        <v>4867</v>
      </c>
      <c r="E250" s="218">
        <v>46262</v>
      </c>
      <c r="F250" s="219" t="s">
        <v>4868</v>
      </c>
      <c r="G250" s="220" t="s">
        <v>336</v>
      </c>
      <c r="H250" s="221">
        <v>13860</v>
      </c>
      <c r="I250" s="221">
        <v>29560</v>
      </c>
      <c r="J250" s="221">
        <v>15700</v>
      </c>
    </row>
    <row r="251" spans="1:10" x14ac:dyDescent="0.3">
      <c r="A251" s="217">
        <v>247</v>
      </c>
      <c r="B251" s="217" t="s">
        <v>4869</v>
      </c>
      <c r="C251" s="218">
        <v>46262</v>
      </c>
      <c r="D251" s="219" t="s">
        <v>4870</v>
      </c>
      <c r="E251" s="218">
        <v>46262</v>
      </c>
      <c r="F251" s="219" t="s">
        <v>4871</v>
      </c>
      <c r="G251" s="220" t="s">
        <v>143</v>
      </c>
      <c r="H251" s="221">
        <v>13920</v>
      </c>
      <c r="I251" s="221">
        <v>30390</v>
      </c>
      <c r="J251" s="221">
        <v>16470</v>
      </c>
    </row>
    <row r="252" spans="1:10" x14ac:dyDescent="0.3">
      <c r="A252" s="217">
        <v>248</v>
      </c>
      <c r="B252" s="217" t="s">
        <v>4872</v>
      </c>
      <c r="C252" s="218">
        <v>46262</v>
      </c>
      <c r="D252" s="219" t="s">
        <v>4873</v>
      </c>
      <c r="E252" s="218">
        <v>46262</v>
      </c>
      <c r="F252" s="219" t="s">
        <v>4874</v>
      </c>
      <c r="G252" s="220" t="s">
        <v>335</v>
      </c>
      <c r="H252" s="221">
        <v>13950</v>
      </c>
      <c r="I252" s="221">
        <v>30570</v>
      </c>
      <c r="J252" s="221">
        <v>16620</v>
      </c>
    </row>
    <row r="253" spans="1:10" x14ac:dyDescent="0.3">
      <c r="A253" s="217">
        <v>249</v>
      </c>
      <c r="B253" s="217" t="s">
        <v>4875</v>
      </c>
      <c r="C253" s="218">
        <v>46263</v>
      </c>
      <c r="D253" s="219" t="s">
        <v>4876</v>
      </c>
      <c r="E253" s="218">
        <v>46263</v>
      </c>
      <c r="F253" s="219" t="s">
        <v>4877</v>
      </c>
      <c r="G253" s="220" t="s">
        <v>90</v>
      </c>
      <c r="H253" s="221">
        <v>13880</v>
      </c>
      <c r="I253" s="221">
        <v>29920</v>
      </c>
      <c r="J253" s="221">
        <v>16040</v>
      </c>
    </row>
    <row r="254" spans="1:10" x14ac:dyDescent="0.3">
      <c r="A254" s="217">
        <v>250</v>
      </c>
      <c r="B254" s="217" t="s">
        <v>4878</v>
      </c>
      <c r="C254" s="218">
        <v>46263</v>
      </c>
      <c r="D254" s="219" t="s">
        <v>4879</v>
      </c>
      <c r="E254" s="218">
        <v>46263</v>
      </c>
      <c r="F254" s="219" t="s">
        <v>4880</v>
      </c>
      <c r="G254" s="220" t="s">
        <v>80</v>
      </c>
      <c r="H254" s="221">
        <v>14090</v>
      </c>
      <c r="I254" s="221">
        <v>30370</v>
      </c>
      <c r="J254" s="221">
        <v>16280</v>
      </c>
    </row>
    <row r="255" spans="1:10" x14ac:dyDescent="0.3">
      <c r="A255" s="217">
        <v>251</v>
      </c>
      <c r="B255" s="217" t="s">
        <v>4881</v>
      </c>
      <c r="C255" s="218">
        <v>46263</v>
      </c>
      <c r="D255" s="219" t="s">
        <v>4882</v>
      </c>
      <c r="E255" s="218">
        <v>46263</v>
      </c>
      <c r="F255" s="219" t="s">
        <v>4883</v>
      </c>
      <c r="G255" s="220" t="s">
        <v>71</v>
      </c>
      <c r="H255" s="221">
        <v>13910</v>
      </c>
      <c r="I255" s="221">
        <v>31200</v>
      </c>
      <c r="J255" s="221">
        <v>17290</v>
      </c>
    </row>
    <row r="256" spans="1:10" x14ac:dyDescent="0.3">
      <c r="A256" s="217">
        <v>252</v>
      </c>
      <c r="B256" s="217" t="s">
        <v>4884</v>
      </c>
      <c r="C256" s="218">
        <v>46263</v>
      </c>
      <c r="D256" s="219" t="s">
        <v>4885</v>
      </c>
      <c r="E256" s="218">
        <v>46263</v>
      </c>
      <c r="F256" s="219" t="s">
        <v>4886</v>
      </c>
      <c r="G256" s="220" t="s">
        <v>43</v>
      </c>
      <c r="H256" s="221">
        <v>13900</v>
      </c>
      <c r="I256" s="221">
        <v>30620</v>
      </c>
      <c r="J256" s="221">
        <v>16720</v>
      </c>
    </row>
    <row r="257" spans="1:10" x14ac:dyDescent="0.3">
      <c r="A257" s="217">
        <v>253</v>
      </c>
      <c r="B257" s="217" t="s">
        <v>4887</v>
      </c>
      <c r="C257" s="218">
        <v>46263</v>
      </c>
      <c r="D257" s="219" t="s">
        <v>4888</v>
      </c>
      <c r="E257" s="218">
        <v>46263</v>
      </c>
      <c r="F257" s="219" t="s">
        <v>4889</v>
      </c>
      <c r="G257" s="220" t="s">
        <v>76</v>
      </c>
      <c r="H257" s="221">
        <v>13870</v>
      </c>
      <c r="I257" s="221">
        <v>31580</v>
      </c>
      <c r="J257" s="221">
        <v>17710</v>
      </c>
    </row>
    <row r="258" spans="1:10" x14ac:dyDescent="0.3">
      <c r="A258" s="217">
        <v>254</v>
      </c>
      <c r="B258" s="217" t="s">
        <v>4890</v>
      </c>
      <c r="C258" s="218">
        <v>46263</v>
      </c>
      <c r="D258" s="219" t="s">
        <v>4891</v>
      </c>
      <c r="E258" s="218">
        <v>46263</v>
      </c>
      <c r="F258" s="219" t="s">
        <v>4892</v>
      </c>
      <c r="G258" s="220" t="s">
        <v>335</v>
      </c>
      <c r="H258" s="221">
        <v>13920</v>
      </c>
      <c r="I258" s="221">
        <v>30240</v>
      </c>
      <c r="J258" s="221">
        <v>16320</v>
      </c>
    </row>
    <row r="259" spans="1:10" x14ac:dyDescent="0.3">
      <c r="A259" s="217">
        <v>255</v>
      </c>
      <c r="B259" s="217" t="s">
        <v>4893</v>
      </c>
      <c r="C259" s="218">
        <v>46263</v>
      </c>
      <c r="D259" s="219" t="s">
        <v>4894</v>
      </c>
      <c r="E259" s="218">
        <v>46263</v>
      </c>
      <c r="F259" s="219" t="s">
        <v>4895</v>
      </c>
      <c r="G259" s="220" t="s">
        <v>537</v>
      </c>
      <c r="H259" s="221">
        <v>13810</v>
      </c>
      <c r="I259" s="221">
        <v>29360</v>
      </c>
      <c r="J259" s="221">
        <v>15550</v>
      </c>
    </row>
    <row r="260" spans="1:10" x14ac:dyDescent="0.3">
      <c r="A260" s="217">
        <v>256</v>
      </c>
      <c r="B260" s="217" t="s">
        <v>4896</v>
      </c>
      <c r="C260" s="218">
        <v>46263</v>
      </c>
      <c r="D260" s="219" t="s">
        <v>4897</v>
      </c>
      <c r="E260" s="218">
        <v>46263</v>
      </c>
      <c r="F260" s="219" t="s">
        <v>4898</v>
      </c>
      <c r="G260" s="220" t="s">
        <v>843</v>
      </c>
      <c r="H260" s="221">
        <v>13970</v>
      </c>
      <c r="I260" s="221">
        <v>30080</v>
      </c>
      <c r="J260" s="221">
        <v>16110</v>
      </c>
    </row>
    <row r="261" spans="1:10" x14ac:dyDescent="0.3">
      <c r="A261" s="217">
        <v>257</v>
      </c>
      <c r="B261" s="217" t="s">
        <v>4899</v>
      </c>
      <c r="C261" s="218">
        <v>46263</v>
      </c>
      <c r="D261" s="219" t="s">
        <v>4900</v>
      </c>
      <c r="E261" s="218">
        <v>46263</v>
      </c>
      <c r="F261" s="219" t="s">
        <v>4901</v>
      </c>
      <c r="G261" s="220" t="s">
        <v>80</v>
      </c>
      <c r="H261" s="221">
        <v>14050</v>
      </c>
      <c r="I261" s="221">
        <v>29640</v>
      </c>
      <c r="J261" s="221">
        <v>15590</v>
      </c>
    </row>
    <row r="262" spans="1:10" x14ac:dyDescent="0.3">
      <c r="A262" s="217">
        <v>258</v>
      </c>
      <c r="B262" s="217" t="s">
        <v>4902</v>
      </c>
      <c r="C262" s="218">
        <v>46263</v>
      </c>
      <c r="D262" s="219" t="s">
        <v>4903</v>
      </c>
      <c r="E262" s="218">
        <v>46263</v>
      </c>
      <c r="F262" s="219" t="s">
        <v>4904</v>
      </c>
      <c r="G262" s="220" t="s">
        <v>76</v>
      </c>
      <c r="H262" s="221">
        <v>13840</v>
      </c>
      <c r="I262" s="221">
        <v>30670</v>
      </c>
      <c r="J262" s="221">
        <v>16830</v>
      </c>
    </row>
    <row r="263" spans="1:10" x14ac:dyDescent="0.3">
      <c r="A263" s="217">
        <v>259</v>
      </c>
      <c r="B263" s="217" t="s">
        <v>4905</v>
      </c>
      <c r="C263" s="218">
        <v>46263</v>
      </c>
      <c r="D263" s="219" t="s">
        <v>4906</v>
      </c>
      <c r="E263" s="218">
        <v>46263</v>
      </c>
      <c r="F263" s="219" t="s">
        <v>4907</v>
      </c>
      <c r="G263" s="220" t="s">
        <v>64</v>
      </c>
      <c r="H263" s="221">
        <v>13900</v>
      </c>
      <c r="I263" s="221">
        <v>30970</v>
      </c>
      <c r="J263" s="221">
        <v>17070</v>
      </c>
    </row>
    <row r="264" spans="1:10" x14ac:dyDescent="0.3">
      <c r="A264" s="217">
        <v>260</v>
      </c>
      <c r="B264" s="217" t="s">
        <v>4908</v>
      </c>
      <c r="C264" s="218">
        <v>46263</v>
      </c>
      <c r="D264" s="219" t="s">
        <v>4909</v>
      </c>
      <c r="E264" s="218">
        <v>46263</v>
      </c>
      <c r="F264" s="219" t="s">
        <v>4910</v>
      </c>
      <c r="G264" s="220" t="s">
        <v>540</v>
      </c>
      <c r="H264" s="221">
        <v>13790</v>
      </c>
      <c r="I264" s="221">
        <v>30370</v>
      </c>
      <c r="J264" s="221">
        <v>16580</v>
      </c>
    </row>
    <row r="265" spans="1:10" x14ac:dyDescent="0.3">
      <c r="A265" s="217">
        <v>261</v>
      </c>
      <c r="B265" s="217" t="s">
        <v>4911</v>
      </c>
      <c r="C265" s="218">
        <v>46263</v>
      </c>
      <c r="D265" s="219" t="s">
        <v>4912</v>
      </c>
      <c r="E265" s="218">
        <v>46263</v>
      </c>
      <c r="F265" s="219" t="s">
        <v>4913</v>
      </c>
      <c r="G265" s="220" t="s">
        <v>143</v>
      </c>
      <c r="H265" s="221">
        <v>13910</v>
      </c>
      <c r="I265" s="221">
        <v>31080</v>
      </c>
      <c r="J265" s="221">
        <v>17170</v>
      </c>
    </row>
    <row r="266" spans="1:10" x14ac:dyDescent="0.3">
      <c r="A266" s="217">
        <v>262</v>
      </c>
      <c r="B266" s="217" t="s">
        <v>4914</v>
      </c>
      <c r="C266" s="218">
        <v>46263</v>
      </c>
      <c r="D266" s="219" t="s">
        <v>3496</v>
      </c>
      <c r="E266" s="218">
        <v>46263</v>
      </c>
      <c r="F266" s="219" t="s">
        <v>4915</v>
      </c>
      <c r="G266" s="220" t="s">
        <v>43</v>
      </c>
      <c r="H266" s="221">
        <v>13880</v>
      </c>
      <c r="I266" s="221">
        <v>30340</v>
      </c>
      <c r="J266" s="221">
        <v>16460</v>
      </c>
    </row>
    <row r="267" spans="1:10" x14ac:dyDescent="0.3">
      <c r="A267" s="217">
        <v>263</v>
      </c>
      <c r="B267" s="217" t="s">
        <v>4916</v>
      </c>
      <c r="C267" s="218">
        <v>46263</v>
      </c>
      <c r="D267" s="219" t="s">
        <v>4917</v>
      </c>
      <c r="E267" s="218">
        <v>46263</v>
      </c>
      <c r="F267" s="219" t="s">
        <v>4918</v>
      </c>
      <c r="G267" s="220" t="s">
        <v>337</v>
      </c>
      <c r="H267" s="221">
        <v>13860</v>
      </c>
      <c r="I267" s="221">
        <v>30110</v>
      </c>
      <c r="J267" s="221">
        <v>16250</v>
      </c>
    </row>
    <row r="268" spans="1:10" x14ac:dyDescent="0.3">
      <c r="A268" s="217">
        <v>264</v>
      </c>
      <c r="B268" s="217" t="s">
        <v>4919</v>
      </c>
      <c r="C268" s="218">
        <v>46263</v>
      </c>
      <c r="D268" s="219" t="s">
        <v>4920</v>
      </c>
      <c r="E268" s="218">
        <v>46263</v>
      </c>
      <c r="F268" s="219" t="s">
        <v>4921</v>
      </c>
      <c r="G268" s="220" t="s">
        <v>840</v>
      </c>
      <c r="H268" s="221">
        <v>13810</v>
      </c>
      <c r="I268" s="221">
        <v>30720</v>
      </c>
      <c r="J268" s="221">
        <v>16910</v>
      </c>
    </row>
    <row r="269" spans="1:10" x14ac:dyDescent="0.3">
      <c r="A269" s="217">
        <v>265</v>
      </c>
      <c r="B269" s="217" t="s">
        <v>4922</v>
      </c>
      <c r="C269" s="218">
        <v>46263</v>
      </c>
      <c r="D269" s="219" t="s">
        <v>4923</v>
      </c>
      <c r="E269" s="218">
        <v>46263</v>
      </c>
      <c r="F269" s="219" t="s">
        <v>4924</v>
      </c>
      <c r="G269" s="220" t="s">
        <v>336</v>
      </c>
      <c r="H269" s="221">
        <v>13820</v>
      </c>
      <c r="I269" s="221">
        <v>30120</v>
      </c>
      <c r="J269" s="221">
        <v>16300</v>
      </c>
    </row>
    <row r="270" spans="1:10" x14ac:dyDescent="0.3">
      <c r="A270" s="217">
        <v>266</v>
      </c>
      <c r="B270" s="217" t="s">
        <v>4925</v>
      </c>
      <c r="C270" s="218">
        <v>46263</v>
      </c>
      <c r="D270" s="219" t="s">
        <v>4926</v>
      </c>
      <c r="E270" s="218">
        <v>46263</v>
      </c>
      <c r="F270" s="219" t="s">
        <v>4927</v>
      </c>
      <c r="G270" s="220" t="s">
        <v>842</v>
      </c>
      <c r="H270" s="221">
        <v>13930</v>
      </c>
      <c r="I270" s="221">
        <v>29820</v>
      </c>
      <c r="J270" s="221">
        <v>15890</v>
      </c>
    </row>
    <row r="271" spans="1:10" x14ac:dyDescent="0.3">
      <c r="A271" s="217">
        <v>267</v>
      </c>
      <c r="B271" s="217" t="s">
        <v>4928</v>
      </c>
      <c r="C271" s="218">
        <v>46263</v>
      </c>
      <c r="D271" s="219" t="s">
        <v>4929</v>
      </c>
      <c r="E271" s="218">
        <v>46263</v>
      </c>
      <c r="F271" s="219" t="s">
        <v>4930</v>
      </c>
      <c r="G271" s="220" t="s">
        <v>335</v>
      </c>
      <c r="H271" s="221">
        <v>13890</v>
      </c>
      <c r="I271" s="221">
        <v>30090</v>
      </c>
      <c r="J271" s="221">
        <v>16200</v>
      </c>
    </row>
    <row r="272" spans="1:10" x14ac:dyDescent="0.3">
      <c r="A272" s="217">
        <v>268</v>
      </c>
      <c r="B272" s="217" t="s">
        <v>4931</v>
      </c>
      <c r="C272" s="218">
        <v>46263</v>
      </c>
      <c r="D272" s="219" t="s">
        <v>4932</v>
      </c>
      <c r="E272" s="218">
        <v>46263</v>
      </c>
      <c r="F272" s="219" t="s">
        <v>4933</v>
      </c>
      <c r="G272" s="220" t="s">
        <v>55</v>
      </c>
      <c r="H272" s="221">
        <v>13680</v>
      </c>
      <c r="I272" s="221">
        <v>30450</v>
      </c>
      <c r="J272" s="221">
        <v>16770</v>
      </c>
    </row>
    <row r="273" spans="1:10" x14ac:dyDescent="0.3">
      <c r="A273" s="217">
        <v>269</v>
      </c>
      <c r="B273" s="217" t="s">
        <v>4934</v>
      </c>
      <c r="C273" s="218">
        <v>46263</v>
      </c>
      <c r="D273" s="219" t="s">
        <v>4935</v>
      </c>
      <c r="E273" s="218">
        <v>46263</v>
      </c>
      <c r="F273" s="219" t="s">
        <v>4936</v>
      </c>
      <c r="G273" s="220" t="s">
        <v>85</v>
      </c>
      <c r="H273" s="221">
        <v>13850</v>
      </c>
      <c r="I273" s="221">
        <v>30580</v>
      </c>
      <c r="J273" s="221">
        <v>16730</v>
      </c>
    </row>
    <row r="274" spans="1:10" x14ac:dyDescent="0.3">
      <c r="A274" s="217">
        <v>270</v>
      </c>
      <c r="B274" s="217" t="s">
        <v>4937</v>
      </c>
      <c r="C274" s="218">
        <v>46263</v>
      </c>
      <c r="D274" s="219" t="s">
        <v>4938</v>
      </c>
      <c r="E274" s="218">
        <v>46263</v>
      </c>
      <c r="F274" s="219" t="s">
        <v>4939</v>
      </c>
      <c r="G274" s="220" t="s">
        <v>537</v>
      </c>
      <c r="H274" s="221">
        <v>13970</v>
      </c>
      <c r="I274" s="221">
        <v>30970</v>
      </c>
      <c r="J274" s="221">
        <v>17000</v>
      </c>
    </row>
    <row r="275" spans="1:10" x14ac:dyDescent="0.3">
      <c r="A275" s="217">
        <v>271</v>
      </c>
      <c r="B275" s="217" t="s">
        <v>4940</v>
      </c>
      <c r="C275" s="218">
        <v>46263</v>
      </c>
      <c r="D275" s="219" t="s">
        <v>4941</v>
      </c>
      <c r="E275" s="218">
        <v>46263</v>
      </c>
      <c r="F275" s="219" t="s">
        <v>4942</v>
      </c>
      <c r="G275" s="220" t="s">
        <v>90</v>
      </c>
      <c r="H275" s="221">
        <v>13840</v>
      </c>
      <c r="I275" s="221">
        <v>30760</v>
      </c>
      <c r="J275" s="221">
        <v>16920</v>
      </c>
    </row>
    <row r="276" spans="1:10" x14ac:dyDescent="0.3">
      <c r="A276" s="217">
        <v>272</v>
      </c>
      <c r="B276" s="217" t="s">
        <v>4943</v>
      </c>
      <c r="C276" s="218">
        <v>46263</v>
      </c>
      <c r="D276" s="219" t="s">
        <v>4944</v>
      </c>
      <c r="E276" s="218">
        <v>46263</v>
      </c>
      <c r="F276" s="219" t="s">
        <v>4945</v>
      </c>
      <c r="G276" s="220" t="s">
        <v>843</v>
      </c>
      <c r="H276" s="221">
        <v>14200</v>
      </c>
      <c r="I276" s="221">
        <v>31380</v>
      </c>
      <c r="J276" s="221">
        <v>17180</v>
      </c>
    </row>
    <row r="277" spans="1:10" x14ac:dyDescent="0.3">
      <c r="A277" s="217">
        <v>273</v>
      </c>
      <c r="B277" s="217" t="s">
        <v>4946</v>
      </c>
      <c r="C277" s="218">
        <v>46263</v>
      </c>
      <c r="D277" s="219" t="s">
        <v>4947</v>
      </c>
      <c r="E277" s="218">
        <v>46263</v>
      </c>
      <c r="F277" s="219" t="s">
        <v>4948</v>
      </c>
      <c r="G277" s="220" t="s">
        <v>71</v>
      </c>
      <c r="H277" s="221">
        <v>13870</v>
      </c>
      <c r="I277" s="221">
        <v>31410</v>
      </c>
      <c r="J277" s="221">
        <v>17540</v>
      </c>
    </row>
    <row r="278" spans="1:10" x14ac:dyDescent="0.3">
      <c r="A278" s="217">
        <v>274</v>
      </c>
      <c r="B278" s="217" t="s">
        <v>4949</v>
      </c>
      <c r="C278" s="218">
        <v>46263</v>
      </c>
      <c r="D278" s="219" t="s">
        <v>4950</v>
      </c>
      <c r="E278" s="218">
        <v>46263</v>
      </c>
      <c r="F278" s="219" t="s">
        <v>4951</v>
      </c>
      <c r="G278" s="220" t="s">
        <v>80</v>
      </c>
      <c r="H278" s="221">
        <v>13980</v>
      </c>
      <c r="I278" s="221">
        <v>31530</v>
      </c>
      <c r="J278" s="221">
        <v>17550</v>
      </c>
    </row>
    <row r="279" spans="1:10" x14ac:dyDescent="0.3">
      <c r="A279" s="217">
        <v>275</v>
      </c>
      <c r="B279" s="217" t="s">
        <v>4952</v>
      </c>
      <c r="C279" s="218">
        <v>46263</v>
      </c>
      <c r="D279" s="219" t="s">
        <v>4953</v>
      </c>
      <c r="E279" s="218">
        <v>46263</v>
      </c>
      <c r="F279" s="219" t="s">
        <v>4954</v>
      </c>
      <c r="G279" s="220" t="s">
        <v>64</v>
      </c>
      <c r="H279" s="221">
        <v>13870</v>
      </c>
      <c r="I279" s="221">
        <v>31530</v>
      </c>
      <c r="J279" s="221">
        <v>17660</v>
      </c>
    </row>
    <row r="280" spans="1:10" x14ac:dyDescent="0.3">
      <c r="A280" s="217">
        <v>276</v>
      </c>
      <c r="B280" s="217" t="s">
        <v>4955</v>
      </c>
      <c r="C280" s="218">
        <v>46263</v>
      </c>
      <c r="D280" s="219" t="s">
        <v>4956</v>
      </c>
      <c r="E280" s="218">
        <v>46263</v>
      </c>
      <c r="F280" s="219" t="s">
        <v>4957</v>
      </c>
      <c r="G280" s="220" t="s">
        <v>143</v>
      </c>
      <c r="H280" s="221">
        <v>13860</v>
      </c>
      <c r="I280" s="221">
        <v>31300</v>
      </c>
      <c r="J280" s="221">
        <v>17440</v>
      </c>
    </row>
    <row r="281" spans="1:10" ht="18" customHeight="1" x14ac:dyDescent="0.3">
      <c r="A281" s="217">
        <v>277</v>
      </c>
      <c r="B281" s="217" t="s">
        <v>4958</v>
      </c>
      <c r="C281" s="218">
        <v>46263</v>
      </c>
      <c r="D281" s="219" t="s">
        <v>4959</v>
      </c>
      <c r="E281" s="218">
        <v>46263</v>
      </c>
      <c r="F281" s="219" t="s">
        <v>4960</v>
      </c>
      <c r="G281" s="220" t="s">
        <v>840</v>
      </c>
      <c r="H281" s="221">
        <v>13770</v>
      </c>
      <c r="I281" s="221">
        <v>31250</v>
      </c>
      <c r="J281" s="221">
        <v>17480</v>
      </c>
    </row>
    <row r="282" spans="1:10" ht="18" customHeight="1" x14ac:dyDescent="0.3">
      <c r="A282" s="217">
        <v>278</v>
      </c>
      <c r="B282" s="217" t="s">
        <v>4961</v>
      </c>
      <c r="C282" s="218">
        <v>46263</v>
      </c>
      <c r="D282" s="219" t="s">
        <v>4962</v>
      </c>
      <c r="E282" s="218">
        <v>46263</v>
      </c>
      <c r="F282" s="219" t="s">
        <v>4963</v>
      </c>
      <c r="G282" s="220" t="s">
        <v>540</v>
      </c>
      <c r="H282" s="221">
        <v>13780</v>
      </c>
      <c r="I282" s="221">
        <v>31200</v>
      </c>
      <c r="J282" s="221">
        <v>17420</v>
      </c>
    </row>
    <row r="283" spans="1:10" ht="18" customHeight="1" x14ac:dyDescent="0.3">
      <c r="A283" s="217">
        <v>279</v>
      </c>
      <c r="B283" s="217" t="s">
        <v>4964</v>
      </c>
      <c r="C283" s="218">
        <v>46263</v>
      </c>
      <c r="D283" s="219" t="s">
        <v>4965</v>
      </c>
      <c r="E283" s="218">
        <v>46263</v>
      </c>
      <c r="F283" s="219" t="s">
        <v>4966</v>
      </c>
      <c r="G283" s="220" t="s">
        <v>337</v>
      </c>
      <c r="H283" s="221">
        <v>13830</v>
      </c>
      <c r="I283" s="221">
        <v>31410</v>
      </c>
      <c r="J283" s="221">
        <v>17580</v>
      </c>
    </row>
    <row r="284" spans="1:10" ht="18" customHeight="1" x14ac:dyDescent="0.3">
      <c r="A284" s="217">
        <v>280</v>
      </c>
      <c r="B284" s="217" t="s">
        <v>4967</v>
      </c>
      <c r="C284" s="218">
        <v>46263</v>
      </c>
      <c r="D284" s="219" t="s">
        <v>4968</v>
      </c>
      <c r="E284" s="218">
        <v>46263</v>
      </c>
      <c r="F284" s="219" t="s">
        <v>4969</v>
      </c>
      <c r="G284" s="220" t="s">
        <v>43</v>
      </c>
      <c r="H284" s="221">
        <v>13840</v>
      </c>
      <c r="I284" s="221">
        <v>31470</v>
      </c>
      <c r="J284" s="221">
        <v>17630</v>
      </c>
    </row>
    <row r="285" spans="1:10" ht="18" customHeight="1" x14ac:dyDescent="0.3">
      <c r="A285" s="217">
        <v>281</v>
      </c>
      <c r="B285" s="217" t="s">
        <v>4970</v>
      </c>
      <c r="C285" s="218">
        <v>46263</v>
      </c>
      <c r="D285" s="219" t="s">
        <v>4971</v>
      </c>
      <c r="E285" s="218">
        <v>46263</v>
      </c>
      <c r="F285" s="219" t="s">
        <v>4972</v>
      </c>
      <c r="G285" s="220" t="s">
        <v>76</v>
      </c>
      <c r="H285" s="221">
        <v>13810</v>
      </c>
      <c r="I285" s="221">
        <v>31110</v>
      </c>
      <c r="J285" s="221">
        <v>17300</v>
      </c>
    </row>
    <row r="286" spans="1:10" ht="18" customHeight="1" x14ac:dyDescent="0.3">
      <c r="A286" s="217">
        <v>282</v>
      </c>
      <c r="B286" s="217" t="s">
        <v>4973</v>
      </c>
      <c r="C286" s="218">
        <v>46263</v>
      </c>
      <c r="D286" s="219" t="s">
        <v>4974</v>
      </c>
      <c r="E286" s="218">
        <v>46263</v>
      </c>
      <c r="F286" s="219" t="s">
        <v>4975</v>
      </c>
      <c r="G286" s="220" t="s">
        <v>335</v>
      </c>
      <c r="H286" s="221">
        <v>13840</v>
      </c>
      <c r="I286" s="221">
        <v>30090</v>
      </c>
      <c r="J286" s="221">
        <v>16250</v>
      </c>
    </row>
    <row r="287" spans="1:10" ht="18" customHeight="1" x14ac:dyDescent="0.3">
      <c r="A287" s="217">
        <v>283</v>
      </c>
      <c r="B287" s="217" t="s">
        <v>4976</v>
      </c>
      <c r="C287" s="218">
        <v>46263</v>
      </c>
      <c r="D287" s="219" t="s">
        <v>4977</v>
      </c>
      <c r="E287" s="218">
        <v>46263</v>
      </c>
      <c r="F287" s="219" t="s">
        <v>4978</v>
      </c>
      <c r="G287" s="220" t="s">
        <v>842</v>
      </c>
      <c r="H287" s="221">
        <v>13900</v>
      </c>
      <c r="I287" s="221">
        <v>31280</v>
      </c>
      <c r="J287" s="221">
        <v>17380</v>
      </c>
    </row>
    <row r="288" spans="1:10" ht="18" customHeight="1" x14ac:dyDescent="0.3">
      <c r="A288" s="217">
        <v>284</v>
      </c>
      <c r="B288" s="217" t="s">
        <v>4979</v>
      </c>
      <c r="C288" s="218">
        <v>46263</v>
      </c>
      <c r="D288" s="219" t="s">
        <v>4980</v>
      </c>
      <c r="E288" s="218">
        <v>46263</v>
      </c>
      <c r="F288" s="219" t="s">
        <v>4981</v>
      </c>
      <c r="G288" s="220" t="s">
        <v>336</v>
      </c>
      <c r="H288" s="221">
        <v>13790</v>
      </c>
      <c r="I288" s="221">
        <v>30460</v>
      </c>
      <c r="J288" s="221">
        <v>16670</v>
      </c>
    </row>
    <row r="289" spans="1:10" ht="18" customHeight="1" x14ac:dyDescent="0.3">
      <c r="A289" s="217">
        <v>285</v>
      </c>
      <c r="B289" s="217" t="s">
        <v>4982</v>
      </c>
      <c r="C289" s="218">
        <v>46263</v>
      </c>
      <c r="D289" s="219" t="s">
        <v>4983</v>
      </c>
      <c r="E289" s="218">
        <v>46263</v>
      </c>
      <c r="F289" s="219" t="s">
        <v>4984</v>
      </c>
      <c r="G289" s="220" t="s">
        <v>55</v>
      </c>
      <c r="H289" s="221">
        <v>13950</v>
      </c>
      <c r="I289" s="221">
        <v>30600</v>
      </c>
      <c r="J289" s="221">
        <v>16650</v>
      </c>
    </row>
    <row r="290" spans="1:10" ht="18" customHeight="1" x14ac:dyDescent="0.3">
      <c r="A290" s="217">
        <v>286</v>
      </c>
      <c r="B290" s="217" t="s">
        <v>4985</v>
      </c>
      <c r="C290" s="218">
        <v>46263</v>
      </c>
      <c r="D290" s="219" t="s">
        <v>4986</v>
      </c>
      <c r="E290" s="218">
        <v>46263</v>
      </c>
      <c r="F290" s="219" t="s">
        <v>4987</v>
      </c>
      <c r="G290" s="220" t="s">
        <v>537</v>
      </c>
      <c r="H290" s="221">
        <v>13940</v>
      </c>
      <c r="I290" s="221">
        <v>30550</v>
      </c>
      <c r="J290" s="221">
        <v>16610</v>
      </c>
    </row>
    <row r="291" spans="1:10" ht="18" customHeight="1" x14ac:dyDescent="0.3">
      <c r="A291" s="217">
        <v>287</v>
      </c>
      <c r="B291" s="217" t="s">
        <v>4988</v>
      </c>
      <c r="C291" s="218">
        <v>46263</v>
      </c>
      <c r="D291" s="219" t="s">
        <v>4989</v>
      </c>
      <c r="E291" s="218">
        <v>46263</v>
      </c>
      <c r="F291" s="219" t="s">
        <v>4990</v>
      </c>
      <c r="G291" s="220" t="s">
        <v>85</v>
      </c>
      <c r="H291" s="221">
        <v>13820</v>
      </c>
      <c r="I291" s="221">
        <v>30670</v>
      </c>
      <c r="J291" s="221">
        <v>16850</v>
      </c>
    </row>
    <row r="292" spans="1:10" ht="18" customHeight="1" x14ac:dyDescent="0.3">
      <c r="A292" s="217">
        <v>288</v>
      </c>
      <c r="B292" s="217" t="s">
        <v>4991</v>
      </c>
      <c r="C292" s="218">
        <v>46263</v>
      </c>
      <c r="D292" s="219" t="s">
        <v>4992</v>
      </c>
      <c r="E292" s="218">
        <v>46263</v>
      </c>
      <c r="F292" s="219" t="s">
        <v>4993</v>
      </c>
      <c r="G292" s="220" t="s">
        <v>90</v>
      </c>
      <c r="H292" s="221">
        <v>13820</v>
      </c>
      <c r="I292" s="221">
        <v>29820</v>
      </c>
      <c r="J292" s="221">
        <v>16000</v>
      </c>
    </row>
    <row r="293" spans="1:10" ht="18" customHeight="1" x14ac:dyDescent="0.3">
      <c r="A293" s="217">
        <v>289</v>
      </c>
      <c r="B293" s="217" t="s">
        <v>4994</v>
      </c>
      <c r="C293" s="218">
        <v>46263</v>
      </c>
      <c r="D293" s="219" t="s">
        <v>4995</v>
      </c>
      <c r="E293" s="218">
        <v>46263</v>
      </c>
      <c r="F293" s="219" t="s">
        <v>4996</v>
      </c>
      <c r="G293" s="220" t="s">
        <v>843</v>
      </c>
      <c r="H293" s="221">
        <v>14170</v>
      </c>
      <c r="I293" s="221">
        <v>31100</v>
      </c>
      <c r="J293" s="221">
        <v>16930</v>
      </c>
    </row>
    <row r="294" spans="1:10" ht="18" customHeight="1" x14ac:dyDescent="0.3">
      <c r="A294" s="217">
        <v>290</v>
      </c>
      <c r="B294" s="217" t="s">
        <v>4997</v>
      </c>
      <c r="C294" s="218">
        <v>46263</v>
      </c>
      <c r="D294" s="219" t="s">
        <v>4998</v>
      </c>
      <c r="E294" s="218">
        <v>46263</v>
      </c>
      <c r="F294" s="219" t="s">
        <v>1548</v>
      </c>
      <c r="G294" s="220" t="s">
        <v>80</v>
      </c>
      <c r="H294" s="221">
        <v>13950</v>
      </c>
      <c r="I294" s="221">
        <v>30890</v>
      </c>
      <c r="J294" s="221">
        <v>16940</v>
      </c>
    </row>
    <row r="295" spans="1:10" ht="18" customHeight="1" x14ac:dyDescent="0.3">
      <c r="A295" s="217">
        <v>291</v>
      </c>
      <c r="B295" s="217" t="s">
        <v>4999</v>
      </c>
      <c r="C295" s="218">
        <v>46263</v>
      </c>
      <c r="D295" s="219" t="s">
        <v>5000</v>
      </c>
      <c r="E295" s="218">
        <v>46263</v>
      </c>
      <c r="F295" s="219" t="s">
        <v>5001</v>
      </c>
      <c r="G295" s="220" t="s">
        <v>840</v>
      </c>
      <c r="H295" s="221">
        <v>14050</v>
      </c>
      <c r="I295" s="221">
        <v>31590</v>
      </c>
      <c r="J295" s="221">
        <v>17540</v>
      </c>
    </row>
    <row r="296" spans="1:10" ht="18" customHeight="1" x14ac:dyDescent="0.3">
      <c r="A296" s="217">
        <v>292</v>
      </c>
      <c r="B296" s="217" t="s">
        <v>5002</v>
      </c>
      <c r="C296" s="218">
        <v>46263</v>
      </c>
      <c r="D296" s="219" t="s">
        <v>5003</v>
      </c>
      <c r="E296" s="218">
        <v>46263</v>
      </c>
      <c r="F296" s="219" t="s">
        <v>5004</v>
      </c>
      <c r="G296" s="220" t="s">
        <v>64</v>
      </c>
      <c r="H296" s="221">
        <v>13830</v>
      </c>
      <c r="I296" s="221">
        <v>31670</v>
      </c>
      <c r="J296" s="221">
        <v>17840</v>
      </c>
    </row>
    <row r="297" spans="1:10" ht="18" customHeight="1" x14ac:dyDescent="0.3">
      <c r="A297" s="217">
        <v>293</v>
      </c>
      <c r="B297" s="217" t="s">
        <v>5005</v>
      </c>
      <c r="C297" s="218">
        <v>46263</v>
      </c>
      <c r="D297" s="219" t="s">
        <v>5006</v>
      </c>
      <c r="E297" s="218">
        <v>46263</v>
      </c>
      <c r="F297" s="219" t="s">
        <v>5007</v>
      </c>
      <c r="G297" s="220" t="s">
        <v>143</v>
      </c>
      <c r="H297" s="221">
        <v>13820</v>
      </c>
      <c r="I297" s="221">
        <v>32200</v>
      </c>
      <c r="J297" s="221">
        <v>18380</v>
      </c>
    </row>
    <row r="298" spans="1:10" ht="18" customHeight="1" x14ac:dyDescent="0.3">
      <c r="A298" s="217">
        <v>294</v>
      </c>
      <c r="B298" s="217" t="s">
        <v>5008</v>
      </c>
      <c r="C298" s="218">
        <v>46263</v>
      </c>
      <c r="D298" s="219" t="s">
        <v>5009</v>
      </c>
      <c r="E298" s="218">
        <v>46263</v>
      </c>
      <c r="F298" s="219" t="s">
        <v>5010</v>
      </c>
      <c r="G298" s="220" t="s">
        <v>337</v>
      </c>
      <c r="H298" s="221">
        <v>13800</v>
      </c>
      <c r="I298" s="221">
        <v>30680</v>
      </c>
      <c r="J298" s="221">
        <v>16880</v>
      </c>
    </row>
    <row r="299" spans="1:10" ht="18" customHeight="1" x14ac:dyDescent="0.3">
      <c r="A299" s="217">
        <v>295</v>
      </c>
      <c r="B299" s="217" t="s">
        <v>5011</v>
      </c>
      <c r="C299" s="218">
        <v>46263</v>
      </c>
      <c r="D299" s="219" t="s">
        <v>5012</v>
      </c>
      <c r="E299" s="218">
        <v>46263</v>
      </c>
      <c r="F299" s="219" t="s">
        <v>183</v>
      </c>
      <c r="G299" s="220" t="s">
        <v>71</v>
      </c>
      <c r="H299" s="221">
        <v>13800</v>
      </c>
      <c r="I299" s="221">
        <v>31260</v>
      </c>
      <c r="J299" s="221">
        <v>17460</v>
      </c>
    </row>
    <row r="300" spans="1:10" ht="18" customHeight="1" x14ac:dyDescent="0.3">
      <c r="A300" s="217">
        <v>296</v>
      </c>
      <c r="B300" s="217" t="s">
        <v>5013</v>
      </c>
      <c r="C300" s="218">
        <v>46263</v>
      </c>
      <c r="D300" s="219" t="s">
        <v>5014</v>
      </c>
      <c r="E300" s="218">
        <v>46263</v>
      </c>
      <c r="F300" s="219" t="s">
        <v>5015</v>
      </c>
      <c r="G300" s="220" t="s">
        <v>540</v>
      </c>
      <c r="H300" s="221">
        <v>13750</v>
      </c>
      <c r="I300" s="221">
        <v>31240</v>
      </c>
      <c r="J300" s="221">
        <v>17490</v>
      </c>
    </row>
    <row r="301" spans="1:10" ht="18" customHeight="1" x14ac:dyDescent="0.3">
      <c r="A301" s="217">
        <v>297</v>
      </c>
      <c r="B301" s="217" t="s">
        <v>5016</v>
      </c>
      <c r="C301" s="218">
        <v>46263</v>
      </c>
      <c r="D301" s="219" t="s">
        <v>5017</v>
      </c>
      <c r="E301" s="218">
        <v>46263</v>
      </c>
      <c r="F301" s="219" t="s">
        <v>5018</v>
      </c>
      <c r="G301" s="220" t="s">
        <v>76</v>
      </c>
      <c r="H301" s="221">
        <v>14040</v>
      </c>
      <c r="I301" s="221">
        <v>31450</v>
      </c>
      <c r="J301" s="221">
        <v>17410</v>
      </c>
    </row>
    <row r="302" spans="1:10" ht="18" customHeight="1" x14ac:dyDescent="0.3">
      <c r="A302" s="217">
        <v>298</v>
      </c>
      <c r="B302" s="217" t="s">
        <v>5019</v>
      </c>
      <c r="C302" s="218">
        <v>46263</v>
      </c>
      <c r="D302" s="219" t="s">
        <v>5020</v>
      </c>
      <c r="E302" s="218">
        <v>46263</v>
      </c>
      <c r="F302" s="219" t="s">
        <v>5021</v>
      </c>
      <c r="G302" s="220" t="s">
        <v>335</v>
      </c>
      <c r="H302" s="221">
        <v>13830</v>
      </c>
      <c r="I302" s="221">
        <v>30590</v>
      </c>
      <c r="J302" s="221">
        <v>16760</v>
      </c>
    </row>
    <row r="303" spans="1:10" ht="18" customHeight="1" x14ac:dyDescent="0.3">
      <c r="A303" s="217">
        <v>299</v>
      </c>
      <c r="B303" s="217" t="s">
        <v>5022</v>
      </c>
      <c r="C303" s="218">
        <v>46263</v>
      </c>
      <c r="D303" s="219" t="s">
        <v>5023</v>
      </c>
      <c r="E303" s="218">
        <v>46263</v>
      </c>
      <c r="F303" s="219" t="s">
        <v>5024</v>
      </c>
      <c r="G303" s="220" t="s">
        <v>336</v>
      </c>
      <c r="H303" s="221">
        <v>13750</v>
      </c>
      <c r="I303" s="221">
        <v>30230</v>
      </c>
      <c r="J303" s="221">
        <v>16480</v>
      </c>
    </row>
    <row r="304" spans="1:10" ht="18" customHeight="1" x14ac:dyDescent="0.3">
      <c r="A304" s="217">
        <v>300</v>
      </c>
      <c r="B304" s="217" t="s">
        <v>5025</v>
      </c>
      <c r="C304" s="218">
        <v>46263</v>
      </c>
      <c r="D304" s="219" t="s">
        <v>5026</v>
      </c>
      <c r="E304" s="218">
        <v>46263</v>
      </c>
      <c r="F304" s="219" t="s">
        <v>5027</v>
      </c>
      <c r="G304" s="220" t="s">
        <v>537</v>
      </c>
      <c r="H304" s="221">
        <v>13900</v>
      </c>
      <c r="I304" s="221">
        <v>30790</v>
      </c>
      <c r="J304" s="221">
        <v>16890</v>
      </c>
    </row>
    <row r="305" spans="1:10" ht="18" customHeight="1" x14ac:dyDescent="0.3">
      <c r="A305" s="217">
        <v>301</v>
      </c>
      <c r="B305" s="217" t="s">
        <v>5028</v>
      </c>
      <c r="C305" s="218">
        <v>46263</v>
      </c>
      <c r="D305" s="219" t="s">
        <v>5029</v>
      </c>
      <c r="E305" s="218">
        <v>46263</v>
      </c>
      <c r="F305" s="219" t="s">
        <v>5030</v>
      </c>
      <c r="G305" s="220" t="s">
        <v>43</v>
      </c>
      <c r="H305" s="221">
        <v>13800</v>
      </c>
      <c r="I305" s="221">
        <v>31320</v>
      </c>
      <c r="J305" s="221">
        <v>17520</v>
      </c>
    </row>
    <row r="306" spans="1:10" ht="18" customHeight="1" x14ac:dyDescent="0.3">
      <c r="A306" s="217">
        <v>302</v>
      </c>
      <c r="B306" s="217" t="s">
        <v>5031</v>
      </c>
      <c r="C306" s="218">
        <v>46263</v>
      </c>
      <c r="D306" s="219" t="s">
        <v>5032</v>
      </c>
      <c r="E306" s="218">
        <v>46263</v>
      </c>
      <c r="F306" s="219" t="s">
        <v>5033</v>
      </c>
      <c r="G306" s="220" t="s">
        <v>55</v>
      </c>
      <c r="H306" s="221">
        <v>13910</v>
      </c>
      <c r="I306" s="221">
        <v>30930</v>
      </c>
      <c r="J306" s="221">
        <v>17020</v>
      </c>
    </row>
    <row r="307" spans="1:10" ht="18" customHeight="1" x14ac:dyDescent="0.3">
      <c r="A307" s="217">
        <v>303</v>
      </c>
      <c r="B307" s="217" t="s">
        <v>5034</v>
      </c>
      <c r="C307" s="218">
        <v>46263</v>
      </c>
      <c r="D307" s="219" t="s">
        <v>5035</v>
      </c>
      <c r="E307" s="218">
        <v>46263</v>
      </c>
      <c r="F307" s="219" t="s">
        <v>5036</v>
      </c>
      <c r="G307" s="220" t="s">
        <v>85</v>
      </c>
      <c r="H307" s="221">
        <v>13810</v>
      </c>
      <c r="I307" s="221">
        <v>31160</v>
      </c>
      <c r="J307" s="221">
        <v>17350</v>
      </c>
    </row>
    <row r="308" spans="1:10" ht="18" customHeight="1" x14ac:dyDescent="0.3">
      <c r="A308" s="217">
        <v>304</v>
      </c>
      <c r="B308" s="217" t="s">
        <v>5037</v>
      </c>
      <c r="C308" s="218">
        <v>46263</v>
      </c>
      <c r="D308" s="219" t="s">
        <v>5038</v>
      </c>
      <c r="E308" s="218">
        <v>46263</v>
      </c>
      <c r="F308" s="219" t="s">
        <v>5039</v>
      </c>
      <c r="G308" s="220" t="s">
        <v>90</v>
      </c>
      <c r="H308" s="221">
        <v>13790</v>
      </c>
      <c r="I308" s="221">
        <v>30710</v>
      </c>
      <c r="J308" s="221">
        <v>16920</v>
      </c>
    </row>
    <row r="309" spans="1:10" ht="18" customHeight="1" x14ac:dyDescent="0.3">
      <c r="A309" s="217">
        <v>305</v>
      </c>
      <c r="B309" s="217" t="s">
        <v>5040</v>
      </c>
      <c r="C309" s="218">
        <v>46263</v>
      </c>
      <c r="D309" s="219" t="s">
        <v>5041</v>
      </c>
      <c r="E309" s="218">
        <v>46263</v>
      </c>
      <c r="F309" s="219" t="s">
        <v>5042</v>
      </c>
      <c r="G309" s="220" t="s">
        <v>842</v>
      </c>
      <c r="H309" s="221">
        <v>13920</v>
      </c>
      <c r="I309" s="221">
        <v>31440</v>
      </c>
      <c r="J309" s="221">
        <v>17520</v>
      </c>
    </row>
    <row r="310" spans="1:10" ht="18" customHeight="1" x14ac:dyDescent="0.3">
      <c r="A310" s="217">
        <v>306</v>
      </c>
      <c r="B310" s="217" t="s">
        <v>5043</v>
      </c>
      <c r="C310" s="218">
        <v>46263</v>
      </c>
      <c r="D310" s="219" t="s">
        <v>5044</v>
      </c>
      <c r="E310" s="218">
        <v>46263</v>
      </c>
      <c r="F310" s="219" t="s">
        <v>5045</v>
      </c>
      <c r="G310" s="220" t="s">
        <v>843</v>
      </c>
      <c r="H310" s="221">
        <v>14140</v>
      </c>
      <c r="I310" s="221">
        <v>31460</v>
      </c>
      <c r="J310" s="221">
        <v>17320</v>
      </c>
    </row>
    <row r="311" spans="1:10" ht="18" customHeight="1" x14ac:dyDescent="0.3">
      <c r="A311" s="217">
        <v>307</v>
      </c>
      <c r="B311" s="217" t="s">
        <v>5046</v>
      </c>
      <c r="C311" s="218">
        <v>46263</v>
      </c>
      <c r="D311" s="219" t="s">
        <v>5047</v>
      </c>
      <c r="E311" s="218">
        <v>46263</v>
      </c>
      <c r="F311" s="219" t="s">
        <v>5048</v>
      </c>
      <c r="G311" s="220" t="s">
        <v>80</v>
      </c>
      <c r="H311" s="221">
        <v>13910</v>
      </c>
      <c r="I311" s="221">
        <v>31380</v>
      </c>
      <c r="J311" s="221">
        <v>17470</v>
      </c>
    </row>
    <row r="312" spans="1:10" ht="18" customHeight="1" x14ac:dyDescent="0.3">
      <c r="A312" s="217">
        <v>308</v>
      </c>
      <c r="B312" s="217" t="s">
        <v>5049</v>
      </c>
      <c r="C312" s="218">
        <v>46263</v>
      </c>
      <c r="D312" s="219" t="s">
        <v>5050</v>
      </c>
      <c r="E312" s="218">
        <v>46263</v>
      </c>
      <c r="F312" s="219" t="s">
        <v>5051</v>
      </c>
      <c r="G312" s="220" t="s">
        <v>64</v>
      </c>
      <c r="H312" s="221">
        <v>14080</v>
      </c>
      <c r="I312" s="221">
        <v>32150</v>
      </c>
      <c r="J312" s="221">
        <v>18070</v>
      </c>
    </row>
    <row r="313" spans="1:10" ht="18" customHeight="1" x14ac:dyDescent="0.3">
      <c r="A313" s="217">
        <v>309</v>
      </c>
      <c r="B313" s="217" t="s">
        <v>5052</v>
      </c>
      <c r="C313" s="218">
        <v>46263</v>
      </c>
      <c r="D313" s="219" t="s">
        <v>5053</v>
      </c>
      <c r="E313" s="218">
        <v>46263</v>
      </c>
      <c r="F313" s="219" t="s">
        <v>5054</v>
      </c>
      <c r="G313" s="220" t="s">
        <v>840</v>
      </c>
      <c r="H313" s="221">
        <v>14020</v>
      </c>
      <c r="I313" s="221">
        <v>31840</v>
      </c>
      <c r="J313" s="221">
        <v>17820</v>
      </c>
    </row>
    <row r="314" spans="1:10" ht="18" customHeight="1" x14ac:dyDescent="0.3">
      <c r="A314" s="217">
        <v>310</v>
      </c>
      <c r="B314" s="217" t="s">
        <v>5055</v>
      </c>
      <c r="C314" s="218">
        <v>46263</v>
      </c>
      <c r="D314" s="219" t="s">
        <v>5056</v>
      </c>
      <c r="E314" s="218">
        <v>46263</v>
      </c>
      <c r="F314" s="219" t="s">
        <v>5057</v>
      </c>
      <c r="G314" s="220" t="s">
        <v>143</v>
      </c>
      <c r="H314" s="221">
        <v>13820</v>
      </c>
      <c r="I314" s="221">
        <v>31660</v>
      </c>
      <c r="J314" s="221">
        <v>17840</v>
      </c>
    </row>
    <row r="315" spans="1:10" ht="18" customHeight="1" x14ac:dyDescent="0.3">
      <c r="A315" s="217">
        <v>311</v>
      </c>
      <c r="B315" s="217" t="s">
        <v>5058</v>
      </c>
      <c r="C315" s="218">
        <v>46263</v>
      </c>
      <c r="D315" s="219" t="s">
        <v>5059</v>
      </c>
      <c r="E315" s="218">
        <v>46263</v>
      </c>
      <c r="F315" s="219" t="s">
        <v>5060</v>
      </c>
      <c r="G315" s="220" t="s">
        <v>337</v>
      </c>
      <c r="H315" s="221">
        <v>13820</v>
      </c>
      <c r="I315" s="221">
        <v>31590</v>
      </c>
      <c r="J315" s="221">
        <v>17770</v>
      </c>
    </row>
    <row r="316" spans="1:10" ht="18" customHeight="1" x14ac:dyDescent="0.3">
      <c r="A316" s="217">
        <v>312</v>
      </c>
      <c r="B316" s="217" t="s">
        <v>5061</v>
      </c>
      <c r="C316" s="218">
        <v>46263</v>
      </c>
      <c r="D316" s="219" t="s">
        <v>5062</v>
      </c>
      <c r="E316" s="218">
        <v>46263</v>
      </c>
      <c r="F316" s="219" t="s">
        <v>5063</v>
      </c>
      <c r="G316" s="220" t="s">
        <v>71</v>
      </c>
      <c r="H316" s="221">
        <v>13760</v>
      </c>
      <c r="I316" s="221">
        <v>31190</v>
      </c>
      <c r="J316" s="221">
        <v>17430</v>
      </c>
    </row>
    <row r="317" spans="1:10" ht="18" customHeight="1" x14ac:dyDescent="0.3">
      <c r="A317" s="217">
        <v>313</v>
      </c>
      <c r="B317" s="217" t="s">
        <v>5064</v>
      </c>
      <c r="C317" s="218">
        <v>46263</v>
      </c>
      <c r="D317" s="219" t="s">
        <v>5065</v>
      </c>
      <c r="E317" s="218">
        <v>46263</v>
      </c>
      <c r="F317" s="219" t="s">
        <v>5066</v>
      </c>
      <c r="G317" s="220" t="s">
        <v>335</v>
      </c>
      <c r="H317" s="221">
        <v>13800</v>
      </c>
      <c r="I317" s="221">
        <v>30510</v>
      </c>
      <c r="J317" s="221">
        <v>16710</v>
      </c>
    </row>
    <row r="318" spans="1:10" ht="18" customHeight="1" x14ac:dyDescent="0.3">
      <c r="A318" s="217">
        <v>314</v>
      </c>
      <c r="B318" s="217" t="s">
        <v>5067</v>
      </c>
      <c r="C318" s="218">
        <v>46263</v>
      </c>
      <c r="D318" s="219" t="s">
        <v>5068</v>
      </c>
      <c r="E318" s="218">
        <v>46263</v>
      </c>
      <c r="F318" s="219" t="s">
        <v>5069</v>
      </c>
      <c r="G318" s="220" t="s">
        <v>76</v>
      </c>
      <c r="H318" s="221">
        <v>14000</v>
      </c>
      <c r="I318" s="221">
        <v>31170</v>
      </c>
      <c r="J318" s="221">
        <v>17170</v>
      </c>
    </row>
    <row r="319" spans="1:10" ht="18" customHeight="1" x14ac:dyDescent="0.3">
      <c r="A319" s="217">
        <v>315</v>
      </c>
      <c r="B319" s="217" t="s">
        <v>5070</v>
      </c>
      <c r="C319" s="218">
        <v>46263</v>
      </c>
      <c r="D319" s="219" t="s">
        <v>5071</v>
      </c>
      <c r="E319" s="218">
        <v>46263</v>
      </c>
      <c r="F319" s="219" t="s">
        <v>5072</v>
      </c>
      <c r="G319" s="220" t="s">
        <v>540</v>
      </c>
      <c r="H319" s="221">
        <v>13750</v>
      </c>
      <c r="I319" s="221">
        <v>30960</v>
      </c>
      <c r="J319" s="221">
        <v>17210</v>
      </c>
    </row>
    <row r="320" spans="1:10" ht="18" customHeight="1" x14ac:dyDescent="0.3">
      <c r="A320" s="217">
        <v>316</v>
      </c>
      <c r="B320" s="217" t="s">
        <v>5073</v>
      </c>
      <c r="C320" s="218">
        <v>46263</v>
      </c>
      <c r="D320" s="219" t="s">
        <v>5074</v>
      </c>
      <c r="E320" s="218">
        <v>46263</v>
      </c>
      <c r="F320" s="219" t="s">
        <v>5075</v>
      </c>
      <c r="G320" s="220" t="s">
        <v>336</v>
      </c>
      <c r="H320" s="221">
        <v>13710</v>
      </c>
      <c r="I320" s="221">
        <v>30560</v>
      </c>
      <c r="J320" s="221">
        <v>16850</v>
      </c>
    </row>
    <row r="321" spans="1:10" ht="18" customHeight="1" x14ac:dyDescent="0.3">
      <c r="A321" s="217">
        <v>317</v>
      </c>
      <c r="B321" s="217" t="s">
        <v>5076</v>
      </c>
      <c r="C321" s="218">
        <v>46263</v>
      </c>
      <c r="D321" s="219" t="s">
        <v>5077</v>
      </c>
      <c r="E321" s="218">
        <v>46263</v>
      </c>
      <c r="F321" s="219" t="s">
        <v>5078</v>
      </c>
      <c r="G321" s="220" t="s">
        <v>85</v>
      </c>
      <c r="H321" s="221">
        <v>13760</v>
      </c>
      <c r="I321" s="221">
        <v>31070</v>
      </c>
      <c r="J321" s="221">
        <v>17310</v>
      </c>
    </row>
    <row r="322" spans="1:10" ht="18" customHeight="1" x14ac:dyDescent="0.3">
      <c r="A322" s="217">
        <v>318</v>
      </c>
      <c r="B322" s="217" t="s">
        <v>5079</v>
      </c>
      <c r="C322" s="218">
        <v>46263</v>
      </c>
      <c r="D322" s="219" t="s">
        <v>5080</v>
      </c>
      <c r="E322" s="218">
        <v>46263</v>
      </c>
      <c r="F322" s="219" t="s">
        <v>5081</v>
      </c>
      <c r="G322" s="220" t="s">
        <v>43</v>
      </c>
      <c r="H322" s="221">
        <v>13770</v>
      </c>
      <c r="I322" s="221">
        <v>30820</v>
      </c>
      <c r="J322" s="221">
        <v>17050</v>
      </c>
    </row>
    <row r="323" spans="1:10" ht="18" customHeight="1" x14ac:dyDescent="0.3">
      <c r="A323" s="217">
        <v>319</v>
      </c>
      <c r="B323" s="217" t="s">
        <v>5082</v>
      </c>
      <c r="C323" s="218">
        <v>46263</v>
      </c>
      <c r="D323" s="219" t="s">
        <v>5083</v>
      </c>
      <c r="E323" s="218">
        <v>46263</v>
      </c>
      <c r="F323" s="219" t="s">
        <v>5084</v>
      </c>
      <c r="G323" s="220" t="s">
        <v>55</v>
      </c>
      <c r="H323" s="221">
        <v>13880</v>
      </c>
      <c r="I323" s="221">
        <v>31510</v>
      </c>
      <c r="J323" s="221">
        <v>17630</v>
      </c>
    </row>
    <row r="324" spans="1:10" ht="18" customHeight="1" x14ac:dyDescent="0.3">
      <c r="A324" s="217">
        <v>320</v>
      </c>
      <c r="B324" s="217" t="s">
        <v>5085</v>
      </c>
      <c r="C324" s="218">
        <v>46263</v>
      </c>
      <c r="D324" s="219" t="s">
        <v>5086</v>
      </c>
      <c r="E324" s="218">
        <v>46263</v>
      </c>
      <c r="F324" s="219" t="s">
        <v>5087</v>
      </c>
      <c r="G324" s="220" t="s">
        <v>90</v>
      </c>
      <c r="H324" s="221">
        <v>13750</v>
      </c>
      <c r="I324" s="221">
        <v>30890</v>
      </c>
      <c r="J324" s="221">
        <v>17140</v>
      </c>
    </row>
    <row r="325" spans="1:10" ht="18" customHeight="1" x14ac:dyDescent="0.3">
      <c r="A325" s="217">
        <v>321</v>
      </c>
      <c r="B325" s="217" t="s">
        <v>5088</v>
      </c>
      <c r="C325" s="218">
        <v>46263</v>
      </c>
      <c r="D325" s="219" t="s">
        <v>5089</v>
      </c>
      <c r="E325" s="218">
        <v>46263</v>
      </c>
      <c r="F325" s="219" t="s">
        <v>5090</v>
      </c>
      <c r="G325" s="220" t="s">
        <v>842</v>
      </c>
      <c r="H325" s="221">
        <v>13780</v>
      </c>
      <c r="I325" s="221">
        <v>31310</v>
      </c>
      <c r="J325" s="221">
        <v>17530</v>
      </c>
    </row>
    <row r="326" spans="1:10" ht="18" customHeight="1" x14ac:dyDescent="0.3">
      <c r="A326" s="217">
        <v>322</v>
      </c>
      <c r="B326" s="217" t="s">
        <v>5091</v>
      </c>
      <c r="C326" s="218">
        <v>46263</v>
      </c>
      <c r="D326" s="219" t="s">
        <v>5092</v>
      </c>
      <c r="E326" s="218">
        <v>46263</v>
      </c>
      <c r="F326" s="219" t="s">
        <v>5093</v>
      </c>
      <c r="G326" s="220" t="s">
        <v>80</v>
      </c>
      <c r="H326" s="221">
        <v>13860</v>
      </c>
      <c r="I326" s="221">
        <v>31930</v>
      </c>
      <c r="J326" s="221">
        <v>18070</v>
      </c>
    </row>
    <row r="327" spans="1:10" ht="18" customHeight="1" x14ac:dyDescent="0.3">
      <c r="A327" s="217">
        <v>323</v>
      </c>
      <c r="B327" s="217" t="s">
        <v>5094</v>
      </c>
      <c r="C327" s="218">
        <v>46263</v>
      </c>
      <c r="D327" s="219" t="s">
        <v>5095</v>
      </c>
      <c r="E327" s="218">
        <v>46263</v>
      </c>
      <c r="F327" s="219" t="s">
        <v>5096</v>
      </c>
      <c r="G327" s="220" t="s">
        <v>71</v>
      </c>
      <c r="H327" s="221">
        <v>13730</v>
      </c>
      <c r="I327" s="221">
        <v>32090</v>
      </c>
      <c r="J327" s="221">
        <v>18360</v>
      </c>
    </row>
    <row r="328" spans="1:10" ht="18" customHeight="1" x14ac:dyDescent="0.3">
      <c r="A328" s="217">
        <v>324</v>
      </c>
      <c r="B328" s="217" t="s">
        <v>5097</v>
      </c>
      <c r="C328" s="218">
        <v>46264</v>
      </c>
      <c r="D328" s="219" t="s">
        <v>5098</v>
      </c>
      <c r="E328" s="218">
        <v>46264</v>
      </c>
      <c r="F328" s="219" t="s">
        <v>5099</v>
      </c>
      <c r="G328" s="220" t="s">
        <v>540</v>
      </c>
      <c r="H328" s="221">
        <v>13710</v>
      </c>
      <c r="I328" s="221">
        <v>31750</v>
      </c>
      <c r="J328" s="221">
        <v>18040</v>
      </c>
    </row>
    <row r="329" spans="1:10" ht="18" customHeight="1" x14ac:dyDescent="0.3">
      <c r="A329" s="217">
        <v>325</v>
      </c>
      <c r="B329" s="217" t="s">
        <v>5100</v>
      </c>
      <c r="C329" s="218">
        <v>46264</v>
      </c>
      <c r="D329" s="219" t="s">
        <v>5101</v>
      </c>
      <c r="E329" s="218">
        <v>46264</v>
      </c>
      <c r="F329" s="219" t="s">
        <v>5102</v>
      </c>
      <c r="G329" s="220" t="s">
        <v>143</v>
      </c>
      <c r="H329" s="221">
        <v>13710</v>
      </c>
      <c r="I329" s="221">
        <v>30970</v>
      </c>
      <c r="J329" s="221">
        <v>17260</v>
      </c>
    </row>
    <row r="330" spans="1:10" ht="18" customHeight="1" x14ac:dyDescent="0.3">
      <c r="A330" s="217">
        <v>326</v>
      </c>
      <c r="B330" s="217" t="s">
        <v>5103</v>
      </c>
      <c r="C330" s="218">
        <v>46264</v>
      </c>
      <c r="D330" s="219" t="s">
        <v>5104</v>
      </c>
      <c r="E330" s="218">
        <v>46264</v>
      </c>
      <c r="F330" s="219" t="s">
        <v>3241</v>
      </c>
      <c r="G330" s="220" t="s">
        <v>335</v>
      </c>
      <c r="H330" s="221">
        <v>13750</v>
      </c>
      <c r="I330" s="221">
        <v>31280</v>
      </c>
      <c r="J330" s="221">
        <v>17530</v>
      </c>
    </row>
    <row r="331" spans="1:10" ht="18" customHeight="1" x14ac:dyDescent="0.3">
      <c r="A331" s="217">
        <v>327</v>
      </c>
      <c r="B331" s="217" t="s">
        <v>5105</v>
      </c>
      <c r="C331" s="218">
        <v>46264</v>
      </c>
      <c r="D331" s="219" t="s">
        <v>3858</v>
      </c>
      <c r="E331" s="218">
        <v>46264</v>
      </c>
      <c r="F331" s="219" t="s">
        <v>3847</v>
      </c>
      <c r="G331" s="220" t="s">
        <v>843</v>
      </c>
      <c r="H331" s="221">
        <v>14100</v>
      </c>
      <c r="I331" s="221">
        <v>31300</v>
      </c>
      <c r="J331" s="221">
        <v>17200</v>
      </c>
    </row>
    <row r="332" spans="1:10" ht="18" customHeight="1" x14ac:dyDescent="0.3">
      <c r="A332" s="217">
        <v>328</v>
      </c>
      <c r="B332" s="217" t="s">
        <v>5106</v>
      </c>
      <c r="C332" s="218">
        <v>46264</v>
      </c>
      <c r="D332" s="219" t="s">
        <v>5107</v>
      </c>
      <c r="E332" s="218">
        <v>46264</v>
      </c>
      <c r="F332" s="219" t="s">
        <v>5108</v>
      </c>
      <c r="G332" s="220" t="s">
        <v>76</v>
      </c>
      <c r="H332" s="221">
        <v>13970</v>
      </c>
      <c r="I332" s="221">
        <v>31260</v>
      </c>
      <c r="J332" s="221">
        <v>17290</v>
      </c>
    </row>
    <row r="333" spans="1:10" ht="18" customHeight="1" x14ac:dyDescent="0.3">
      <c r="A333" s="217">
        <v>329</v>
      </c>
      <c r="B333" s="217" t="s">
        <v>5109</v>
      </c>
      <c r="C333" s="218">
        <v>46264</v>
      </c>
      <c r="D333" s="219" t="s">
        <v>5110</v>
      </c>
      <c r="E333" s="218">
        <v>46264</v>
      </c>
      <c r="F333" s="219" t="s">
        <v>5111</v>
      </c>
      <c r="G333" s="220" t="s">
        <v>43</v>
      </c>
      <c r="H333" s="221">
        <v>13730</v>
      </c>
      <c r="I333" s="221">
        <v>31360</v>
      </c>
      <c r="J333" s="221">
        <v>17630</v>
      </c>
    </row>
    <row r="334" spans="1:10" ht="18" customHeight="1" x14ac:dyDescent="0.3">
      <c r="A334" s="217">
        <v>330</v>
      </c>
      <c r="B334" s="217" t="s">
        <v>5112</v>
      </c>
      <c r="C334" s="218">
        <v>46264</v>
      </c>
      <c r="D334" s="219" t="s">
        <v>5113</v>
      </c>
      <c r="E334" s="218">
        <v>46264</v>
      </c>
      <c r="F334" s="219" t="s">
        <v>5114</v>
      </c>
      <c r="G334" s="220" t="s">
        <v>337</v>
      </c>
      <c r="H334" s="221">
        <v>13770</v>
      </c>
      <c r="I334" s="221">
        <v>31720</v>
      </c>
      <c r="J334" s="221">
        <v>17950</v>
      </c>
    </row>
    <row r="335" spans="1:10" ht="18" customHeight="1" x14ac:dyDescent="0.3">
      <c r="A335" s="217">
        <v>331</v>
      </c>
      <c r="B335" s="217" t="s">
        <v>5115</v>
      </c>
      <c r="C335" s="218">
        <v>46264</v>
      </c>
      <c r="D335" s="219" t="s">
        <v>4036</v>
      </c>
      <c r="E335" s="218">
        <v>46264</v>
      </c>
      <c r="F335" s="219" t="s">
        <v>5116</v>
      </c>
      <c r="G335" s="220" t="s">
        <v>64</v>
      </c>
      <c r="H335" s="221">
        <v>14040</v>
      </c>
      <c r="I335" s="221">
        <v>31480</v>
      </c>
      <c r="J335" s="221">
        <v>17440</v>
      </c>
    </row>
    <row r="336" spans="1:10" ht="18" customHeight="1" x14ac:dyDescent="0.3">
      <c r="A336" s="217">
        <v>332</v>
      </c>
      <c r="B336" s="217" t="s">
        <v>5117</v>
      </c>
      <c r="C336" s="218">
        <v>46264</v>
      </c>
      <c r="D336" s="219" t="s">
        <v>5118</v>
      </c>
      <c r="E336" s="218">
        <v>46264</v>
      </c>
      <c r="F336" s="219" t="s">
        <v>5119</v>
      </c>
      <c r="G336" s="220" t="s">
        <v>80</v>
      </c>
      <c r="H336" s="221">
        <v>13820</v>
      </c>
      <c r="I336" s="221">
        <v>30690</v>
      </c>
      <c r="J336" s="221">
        <v>16870</v>
      </c>
    </row>
    <row r="337" spans="1:10" ht="18" customHeight="1" x14ac:dyDescent="0.3">
      <c r="A337" s="217">
        <v>333</v>
      </c>
      <c r="B337" s="217" t="s">
        <v>5120</v>
      </c>
      <c r="C337" s="218">
        <v>46264</v>
      </c>
      <c r="D337" s="219" t="s">
        <v>5121</v>
      </c>
      <c r="E337" s="218">
        <v>46264</v>
      </c>
      <c r="F337" s="219" t="s">
        <v>5122</v>
      </c>
      <c r="G337" s="220" t="s">
        <v>840</v>
      </c>
      <c r="H337" s="221">
        <v>13980</v>
      </c>
      <c r="I337" s="221">
        <v>30860</v>
      </c>
      <c r="J337" s="221">
        <v>16880</v>
      </c>
    </row>
    <row r="338" spans="1:10" ht="18" customHeight="1" x14ac:dyDescent="0.3">
      <c r="A338" s="217">
        <v>334</v>
      </c>
      <c r="B338" s="217" t="s">
        <v>5123</v>
      </c>
      <c r="C338" s="218">
        <v>46264</v>
      </c>
      <c r="D338" s="219" t="s">
        <v>5124</v>
      </c>
      <c r="E338" s="218">
        <v>46264</v>
      </c>
      <c r="F338" s="219" t="s">
        <v>5125</v>
      </c>
      <c r="G338" s="220" t="s">
        <v>540</v>
      </c>
      <c r="H338" s="221">
        <v>13680</v>
      </c>
      <c r="I338" s="221">
        <v>31080</v>
      </c>
      <c r="J338" s="221">
        <v>17400</v>
      </c>
    </row>
    <row r="339" spans="1:10" ht="18" customHeight="1" x14ac:dyDescent="0.3">
      <c r="A339" s="217">
        <v>335</v>
      </c>
      <c r="B339" s="217" t="s">
        <v>5126</v>
      </c>
      <c r="C339" s="218">
        <v>46264</v>
      </c>
      <c r="D339" s="219" t="s">
        <v>5127</v>
      </c>
      <c r="E339" s="218">
        <v>46264</v>
      </c>
      <c r="F339" s="219" t="s">
        <v>5128</v>
      </c>
      <c r="G339" s="220" t="s">
        <v>55</v>
      </c>
      <c r="H339" s="221">
        <v>13810</v>
      </c>
      <c r="I339" s="221">
        <v>30080</v>
      </c>
      <c r="J339" s="221">
        <v>16270</v>
      </c>
    </row>
    <row r="340" spans="1:10" ht="18" customHeight="1" x14ac:dyDescent="0.3">
      <c r="A340" s="217">
        <v>336</v>
      </c>
      <c r="B340" s="217" t="s">
        <v>5129</v>
      </c>
      <c r="C340" s="218">
        <v>46264</v>
      </c>
      <c r="D340" s="219" t="s">
        <v>5130</v>
      </c>
      <c r="E340" s="218">
        <v>46264</v>
      </c>
      <c r="F340" s="219" t="s">
        <v>5131</v>
      </c>
      <c r="G340" s="220" t="s">
        <v>143</v>
      </c>
      <c r="H340" s="221">
        <v>13600</v>
      </c>
      <c r="I340" s="221">
        <v>30060</v>
      </c>
      <c r="J340" s="221">
        <v>16460</v>
      </c>
    </row>
    <row r="341" spans="1:10" ht="18" customHeight="1" x14ac:dyDescent="0.3">
      <c r="A341" s="217">
        <v>337</v>
      </c>
      <c r="B341" s="217" t="s">
        <v>5132</v>
      </c>
      <c r="C341" s="218">
        <v>46264</v>
      </c>
      <c r="D341" s="219" t="s">
        <v>5133</v>
      </c>
      <c r="E341" s="218">
        <v>46264</v>
      </c>
      <c r="F341" s="219" t="s">
        <v>5134</v>
      </c>
      <c r="G341" s="220" t="s">
        <v>842</v>
      </c>
      <c r="H341" s="221">
        <v>13740</v>
      </c>
      <c r="I341" s="221">
        <v>31360</v>
      </c>
      <c r="J341" s="221">
        <v>17620</v>
      </c>
    </row>
    <row r="342" spans="1:10" ht="18" customHeight="1" x14ac:dyDescent="0.3">
      <c r="A342" s="217">
        <v>338</v>
      </c>
      <c r="B342" s="217" t="s">
        <v>5135</v>
      </c>
      <c r="C342" s="218">
        <v>46264</v>
      </c>
      <c r="D342" s="219" t="s">
        <v>5136</v>
      </c>
      <c r="E342" s="218">
        <v>46264</v>
      </c>
      <c r="F342" s="219" t="s">
        <v>5137</v>
      </c>
      <c r="G342" s="220" t="s">
        <v>335</v>
      </c>
      <c r="H342" s="221">
        <v>13730</v>
      </c>
      <c r="I342" s="221">
        <v>31260</v>
      </c>
      <c r="J342" s="221">
        <v>17530</v>
      </c>
    </row>
    <row r="343" spans="1:10" ht="18" customHeight="1" x14ac:dyDescent="0.3">
      <c r="A343" s="217">
        <v>339</v>
      </c>
      <c r="B343" s="217" t="s">
        <v>5138</v>
      </c>
      <c r="C343" s="218">
        <v>46264</v>
      </c>
      <c r="D343" s="219" t="s">
        <v>5139</v>
      </c>
      <c r="E343" s="218">
        <v>46264</v>
      </c>
      <c r="F343" s="219" t="s">
        <v>5140</v>
      </c>
      <c r="G343" s="220" t="s">
        <v>843</v>
      </c>
      <c r="H343" s="221">
        <v>14060</v>
      </c>
      <c r="I343" s="221">
        <v>31510</v>
      </c>
      <c r="J343" s="221">
        <v>17450</v>
      </c>
    </row>
    <row r="344" spans="1:10" ht="18" customHeight="1" x14ac:dyDescent="0.3">
      <c r="A344" s="217">
        <v>340</v>
      </c>
      <c r="B344" s="217" t="s">
        <v>5141</v>
      </c>
      <c r="C344" s="218">
        <v>46264</v>
      </c>
      <c r="D344" s="219" t="s">
        <v>665</v>
      </c>
      <c r="E344" s="218">
        <v>46264</v>
      </c>
      <c r="F344" s="219" t="s">
        <v>5142</v>
      </c>
      <c r="G344" s="220" t="s">
        <v>90</v>
      </c>
      <c r="H344" s="221">
        <v>13720</v>
      </c>
      <c r="I344" s="221">
        <v>30610</v>
      </c>
      <c r="J344" s="221">
        <v>16890</v>
      </c>
    </row>
    <row r="345" spans="1:10" ht="18" customHeight="1" x14ac:dyDescent="0.3">
      <c r="A345" s="217">
        <v>341</v>
      </c>
      <c r="B345" s="217" t="s">
        <v>5143</v>
      </c>
      <c r="C345" s="218">
        <v>46264</v>
      </c>
      <c r="D345" s="219" t="s">
        <v>5144</v>
      </c>
      <c r="E345" s="218">
        <v>46264</v>
      </c>
      <c r="F345" s="219" t="s">
        <v>5145</v>
      </c>
      <c r="G345" s="220" t="s">
        <v>336</v>
      </c>
      <c r="H345" s="221">
        <v>13670</v>
      </c>
      <c r="I345" s="221">
        <v>30930</v>
      </c>
      <c r="J345" s="221">
        <v>17260</v>
      </c>
    </row>
    <row r="346" spans="1:10" ht="18" customHeight="1" x14ac:dyDescent="0.3">
      <c r="A346" s="217">
        <v>342</v>
      </c>
      <c r="B346" s="217" t="s">
        <v>5146</v>
      </c>
      <c r="C346" s="218">
        <v>46264</v>
      </c>
      <c r="D346" s="219" t="s">
        <v>5147</v>
      </c>
      <c r="E346" s="218">
        <v>46264</v>
      </c>
      <c r="F346" s="219" t="s">
        <v>5148</v>
      </c>
      <c r="G346" s="220" t="s">
        <v>85</v>
      </c>
      <c r="H346" s="221">
        <v>13730</v>
      </c>
      <c r="I346" s="221">
        <v>30300</v>
      </c>
      <c r="J346" s="221">
        <v>16570</v>
      </c>
    </row>
    <row r="347" spans="1:10" ht="18" customHeight="1" x14ac:dyDescent="0.3">
      <c r="A347" s="217">
        <v>343</v>
      </c>
      <c r="B347" s="217" t="s">
        <v>5149</v>
      </c>
      <c r="C347" s="218">
        <v>46264</v>
      </c>
      <c r="D347" s="219" t="s">
        <v>5150</v>
      </c>
      <c r="E347" s="218">
        <v>46264</v>
      </c>
      <c r="F347" s="219" t="s">
        <v>5151</v>
      </c>
      <c r="G347" s="220" t="s">
        <v>76</v>
      </c>
      <c r="H347" s="221">
        <v>13930</v>
      </c>
      <c r="I347" s="221">
        <v>30600</v>
      </c>
      <c r="J347" s="221">
        <v>16670</v>
      </c>
    </row>
    <row r="348" spans="1:10" ht="18" customHeight="1" x14ac:dyDescent="0.3">
      <c r="A348" s="217">
        <v>344</v>
      </c>
      <c r="B348" s="217" t="s">
        <v>5152</v>
      </c>
      <c r="C348" s="218">
        <v>46264</v>
      </c>
      <c r="D348" s="219" t="s">
        <v>5153</v>
      </c>
      <c r="E348" s="218">
        <v>46264</v>
      </c>
      <c r="F348" s="219" t="s">
        <v>5154</v>
      </c>
      <c r="G348" s="220" t="s">
        <v>43</v>
      </c>
      <c r="H348" s="221">
        <v>13700</v>
      </c>
      <c r="I348" s="221">
        <v>30870</v>
      </c>
      <c r="J348" s="221">
        <v>17170</v>
      </c>
    </row>
    <row r="349" spans="1:10" ht="18" customHeight="1" x14ac:dyDescent="0.3">
      <c r="A349" s="217">
        <v>345</v>
      </c>
      <c r="B349" s="217" t="s">
        <v>5155</v>
      </c>
      <c r="C349" s="218">
        <v>46264</v>
      </c>
      <c r="D349" s="219" t="s">
        <v>5156</v>
      </c>
      <c r="E349" s="218">
        <v>46264</v>
      </c>
      <c r="F349" s="219" t="s">
        <v>5157</v>
      </c>
      <c r="G349" s="220" t="s">
        <v>64</v>
      </c>
      <c r="H349" s="221">
        <v>13990</v>
      </c>
      <c r="I349" s="221">
        <v>30780</v>
      </c>
      <c r="J349" s="221">
        <v>16790</v>
      </c>
    </row>
    <row r="350" spans="1:10" ht="18" customHeight="1" x14ac:dyDescent="0.3">
      <c r="A350" s="217">
        <v>346</v>
      </c>
      <c r="B350" s="217" t="s">
        <v>5158</v>
      </c>
      <c r="C350" s="218">
        <v>46264</v>
      </c>
      <c r="D350" s="219" t="s">
        <v>5159</v>
      </c>
      <c r="E350" s="218">
        <v>46264</v>
      </c>
      <c r="F350" s="219" t="s">
        <v>5160</v>
      </c>
      <c r="G350" s="220" t="s">
        <v>840</v>
      </c>
      <c r="H350" s="221">
        <v>13950</v>
      </c>
      <c r="I350" s="221">
        <v>31550</v>
      </c>
      <c r="J350" s="221">
        <v>17600</v>
      </c>
    </row>
    <row r="351" spans="1:10" ht="18" customHeight="1" x14ac:dyDescent="0.3">
      <c r="A351" s="217">
        <v>347</v>
      </c>
      <c r="B351" s="217" t="s">
        <v>5161</v>
      </c>
      <c r="C351" s="218">
        <v>46264</v>
      </c>
      <c r="D351" s="219" t="s">
        <v>5162</v>
      </c>
      <c r="E351" s="218">
        <v>46264</v>
      </c>
      <c r="F351" s="219" t="s">
        <v>5163</v>
      </c>
      <c r="G351" s="220" t="s">
        <v>71</v>
      </c>
      <c r="H351" s="221">
        <v>13990</v>
      </c>
      <c r="I351" s="221">
        <v>31900</v>
      </c>
      <c r="J351" s="221">
        <v>17910</v>
      </c>
    </row>
    <row r="352" spans="1:10" ht="18" customHeight="1" x14ac:dyDescent="0.3">
      <c r="A352" s="217">
        <v>348</v>
      </c>
      <c r="B352" s="217" t="s">
        <v>5164</v>
      </c>
      <c r="C352" s="218">
        <v>46264</v>
      </c>
      <c r="D352" s="219" t="s">
        <v>5165</v>
      </c>
      <c r="E352" s="218">
        <v>46264</v>
      </c>
      <c r="F352" s="219" t="s">
        <v>5166</v>
      </c>
      <c r="G352" s="220" t="s">
        <v>80</v>
      </c>
      <c r="H352" s="221">
        <v>13780</v>
      </c>
      <c r="I352" s="221">
        <v>30950</v>
      </c>
      <c r="J352" s="221">
        <v>17170</v>
      </c>
    </row>
    <row r="353" spans="1:10" ht="18" customHeight="1" x14ac:dyDescent="0.3">
      <c r="A353" s="217">
        <v>349</v>
      </c>
      <c r="B353" s="217" t="s">
        <v>5167</v>
      </c>
      <c r="C353" s="218">
        <v>46264</v>
      </c>
      <c r="D353" s="219" t="s">
        <v>5168</v>
      </c>
      <c r="E353" s="218">
        <v>46264</v>
      </c>
      <c r="F353" s="219" t="s">
        <v>1013</v>
      </c>
      <c r="G353" s="220" t="s">
        <v>335</v>
      </c>
      <c r="H353" s="221">
        <v>13700</v>
      </c>
      <c r="I353" s="221">
        <v>30510</v>
      </c>
      <c r="J353" s="221">
        <v>16810</v>
      </c>
    </row>
    <row r="354" spans="1:10" ht="18" customHeight="1" x14ac:dyDescent="0.3">
      <c r="A354" s="217">
        <v>350</v>
      </c>
      <c r="B354" s="217" t="s">
        <v>5169</v>
      </c>
      <c r="C354" s="218">
        <v>46264</v>
      </c>
      <c r="D354" s="219" t="s">
        <v>5170</v>
      </c>
      <c r="E354" s="218">
        <v>46264</v>
      </c>
      <c r="F354" s="219" t="s">
        <v>5171</v>
      </c>
      <c r="G354" s="220" t="s">
        <v>55</v>
      </c>
      <c r="H354" s="221">
        <v>13810</v>
      </c>
      <c r="I354" s="221">
        <v>31230</v>
      </c>
      <c r="J354" s="221">
        <v>17420</v>
      </c>
    </row>
    <row r="355" spans="1:10" ht="18" customHeight="1" x14ac:dyDescent="0.3">
      <c r="A355" s="217">
        <v>351</v>
      </c>
      <c r="B355" s="217" t="s">
        <v>5172</v>
      </c>
      <c r="C355" s="218">
        <v>46264</v>
      </c>
      <c r="D355" s="219" t="s">
        <v>5173</v>
      </c>
      <c r="E355" s="218">
        <v>46264</v>
      </c>
      <c r="F355" s="219" t="s">
        <v>5174</v>
      </c>
      <c r="G355" s="220" t="s">
        <v>842</v>
      </c>
      <c r="H355" s="221">
        <v>14050</v>
      </c>
      <c r="I355" s="221">
        <v>31260</v>
      </c>
      <c r="J355" s="221">
        <v>17210</v>
      </c>
    </row>
    <row r="356" spans="1:10" ht="18" customHeight="1" x14ac:dyDescent="0.3">
      <c r="A356" s="217">
        <v>352</v>
      </c>
      <c r="B356" s="217" t="s">
        <v>5175</v>
      </c>
      <c r="C356" s="218">
        <v>46264</v>
      </c>
      <c r="D356" s="219" t="s">
        <v>5176</v>
      </c>
      <c r="E356" s="218">
        <v>46264</v>
      </c>
      <c r="F356" s="219" t="s">
        <v>5177</v>
      </c>
      <c r="G356" s="220" t="s">
        <v>336</v>
      </c>
      <c r="H356" s="221">
        <v>13940</v>
      </c>
      <c r="I356" s="221">
        <v>31130</v>
      </c>
      <c r="J356" s="221">
        <v>17190</v>
      </c>
    </row>
    <row r="357" spans="1:10" ht="18" customHeight="1" x14ac:dyDescent="0.3">
      <c r="A357" s="217">
        <v>353</v>
      </c>
      <c r="B357" s="217" t="s">
        <v>5178</v>
      </c>
      <c r="C357" s="218">
        <v>46264</v>
      </c>
      <c r="D357" s="219" t="s">
        <v>5179</v>
      </c>
      <c r="E357" s="218">
        <v>46264</v>
      </c>
      <c r="F357" s="219" t="s">
        <v>5180</v>
      </c>
      <c r="G357" s="220" t="s">
        <v>843</v>
      </c>
      <c r="H357" s="221">
        <v>14030</v>
      </c>
      <c r="I357" s="221">
        <v>31200</v>
      </c>
      <c r="J357" s="221">
        <v>17170</v>
      </c>
    </row>
    <row r="358" spans="1:10" ht="18" customHeight="1" x14ac:dyDescent="0.3">
      <c r="A358" s="217">
        <v>354</v>
      </c>
      <c r="B358" s="217" t="s">
        <v>5181</v>
      </c>
      <c r="C358" s="218">
        <v>46264</v>
      </c>
      <c r="D358" s="219" t="s">
        <v>5182</v>
      </c>
      <c r="E358" s="218">
        <v>46264</v>
      </c>
      <c r="F358" s="219" t="s">
        <v>5183</v>
      </c>
      <c r="G358" s="220" t="s">
        <v>540</v>
      </c>
      <c r="H358" s="221">
        <v>13870</v>
      </c>
      <c r="I358" s="221">
        <v>30870</v>
      </c>
      <c r="J358" s="221">
        <v>17000</v>
      </c>
    </row>
    <row r="359" spans="1:10" ht="18" customHeight="1" x14ac:dyDescent="0.3">
      <c r="A359" s="217">
        <v>355</v>
      </c>
      <c r="B359" s="217" t="s">
        <v>5184</v>
      </c>
      <c r="C359" s="218">
        <v>46264</v>
      </c>
      <c r="D359" s="219" t="s">
        <v>4084</v>
      </c>
      <c r="E359" s="218">
        <v>46264</v>
      </c>
      <c r="F359" s="219" t="s">
        <v>5185</v>
      </c>
      <c r="G359" s="220" t="s">
        <v>90</v>
      </c>
      <c r="H359" s="221">
        <v>13680</v>
      </c>
      <c r="I359" s="221">
        <v>30630</v>
      </c>
      <c r="J359" s="221">
        <v>16950</v>
      </c>
    </row>
    <row r="360" spans="1:10" ht="18" customHeight="1" x14ac:dyDescent="0.3">
      <c r="A360" s="217">
        <v>356</v>
      </c>
      <c r="B360" s="217" t="s">
        <v>5186</v>
      </c>
      <c r="C360" s="218">
        <v>46264</v>
      </c>
      <c r="D360" s="219" t="s">
        <v>1727</v>
      </c>
      <c r="E360" s="218">
        <v>46264</v>
      </c>
      <c r="F360" s="219" t="s">
        <v>5187</v>
      </c>
      <c r="G360" s="220" t="s">
        <v>143</v>
      </c>
      <c r="H360" s="221">
        <v>14020</v>
      </c>
      <c r="I360" s="221">
        <v>30740</v>
      </c>
      <c r="J360" s="221">
        <v>16720</v>
      </c>
    </row>
    <row r="361" spans="1:10" ht="18" customHeight="1" x14ac:dyDescent="0.3">
      <c r="A361" s="217">
        <v>357</v>
      </c>
      <c r="B361" s="217" t="s">
        <v>5188</v>
      </c>
      <c r="C361" s="218">
        <v>46264</v>
      </c>
      <c r="D361" s="219" t="s">
        <v>5189</v>
      </c>
      <c r="E361" s="218">
        <v>46264</v>
      </c>
      <c r="F361" s="219" t="s">
        <v>5190</v>
      </c>
      <c r="G361" s="220" t="s">
        <v>85</v>
      </c>
      <c r="H361" s="221">
        <v>13690</v>
      </c>
      <c r="I361" s="221">
        <v>30740</v>
      </c>
      <c r="J361" s="221">
        <v>17050</v>
      </c>
    </row>
    <row r="362" spans="1:10" ht="18" customHeight="1" x14ac:dyDescent="0.3">
      <c r="A362" s="217">
        <v>358</v>
      </c>
      <c r="B362" s="217" t="s">
        <v>5191</v>
      </c>
      <c r="C362" s="218">
        <v>46264</v>
      </c>
      <c r="D362" s="219" t="s">
        <v>4040</v>
      </c>
      <c r="E362" s="218">
        <v>46264</v>
      </c>
      <c r="F362" s="219" t="s">
        <v>5192</v>
      </c>
      <c r="G362" s="220" t="s">
        <v>76</v>
      </c>
      <c r="H362" s="221">
        <v>13900</v>
      </c>
      <c r="I362" s="221">
        <v>31100</v>
      </c>
      <c r="J362" s="221">
        <v>17200</v>
      </c>
    </row>
    <row r="363" spans="1:10" ht="18" customHeight="1" x14ac:dyDescent="0.3">
      <c r="A363" s="217">
        <v>359</v>
      </c>
      <c r="B363" s="217" t="s">
        <v>5193</v>
      </c>
      <c r="C363" s="218">
        <v>46264</v>
      </c>
      <c r="D363" s="219" t="s">
        <v>5194</v>
      </c>
      <c r="E363" s="218">
        <v>46264</v>
      </c>
      <c r="F363" s="219" t="s">
        <v>5195</v>
      </c>
      <c r="G363" s="220" t="s">
        <v>337</v>
      </c>
      <c r="H363" s="221">
        <v>14000</v>
      </c>
      <c r="I363" s="221">
        <v>31300</v>
      </c>
      <c r="J363" s="221">
        <v>17300</v>
      </c>
    </row>
    <row r="364" spans="1:10" ht="18" customHeight="1" x14ac:dyDescent="0.3">
      <c r="A364" s="217">
        <v>360</v>
      </c>
      <c r="B364" s="217" t="s">
        <v>5196</v>
      </c>
      <c r="C364" s="218">
        <v>46264</v>
      </c>
      <c r="D364" s="219" t="s">
        <v>5197</v>
      </c>
      <c r="E364" s="218">
        <v>46264</v>
      </c>
      <c r="F364" s="219" t="s">
        <v>5198</v>
      </c>
      <c r="G364" s="220" t="s">
        <v>64</v>
      </c>
      <c r="H364" s="221">
        <v>13970</v>
      </c>
      <c r="I364" s="221">
        <v>31510</v>
      </c>
      <c r="J364" s="221">
        <v>17540</v>
      </c>
    </row>
    <row r="365" spans="1:10" ht="18" customHeight="1" x14ac:dyDescent="0.3">
      <c r="A365" s="217">
        <v>361</v>
      </c>
      <c r="B365" s="217" t="s">
        <v>5199</v>
      </c>
      <c r="C365" s="218">
        <v>46264</v>
      </c>
      <c r="D365" s="219" t="s">
        <v>5200</v>
      </c>
      <c r="E365" s="218">
        <v>46264</v>
      </c>
      <c r="F365" s="219" t="s">
        <v>2796</v>
      </c>
      <c r="G365" s="220" t="s">
        <v>43</v>
      </c>
      <c r="H365" s="221">
        <v>13990</v>
      </c>
      <c r="I365" s="221">
        <v>31070</v>
      </c>
      <c r="J365" s="221">
        <v>17080</v>
      </c>
    </row>
    <row r="366" spans="1:10" ht="18" customHeight="1" x14ac:dyDescent="0.3">
      <c r="A366" s="217">
        <v>362</v>
      </c>
      <c r="B366" s="217" t="s">
        <v>5201</v>
      </c>
      <c r="C366" s="218">
        <v>46264</v>
      </c>
      <c r="D366" s="219" t="s">
        <v>5202</v>
      </c>
      <c r="E366" s="218">
        <v>46264</v>
      </c>
      <c r="F366" s="219" t="s">
        <v>5203</v>
      </c>
      <c r="G366" s="220" t="s">
        <v>840</v>
      </c>
      <c r="H366" s="221">
        <v>13900</v>
      </c>
      <c r="I366" s="221">
        <v>31560</v>
      </c>
      <c r="J366" s="221">
        <v>17660</v>
      </c>
    </row>
    <row r="367" spans="1:10" ht="18" customHeight="1" x14ac:dyDescent="0.3">
      <c r="A367" s="217">
        <v>363</v>
      </c>
      <c r="B367" s="217" t="s">
        <v>5204</v>
      </c>
      <c r="C367" s="218">
        <v>46264</v>
      </c>
      <c r="D367" s="219" t="s">
        <v>5205</v>
      </c>
      <c r="E367" s="218">
        <v>46264</v>
      </c>
      <c r="F367" s="219" t="s">
        <v>5206</v>
      </c>
      <c r="G367" s="220" t="s">
        <v>537</v>
      </c>
      <c r="H367" s="221">
        <v>13860</v>
      </c>
      <c r="I367" s="221">
        <v>30180</v>
      </c>
      <c r="J367" s="221">
        <v>16320</v>
      </c>
    </row>
    <row r="368" spans="1:10" ht="18" customHeight="1" x14ac:dyDescent="0.3">
      <c r="A368" s="217">
        <v>364</v>
      </c>
      <c r="B368" s="217" t="s">
        <v>5207</v>
      </c>
      <c r="C368" s="218">
        <v>46264</v>
      </c>
      <c r="D368" s="219" t="s">
        <v>3584</v>
      </c>
      <c r="E368" s="218">
        <v>46264</v>
      </c>
      <c r="F368" s="219" t="s">
        <v>5208</v>
      </c>
      <c r="G368" s="220" t="s">
        <v>80</v>
      </c>
      <c r="H368" s="221">
        <v>14050</v>
      </c>
      <c r="I368" s="221">
        <v>30730</v>
      </c>
      <c r="J368" s="221">
        <v>16680</v>
      </c>
    </row>
    <row r="369" spans="1:10" ht="18" customHeight="1" x14ac:dyDescent="0.3">
      <c r="A369" s="217">
        <v>365</v>
      </c>
      <c r="B369" s="217" t="s">
        <v>5209</v>
      </c>
      <c r="C369" s="218">
        <v>46264</v>
      </c>
      <c r="D369" s="219" t="s">
        <v>5210</v>
      </c>
      <c r="E369" s="218">
        <v>46264</v>
      </c>
      <c r="F369" s="219" t="s">
        <v>5211</v>
      </c>
      <c r="G369" s="220" t="s">
        <v>336</v>
      </c>
      <c r="H369" s="221">
        <v>13920</v>
      </c>
      <c r="I369" s="221">
        <v>30950</v>
      </c>
      <c r="J369" s="221">
        <v>17030</v>
      </c>
    </row>
    <row r="370" spans="1:10" ht="18" customHeight="1" x14ac:dyDescent="0.3">
      <c r="A370" s="217">
        <v>366</v>
      </c>
      <c r="B370" s="217" t="s">
        <v>5212</v>
      </c>
      <c r="C370" s="218">
        <v>46264</v>
      </c>
      <c r="D370" s="219" t="s">
        <v>5213</v>
      </c>
      <c r="E370" s="218">
        <v>46264</v>
      </c>
      <c r="F370" s="219" t="s">
        <v>5214</v>
      </c>
      <c r="G370" s="220" t="s">
        <v>842</v>
      </c>
      <c r="H370" s="221">
        <v>14040</v>
      </c>
      <c r="I370" s="221">
        <v>31450</v>
      </c>
      <c r="J370" s="221">
        <v>17410</v>
      </c>
    </row>
    <row r="371" spans="1:10" ht="18" customHeight="1" x14ac:dyDescent="0.3">
      <c r="A371" s="217">
        <v>367</v>
      </c>
      <c r="B371" s="217" t="s">
        <v>5215</v>
      </c>
      <c r="C371" s="218">
        <v>46264</v>
      </c>
      <c r="D371" s="219" t="s">
        <v>5216</v>
      </c>
      <c r="E371" s="218">
        <v>46264</v>
      </c>
      <c r="F371" s="219" t="s">
        <v>5217</v>
      </c>
      <c r="G371" s="220" t="s">
        <v>71</v>
      </c>
      <c r="H371" s="221">
        <v>13840</v>
      </c>
      <c r="I371" s="221">
        <v>31640</v>
      </c>
      <c r="J371" s="221">
        <v>17800</v>
      </c>
    </row>
    <row r="372" spans="1:10" ht="18" customHeight="1" x14ac:dyDescent="0.3">
      <c r="A372" s="217">
        <v>368</v>
      </c>
      <c r="B372" s="217" t="s">
        <v>5218</v>
      </c>
      <c r="C372" s="218">
        <v>46264</v>
      </c>
      <c r="D372" s="219" t="s">
        <v>5219</v>
      </c>
      <c r="E372" s="218">
        <v>46264</v>
      </c>
      <c r="F372" s="219" t="s">
        <v>5220</v>
      </c>
      <c r="G372" s="220" t="s">
        <v>335</v>
      </c>
      <c r="H372" s="221">
        <v>13980</v>
      </c>
      <c r="I372" s="221">
        <v>32060</v>
      </c>
      <c r="J372" s="221">
        <v>18080</v>
      </c>
    </row>
    <row r="373" spans="1:10" ht="18" customHeight="1" x14ac:dyDescent="0.3">
      <c r="A373" s="217">
        <v>369</v>
      </c>
      <c r="B373" s="217" t="s">
        <v>5221</v>
      </c>
      <c r="C373" s="218">
        <v>46264</v>
      </c>
      <c r="D373" s="219" t="s">
        <v>5222</v>
      </c>
      <c r="E373" s="218">
        <v>46264</v>
      </c>
      <c r="F373" s="219" t="s">
        <v>5223</v>
      </c>
      <c r="G373" s="220" t="s">
        <v>55</v>
      </c>
      <c r="H373" s="221">
        <v>13760</v>
      </c>
      <c r="I373" s="221">
        <v>30740</v>
      </c>
      <c r="J373" s="221">
        <v>16980</v>
      </c>
    </row>
    <row r="374" spans="1:10" ht="18" customHeight="1" x14ac:dyDescent="0.3">
      <c r="A374" s="217">
        <v>370</v>
      </c>
      <c r="B374" s="217" t="s">
        <v>5224</v>
      </c>
      <c r="C374" s="218">
        <v>46264</v>
      </c>
      <c r="D374" s="219" t="s">
        <v>5225</v>
      </c>
      <c r="E374" s="218">
        <v>46264</v>
      </c>
      <c r="F374" s="219" t="s">
        <v>5226</v>
      </c>
      <c r="G374" s="220" t="s">
        <v>85</v>
      </c>
      <c r="H374" s="221">
        <v>13980</v>
      </c>
      <c r="I374" s="221">
        <v>31310</v>
      </c>
      <c r="J374" s="221">
        <v>17330</v>
      </c>
    </row>
    <row r="375" spans="1:10" ht="18" customHeight="1" x14ac:dyDescent="0.3">
      <c r="A375" s="217">
        <v>371</v>
      </c>
      <c r="B375" s="217" t="s">
        <v>5227</v>
      </c>
      <c r="C375" s="218">
        <v>46264</v>
      </c>
      <c r="D375" s="219" t="s">
        <v>5228</v>
      </c>
      <c r="E375" s="218">
        <v>46264</v>
      </c>
      <c r="F375" s="219" t="s">
        <v>5229</v>
      </c>
      <c r="G375" s="220" t="s">
        <v>143</v>
      </c>
      <c r="H375" s="221">
        <v>13990</v>
      </c>
      <c r="I375" s="221">
        <v>30090</v>
      </c>
      <c r="J375" s="221">
        <v>16100</v>
      </c>
    </row>
    <row r="376" spans="1:10" ht="18" customHeight="1" x14ac:dyDescent="0.3">
      <c r="A376" s="217">
        <v>372</v>
      </c>
      <c r="B376" s="217" t="s">
        <v>5230</v>
      </c>
      <c r="C376" s="218">
        <v>46264</v>
      </c>
      <c r="D376" s="219" t="s">
        <v>5231</v>
      </c>
      <c r="E376" s="218">
        <v>46264</v>
      </c>
      <c r="F376" s="219" t="s">
        <v>5232</v>
      </c>
      <c r="G376" s="220" t="s">
        <v>540</v>
      </c>
      <c r="H376" s="221">
        <v>13830</v>
      </c>
      <c r="I376" s="221">
        <v>31370</v>
      </c>
      <c r="J376" s="221">
        <v>17540</v>
      </c>
    </row>
    <row r="377" spans="1:10" ht="18" customHeight="1" x14ac:dyDescent="0.3">
      <c r="A377" s="217">
        <v>373</v>
      </c>
      <c r="B377" s="217" t="s">
        <v>5233</v>
      </c>
      <c r="C377" s="218">
        <v>46264</v>
      </c>
      <c r="D377" s="219" t="s">
        <v>5234</v>
      </c>
      <c r="E377" s="218">
        <v>46264</v>
      </c>
      <c r="F377" s="219" t="s">
        <v>5235</v>
      </c>
      <c r="G377" s="220" t="s">
        <v>90</v>
      </c>
      <c r="H377" s="221">
        <v>13950</v>
      </c>
      <c r="I377" s="221">
        <v>31750</v>
      </c>
      <c r="J377" s="221">
        <v>17800</v>
      </c>
    </row>
    <row r="378" spans="1:10" ht="18" customHeight="1" x14ac:dyDescent="0.3">
      <c r="A378" s="217">
        <v>374</v>
      </c>
      <c r="B378" s="217" t="s">
        <v>5236</v>
      </c>
      <c r="C378" s="218">
        <v>46264</v>
      </c>
      <c r="D378" s="219" t="s">
        <v>5237</v>
      </c>
      <c r="E378" s="218">
        <v>46264</v>
      </c>
      <c r="F378" s="219" t="s">
        <v>5238</v>
      </c>
      <c r="G378" s="220" t="s">
        <v>337</v>
      </c>
      <c r="H378" s="221">
        <v>13960</v>
      </c>
      <c r="I378" s="221">
        <v>31810</v>
      </c>
      <c r="J378" s="221">
        <v>17850</v>
      </c>
    </row>
    <row r="379" spans="1:10" x14ac:dyDescent="0.3">
      <c r="A379" s="312" t="s">
        <v>320</v>
      </c>
      <c r="B379" s="312"/>
      <c r="C379" s="312"/>
      <c r="D379" s="312"/>
      <c r="E379" s="312"/>
      <c r="F379" s="312"/>
      <c r="G379" s="312"/>
      <c r="H379" s="312"/>
      <c r="I379" s="312"/>
      <c r="J379" s="222">
        <f>SUM(J5:J378)</f>
        <v>6441980</v>
      </c>
    </row>
    <row r="380" spans="1:10" x14ac:dyDescent="0.3">
      <c r="A380" s="142"/>
      <c r="B380" s="142"/>
      <c r="C380" s="129"/>
      <c r="D380" s="120"/>
      <c r="E380" s="120"/>
      <c r="F380" s="120"/>
      <c r="G380" s="309" t="s">
        <v>5244</v>
      </c>
      <c r="H380" s="309"/>
      <c r="I380" s="309"/>
      <c r="J380" s="309"/>
    </row>
    <row r="381" spans="1:10" x14ac:dyDescent="0.3">
      <c r="A381" s="310" t="s">
        <v>333</v>
      </c>
      <c r="B381" s="310"/>
      <c r="C381" s="310"/>
      <c r="D381" s="310"/>
      <c r="E381" s="310"/>
      <c r="F381" s="310"/>
      <c r="G381" s="303" t="s">
        <v>45</v>
      </c>
      <c r="H381" s="303"/>
      <c r="I381" s="303"/>
      <c r="J381" s="303"/>
    </row>
    <row r="382" spans="1:10" x14ac:dyDescent="0.3">
      <c r="A382" s="143"/>
      <c r="B382" s="303" t="s">
        <v>830</v>
      </c>
      <c r="C382" s="303"/>
      <c r="D382" s="303" t="s">
        <v>325</v>
      </c>
      <c r="E382" s="303"/>
      <c r="F382" s="269"/>
      <c r="G382" s="303" t="s">
        <v>831</v>
      </c>
      <c r="H382" s="303"/>
      <c r="I382" s="303" t="s">
        <v>325</v>
      </c>
      <c r="J382" s="303"/>
    </row>
    <row r="383" spans="1:10" x14ac:dyDescent="0.3">
      <c r="A383" s="144"/>
      <c r="B383" s="144"/>
      <c r="C383" s="270"/>
      <c r="D383" s="123"/>
      <c r="E383" s="123"/>
      <c r="F383" s="123"/>
      <c r="G383" s="123"/>
      <c r="H383" s="271"/>
      <c r="I383" s="271"/>
      <c r="J383" s="123"/>
    </row>
    <row r="384" spans="1:10" x14ac:dyDescent="0.3">
      <c r="A384" s="144"/>
      <c r="B384" s="144"/>
      <c r="C384" s="270"/>
      <c r="D384" s="123"/>
      <c r="E384" s="123"/>
      <c r="F384" s="123"/>
      <c r="G384" s="123"/>
      <c r="H384" s="271"/>
      <c r="I384" s="271"/>
      <c r="J384" s="123"/>
    </row>
    <row r="385" spans="1:10" x14ac:dyDescent="0.3">
      <c r="A385" s="144"/>
      <c r="B385" s="144"/>
      <c r="C385" s="270"/>
      <c r="D385" s="123"/>
      <c r="E385" s="123"/>
      <c r="F385" s="123"/>
      <c r="G385" s="123"/>
      <c r="H385" s="271"/>
      <c r="I385" s="271"/>
      <c r="J385" s="123"/>
    </row>
    <row r="386" spans="1:10" x14ac:dyDescent="0.3">
      <c r="A386" s="144"/>
      <c r="B386" s="303"/>
      <c r="C386" s="303"/>
      <c r="D386" s="303" t="s">
        <v>837</v>
      </c>
      <c r="E386" s="303"/>
      <c r="F386" s="123"/>
      <c r="G386" s="123"/>
      <c r="H386" s="271"/>
      <c r="I386" s="271"/>
      <c r="J386" s="123"/>
    </row>
    <row r="387" spans="1:10" x14ac:dyDescent="0.3">
      <c r="A387" s="145"/>
      <c r="B387" s="303" t="s">
        <v>833</v>
      </c>
      <c r="C387" s="303"/>
      <c r="D387" s="303"/>
      <c r="E387" s="303"/>
      <c r="F387" s="122"/>
      <c r="G387" s="303" t="s">
        <v>834</v>
      </c>
      <c r="H387" s="303"/>
      <c r="I387" s="304" t="s">
        <v>832</v>
      </c>
      <c r="J387" s="304"/>
    </row>
  </sheetData>
  <mergeCells count="16">
    <mergeCell ref="A381:F381"/>
    <mergeCell ref="G381:J381"/>
    <mergeCell ref="A1:F1"/>
    <mergeCell ref="A2:F2"/>
    <mergeCell ref="A3:J3"/>
    <mergeCell ref="A379:I379"/>
    <mergeCell ref="G380:J380"/>
    <mergeCell ref="B382:C382"/>
    <mergeCell ref="D382:E382"/>
    <mergeCell ref="G382:H382"/>
    <mergeCell ref="I382:J382"/>
    <mergeCell ref="B386:C386"/>
    <mergeCell ref="D386:E387"/>
    <mergeCell ref="B387:C387"/>
    <mergeCell ref="G387:H387"/>
    <mergeCell ref="I387:J387"/>
  </mergeCells>
  <pageMargins left="0.7" right="0.7" top="0.75" bottom="0.75" header="0.3" footer="0.3"/>
  <pageSetup paperSize="9" scale="62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EA45E-751A-4E9B-8A4D-4E7071FFB338}">
  <sheetPr>
    <tabColor rgb="FFFF0000"/>
  </sheetPr>
  <dimension ref="A1:IV48"/>
  <sheetViews>
    <sheetView tabSelected="1" zoomScaleNormal="100" workbookViewId="0">
      <selection activeCell="A4" sqref="A4:J4"/>
    </sheetView>
  </sheetViews>
  <sheetFormatPr defaultRowHeight="15.75" x14ac:dyDescent="0.25"/>
  <cols>
    <col min="1" max="1" width="5.6640625" style="106" customWidth="1"/>
    <col min="2" max="2" width="13.44140625" style="106" customWidth="1"/>
    <col min="3" max="3" width="10" style="183" customWidth="1"/>
    <col min="4" max="4" width="11.109375" style="106" customWidth="1"/>
    <col min="5" max="5" width="11.6640625" style="106" customWidth="1"/>
    <col min="6" max="6" width="9.5546875" style="106" customWidth="1"/>
    <col min="7" max="7" width="13.5546875" style="106" customWidth="1"/>
    <col min="8" max="8" width="12.88671875" style="106" customWidth="1"/>
    <col min="9" max="9" width="13.21875" style="106" customWidth="1"/>
    <col min="10" max="10" width="11.6640625" style="106" customWidth="1"/>
    <col min="11" max="11" width="12.77734375" style="106" customWidth="1"/>
    <col min="12" max="12" width="13.109375" style="106" bestFit="1" customWidth="1"/>
    <col min="13" max="13" width="14" style="106" bestFit="1" customWidth="1"/>
    <col min="14" max="14" width="10.77734375" style="106" bestFit="1" customWidth="1"/>
    <col min="15" max="255" width="8.88671875" style="106"/>
    <col min="256" max="256" width="8.88671875" style="130"/>
    <col min="257" max="257" width="5.6640625" style="130" customWidth="1"/>
    <col min="258" max="258" width="10.6640625" style="130" customWidth="1"/>
    <col min="259" max="259" width="9.21875" style="130" customWidth="1"/>
    <col min="260" max="260" width="11.109375" style="130" customWidth="1"/>
    <col min="261" max="261" width="11" style="130" customWidth="1"/>
    <col min="262" max="262" width="10.109375" style="130" customWidth="1"/>
    <col min="263" max="263" width="13.5546875" style="130" customWidth="1"/>
    <col min="264" max="264" width="11.5546875" style="130" customWidth="1"/>
    <col min="265" max="265" width="10.88671875" style="130" customWidth="1"/>
    <col min="266" max="266" width="7.21875" style="130" customWidth="1"/>
    <col min="267" max="512" width="8.88671875" style="130"/>
    <col min="513" max="513" width="5.6640625" style="130" customWidth="1"/>
    <col min="514" max="514" width="10.6640625" style="130" customWidth="1"/>
    <col min="515" max="515" width="9.21875" style="130" customWidth="1"/>
    <col min="516" max="516" width="11.109375" style="130" customWidth="1"/>
    <col min="517" max="517" width="11" style="130" customWidth="1"/>
    <col min="518" max="518" width="10.109375" style="130" customWidth="1"/>
    <col min="519" max="519" width="13.5546875" style="130" customWidth="1"/>
    <col min="520" max="520" width="11.5546875" style="130" customWidth="1"/>
    <col min="521" max="521" width="10.88671875" style="130" customWidth="1"/>
    <col min="522" max="522" width="7.21875" style="130" customWidth="1"/>
    <col min="523" max="768" width="8.88671875" style="130"/>
    <col min="769" max="769" width="5.6640625" style="130" customWidth="1"/>
    <col min="770" max="770" width="10.6640625" style="130" customWidth="1"/>
    <col min="771" max="771" width="9.21875" style="130" customWidth="1"/>
    <col min="772" max="772" width="11.109375" style="130" customWidth="1"/>
    <col min="773" max="773" width="11" style="130" customWidth="1"/>
    <col min="774" max="774" width="10.109375" style="130" customWidth="1"/>
    <col min="775" max="775" width="13.5546875" style="130" customWidth="1"/>
    <col min="776" max="776" width="11.5546875" style="130" customWidth="1"/>
    <col min="777" max="777" width="10.88671875" style="130" customWidth="1"/>
    <col min="778" max="778" width="7.21875" style="130" customWidth="1"/>
    <col min="779" max="1024" width="8.88671875" style="130"/>
    <col min="1025" max="1025" width="5.6640625" style="130" customWidth="1"/>
    <col min="1026" max="1026" width="10.6640625" style="130" customWidth="1"/>
    <col min="1027" max="1027" width="9.21875" style="130" customWidth="1"/>
    <col min="1028" max="1028" width="11.109375" style="130" customWidth="1"/>
    <col min="1029" max="1029" width="11" style="130" customWidth="1"/>
    <col min="1030" max="1030" width="10.109375" style="130" customWidth="1"/>
    <col min="1031" max="1031" width="13.5546875" style="130" customWidth="1"/>
    <col min="1032" max="1032" width="11.5546875" style="130" customWidth="1"/>
    <col min="1033" max="1033" width="10.88671875" style="130" customWidth="1"/>
    <col min="1034" max="1034" width="7.21875" style="130" customWidth="1"/>
    <col min="1035" max="1280" width="8.88671875" style="130"/>
    <col min="1281" max="1281" width="5.6640625" style="130" customWidth="1"/>
    <col min="1282" max="1282" width="10.6640625" style="130" customWidth="1"/>
    <col min="1283" max="1283" width="9.21875" style="130" customWidth="1"/>
    <col min="1284" max="1284" width="11.109375" style="130" customWidth="1"/>
    <col min="1285" max="1285" width="11" style="130" customWidth="1"/>
    <col min="1286" max="1286" width="10.109375" style="130" customWidth="1"/>
    <col min="1287" max="1287" width="13.5546875" style="130" customWidth="1"/>
    <col min="1288" max="1288" width="11.5546875" style="130" customWidth="1"/>
    <col min="1289" max="1289" width="10.88671875" style="130" customWidth="1"/>
    <col min="1290" max="1290" width="7.21875" style="130" customWidth="1"/>
    <col min="1291" max="1536" width="8.88671875" style="130"/>
    <col min="1537" max="1537" width="5.6640625" style="130" customWidth="1"/>
    <col min="1538" max="1538" width="10.6640625" style="130" customWidth="1"/>
    <col min="1539" max="1539" width="9.21875" style="130" customWidth="1"/>
    <col min="1540" max="1540" width="11.109375" style="130" customWidth="1"/>
    <col min="1541" max="1541" width="11" style="130" customWidth="1"/>
    <col min="1542" max="1542" width="10.109375" style="130" customWidth="1"/>
    <col min="1543" max="1543" width="13.5546875" style="130" customWidth="1"/>
    <col min="1544" max="1544" width="11.5546875" style="130" customWidth="1"/>
    <col min="1545" max="1545" width="10.88671875" style="130" customWidth="1"/>
    <col min="1546" max="1546" width="7.21875" style="130" customWidth="1"/>
    <col min="1547" max="1792" width="8.88671875" style="130"/>
    <col min="1793" max="1793" width="5.6640625" style="130" customWidth="1"/>
    <col min="1794" max="1794" width="10.6640625" style="130" customWidth="1"/>
    <col min="1795" max="1795" width="9.21875" style="130" customWidth="1"/>
    <col min="1796" max="1796" width="11.109375" style="130" customWidth="1"/>
    <col min="1797" max="1797" width="11" style="130" customWidth="1"/>
    <col min="1798" max="1798" width="10.109375" style="130" customWidth="1"/>
    <col min="1799" max="1799" width="13.5546875" style="130" customWidth="1"/>
    <col min="1800" max="1800" width="11.5546875" style="130" customWidth="1"/>
    <col min="1801" max="1801" width="10.88671875" style="130" customWidth="1"/>
    <col min="1802" max="1802" width="7.21875" style="130" customWidth="1"/>
    <col min="1803" max="2048" width="8.88671875" style="130"/>
    <col min="2049" max="2049" width="5.6640625" style="130" customWidth="1"/>
    <col min="2050" max="2050" width="10.6640625" style="130" customWidth="1"/>
    <col min="2051" max="2051" width="9.21875" style="130" customWidth="1"/>
    <col min="2052" max="2052" width="11.109375" style="130" customWidth="1"/>
    <col min="2053" max="2053" width="11" style="130" customWidth="1"/>
    <col min="2054" max="2054" width="10.109375" style="130" customWidth="1"/>
    <col min="2055" max="2055" width="13.5546875" style="130" customWidth="1"/>
    <col min="2056" max="2056" width="11.5546875" style="130" customWidth="1"/>
    <col min="2057" max="2057" width="10.88671875" style="130" customWidth="1"/>
    <col min="2058" max="2058" width="7.21875" style="130" customWidth="1"/>
    <col min="2059" max="2304" width="8.88671875" style="130"/>
    <col min="2305" max="2305" width="5.6640625" style="130" customWidth="1"/>
    <col min="2306" max="2306" width="10.6640625" style="130" customWidth="1"/>
    <col min="2307" max="2307" width="9.21875" style="130" customWidth="1"/>
    <col min="2308" max="2308" width="11.109375" style="130" customWidth="1"/>
    <col min="2309" max="2309" width="11" style="130" customWidth="1"/>
    <col min="2310" max="2310" width="10.109375" style="130" customWidth="1"/>
    <col min="2311" max="2311" width="13.5546875" style="130" customWidth="1"/>
    <col min="2312" max="2312" width="11.5546875" style="130" customWidth="1"/>
    <col min="2313" max="2313" width="10.88671875" style="130" customWidth="1"/>
    <col min="2314" max="2314" width="7.21875" style="130" customWidth="1"/>
    <col min="2315" max="2560" width="8.88671875" style="130"/>
    <col min="2561" max="2561" width="5.6640625" style="130" customWidth="1"/>
    <col min="2562" max="2562" width="10.6640625" style="130" customWidth="1"/>
    <col min="2563" max="2563" width="9.21875" style="130" customWidth="1"/>
    <col min="2564" max="2564" width="11.109375" style="130" customWidth="1"/>
    <col min="2565" max="2565" width="11" style="130" customWidth="1"/>
    <col min="2566" max="2566" width="10.109375" style="130" customWidth="1"/>
    <col min="2567" max="2567" width="13.5546875" style="130" customWidth="1"/>
    <col min="2568" max="2568" width="11.5546875" style="130" customWidth="1"/>
    <col min="2569" max="2569" width="10.88671875" style="130" customWidth="1"/>
    <col min="2570" max="2570" width="7.21875" style="130" customWidth="1"/>
    <col min="2571" max="2816" width="8.88671875" style="130"/>
    <col min="2817" max="2817" width="5.6640625" style="130" customWidth="1"/>
    <col min="2818" max="2818" width="10.6640625" style="130" customWidth="1"/>
    <col min="2819" max="2819" width="9.21875" style="130" customWidth="1"/>
    <col min="2820" max="2820" width="11.109375" style="130" customWidth="1"/>
    <col min="2821" max="2821" width="11" style="130" customWidth="1"/>
    <col min="2822" max="2822" width="10.109375" style="130" customWidth="1"/>
    <col min="2823" max="2823" width="13.5546875" style="130" customWidth="1"/>
    <col min="2824" max="2824" width="11.5546875" style="130" customWidth="1"/>
    <col min="2825" max="2825" width="10.88671875" style="130" customWidth="1"/>
    <col min="2826" max="2826" width="7.21875" style="130" customWidth="1"/>
    <col min="2827" max="3072" width="8.88671875" style="130"/>
    <col min="3073" max="3073" width="5.6640625" style="130" customWidth="1"/>
    <col min="3074" max="3074" width="10.6640625" style="130" customWidth="1"/>
    <col min="3075" max="3075" width="9.21875" style="130" customWidth="1"/>
    <col min="3076" max="3076" width="11.109375" style="130" customWidth="1"/>
    <col min="3077" max="3077" width="11" style="130" customWidth="1"/>
    <col min="3078" max="3078" width="10.109375" style="130" customWidth="1"/>
    <col min="3079" max="3079" width="13.5546875" style="130" customWidth="1"/>
    <col min="3080" max="3080" width="11.5546875" style="130" customWidth="1"/>
    <col min="3081" max="3081" width="10.88671875" style="130" customWidth="1"/>
    <col min="3082" max="3082" width="7.21875" style="130" customWidth="1"/>
    <col min="3083" max="3328" width="8.88671875" style="130"/>
    <col min="3329" max="3329" width="5.6640625" style="130" customWidth="1"/>
    <col min="3330" max="3330" width="10.6640625" style="130" customWidth="1"/>
    <col min="3331" max="3331" width="9.21875" style="130" customWidth="1"/>
    <col min="3332" max="3332" width="11.109375" style="130" customWidth="1"/>
    <col min="3333" max="3333" width="11" style="130" customWidth="1"/>
    <col min="3334" max="3334" width="10.109375" style="130" customWidth="1"/>
    <col min="3335" max="3335" width="13.5546875" style="130" customWidth="1"/>
    <col min="3336" max="3336" width="11.5546875" style="130" customWidth="1"/>
    <col min="3337" max="3337" width="10.88671875" style="130" customWidth="1"/>
    <col min="3338" max="3338" width="7.21875" style="130" customWidth="1"/>
    <col min="3339" max="3584" width="8.88671875" style="130"/>
    <col min="3585" max="3585" width="5.6640625" style="130" customWidth="1"/>
    <col min="3586" max="3586" width="10.6640625" style="130" customWidth="1"/>
    <col min="3587" max="3587" width="9.21875" style="130" customWidth="1"/>
    <col min="3588" max="3588" width="11.109375" style="130" customWidth="1"/>
    <col min="3589" max="3589" width="11" style="130" customWidth="1"/>
    <col min="3590" max="3590" width="10.109375" style="130" customWidth="1"/>
    <col min="3591" max="3591" width="13.5546875" style="130" customWidth="1"/>
    <col min="3592" max="3592" width="11.5546875" style="130" customWidth="1"/>
    <col min="3593" max="3593" width="10.88671875" style="130" customWidth="1"/>
    <col min="3594" max="3594" width="7.21875" style="130" customWidth="1"/>
    <col min="3595" max="3840" width="8.88671875" style="130"/>
    <col min="3841" max="3841" width="5.6640625" style="130" customWidth="1"/>
    <col min="3842" max="3842" width="10.6640625" style="130" customWidth="1"/>
    <col min="3843" max="3843" width="9.21875" style="130" customWidth="1"/>
    <col min="3844" max="3844" width="11.109375" style="130" customWidth="1"/>
    <col min="3845" max="3845" width="11" style="130" customWidth="1"/>
    <col min="3846" max="3846" width="10.109375" style="130" customWidth="1"/>
    <col min="3847" max="3847" width="13.5546875" style="130" customWidth="1"/>
    <col min="3848" max="3848" width="11.5546875" style="130" customWidth="1"/>
    <col min="3849" max="3849" width="10.88671875" style="130" customWidth="1"/>
    <col min="3850" max="3850" width="7.21875" style="130" customWidth="1"/>
    <col min="3851" max="4096" width="8.88671875" style="130"/>
    <col min="4097" max="4097" width="5.6640625" style="130" customWidth="1"/>
    <col min="4098" max="4098" width="10.6640625" style="130" customWidth="1"/>
    <col min="4099" max="4099" width="9.21875" style="130" customWidth="1"/>
    <col min="4100" max="4100" width="11.109375" style="130" customWidth="1"/>
    <col min="4101" max="4101" width="11" style="130" customWidth="1"/>
    <col min="4102" max="4102" width="10.109375" style="130" customWidth="1"/>
    <col min="4103" max="4103" width="13.5546875" style="130" customWidth="1"/>
    <col min="4104" max="4104" width="11.5546875" style="130" customWidth="1"/>
    <col min="4105" max="4105" width="10.88671875" style="130" customWidth="1"/>
    <col min="4106" max="4106" width="7.21875" style="130" customWidth="1"/>
    <col min="4107" max="4352" width="8.88671875" style="130"/>
    <col min="4353" max="4353" width="5.6640625" style="130" customWidth="1"/>
    <col min="4354" max="4354" width="10.6640625" style="130" customWidth="1"/>
    <col min="4355" max="4355" width="9.21875" style="130" customWidth="1"/>
    <col min="4356" max="4356" width="11.109375" style="130" customWidth="1"/>
    <col min="4357" max="4357" width="11" style="130" customWidth="1"/>
    <col min="4358" max="4358" width="10.109375" style="130" customWidth="1"/>
    <col min="4359" max="4359" width="13.5546875" style="130" customWidth="1"/>
    <col min="4360" max="4360" width="11.5546875" style="130" customWidth="1"/>
    <col min="4361" max="4361" width="10.88671875" style="130" customWidth="1"/>
    <col min="4362" max="4362" width="7.21875" style="130" customWidth="1"/>
    <col min="4363" max="4608" width="8.88671875" style="130"/>
    <col min="4609" max="4609" width="5.6640625" style="130" customWidth="1"/>
    <col min="4610" max="4610" width="10.6640625" style="130" customWidth="1"/>
    <col min="4611" max="4611" width="9.21875" style="130" customWidth="1"/>
    <col min="4612" max="4612" width="11.109375" style="130" customWidth="1"/>
    <col min="4613" max="4613" width="11" style="130" customWidth="1"/>
    <col min="4614" max="4614" width="10.109375" style="130" customWidth="1"/>
    <col min="4615" max="4615" width="13.5546875" style="130" customWidth="1"/>
    <col min="4616" max="4616" width="11.5546875" style="130" customWidth="1"/>
    <col min="4617" max="4617" width="10.88671875" style="130" customWidth="1"/>
    <col min="4618" max="4618" width="7.21875" style="130" customWidth="1"/>
    <col min="4619" max="4864" width="8.88671875" style="130"/>
    <col min="4865" max="4865" width="5.6640625" style="130" customWidth="1"/>
    <col min="4866" max="4866" width="10.6640625" style="130" customWidth="1"/>
    <col min="4867" max="4867" width="9.21875" style="130" customWidth="1"/>
    <col min="4868" max="4868" width="11.109375" style="130" customWidth="1"/>
    <col min="4869" max="4869" width="11" style="130" customWidth="1"/>
    <col min="4870" max="4870" width="10.109375" style="130" customWidth="1"/>
    <col min="4871" max="4871" width="13.5546875" style="130" customWidth="1"/>
    <col min="4872" max="4872" width="11.5546875" style="130" customWidth="1"/>
    <col min="4873" max="4873" width="10.88671875" style="130" customWidth="1"/>
    <col min="4874" max="4874" width="7.21875" style="130" customWidth="1"/>
    <col min="4875" max="5120" width="8.88671875" style="130"/>
    <col min="5121" max="5121" width="5.6640625" style="130" customWidth="1"/>
    <col min="5122" max="5122" width="10.6640625" style="130" customWidth="1"/>
    <col min="5123" max="5123" width="9.21875" style="130" customWidth="1"/>
    <col min="5124" max="5124" width="11.109375" style="130" customWidth="1"/>
    <col min="5125" max="5125" width="11" style="130" customWidth="1"/>
    <col min="5126" max="5126" width="10.109375" style="130" customWidth="1"/>
    <col min="5127" max="5127" width="13.5546875" style="130" customWidth="1"/>
    <col min="5128" max="5128" width="11.5546875" style="130" customWidth="1"/>
    <col min="5129" max="5129" width="10.88671875" style="130" customWidth="1"/>
    <col min="5130" max="5130" width="7.21875" style="130" customWidth="1"/>
    <col min="5131" max="5376" width="8.88671875" style="130"/>
    <col min="5377" max="5377" width="5.6640625" style="130" customWidth="1"/>
    <col min="5378" max="5378" width="10.6640625" style="130" customWidth="1"/>
    <col min="5379" max="5379" width="9.21875" style="130" customWidth="1"/>
    <col min="5380" max="5380" width="11.109375" style="130" customWidth="1"/>
    <col min="5381" max="5381" width="11" style="130" customWidth="1"/>
    <col min="5382" max="5382" width="10.109375" style="130" customWidth="1"/>
    <col min="5383" max="5383" width="13.5546875" style="130" customWidth="1"/>
    <col min="5384" max="5384" width="11.5546875" style="130" customWidth="1"/>
    <col min="5385" max="5385" width="10.88671875" style="130" customWidth="1"/>
    <col min="5386" max="5386" width="7.21875" style="130" customWidth="1"/>
    <col min="5387" max="5632" width="8.88671875" style="130"/>
    <col min="5633" max="5633" width="5.6640625" style="130" customWidth="1"/>
    <col min="5634" max="5634" width="10.6640625" style="130" customWidth="1"/>
    <col min="5635" max="5635" width="9.21875" style="130" customWidth="1"/>
    <col min="5636" max="5636" width="11.109375" style="130" customWidth="1"/>
    <col min="5637" max="5637" width="11" style="130" customWidth="1"/>
    <col min="5638" max="5638" width="10.109375" style="130" customWidth="1"/>
    <col min="5639" max="5639" width="13.5546875" style="130" customWidth="1"/>
    <col min="5640" max="5640" width="11.5546875" style="130" customWidth="1"/>
    <col min="5641" max="5641" width="10.88671875" style="130" customWidth="1"/>
    <col min="5642" max="5642" width="7.21875" style="130" customWidth="1"/>
    <col min="5643" max="5888" width="8.88671875" style="130"/>
    <col min="5889" max="5889" width="5.6640625" style="130" customWidth="1"/>
    <col min="5890" max="5890" width="10.6640625" style="130" customWidth="1"/>
    <col min="5891" max="5891" width="9.21875" style="130" customWidth="1"/>
    <col min="5892" max="5892" width="11.109375" style="130" customWidth="1"/>
    <col min="5893" max="5893" width="11" style="130" customWidth="1"/>
    <col min="5894" max="5894" width="10.109375" style="130" customWidth="1"/>
    <col min="5895" max="5895" width="13.5546875" style="130" customWidth="1"/>
    <col min="5896" max="5896" width="11.5546875" style="130" customWidth="1"/>
    <col min="5897" max="5897" width="10.88671875" style="130" customWidth="1"/>
    <col min="5898" max="5898" width="7.21875" style="130" customWidth="1"/>
    <col min="5899" max="6144" width="8.88671875" style="130"/>
    <col min="6145" max="6145" width="5.6640625" style="130" customWidth="1"/>
    <col min="6146" max="6146" width="10.6640625" style="130" customWidth="1"/>
    <col min="6147" max="6147" width="9.21875" style="130" customWidth="1"/>
    <col min="6148" max="6148" width="11.109375" style="130" customWidth="1"/>
    <col min="6149" max="6149" width="11" style="130" customWidth="1"/>
    <col min="6150" max="6150" width="10.109375" style="130" customWidth="1"/>
    <col min="6151" max="6151" width="13.5546875" style="130" customWidth="1"/>
    <col min="6152" max="6152" width="11.5546875" style="130" customWidth="1"/>
    <col min="6153" max="6153" width="10.88671875" style="130" customWidth="1"/>
    <col min="6154" max="6154" width="7.21875" style="130" customWidth="1"/>
    <col min="6155" max="6400" width="8.88671875" style="130"/>
    <col min="6401" max="6401" width="5.6640625" style="130" customWidth="1"/>
    <col min="6402" max="6402" width="10.6640625" style="130" customWidth="1"/>
    <col min="6403" max="6403" width="9.21875" style="130" customWidth="1"/>
    <col min="6404" max="6404" width="11.109375" style="130" customWidth="1"/>
    <col min="6405" max="6405" width="11" style="130" customWidth="1"/>
    <col min="6406" max="6406" width="10.109375" style="130" customWidth="1"/>
    <col min="6407" max="6407" width="13.5546875" style="130" customWidth="1"/>
    <col min="6408" max="6408" width="11.5546875" style="130" customWidth="1"/>
    <col min="6409" max="6409" width="10.88671875" style="130" customWidth="1"/>
    <col min="6410" max="6410" width="7.21875" style="130" customWidth="1"/>
    <col min="6411" max="6656" width="8.88671875" style="130"/>
    <col min="6657" max="6657" width="5.6640625" style="130" customWidth="1"/>
    <col min="6658" max="6658" width="10.6640625" style="130" customWidth="1"/>
    <col min="6659" max="6659" width="9.21875" style="130" customWidth="1"/>
    <col min="6660" max="6660" width="11.109375" style="130" customWidth="1"/>
    <col min="6661" max="6661" width="11" style="130" customWidth="1"/>
    <col min="6662" max="6662" width="10.109375" style="130" customWidth="1"/>
    <col min="6663" max="6663" width="13.5546875" style="130" customWidth="1"/>
    <col min="6664" max="6664" width="11.5546875" style="130" customWidth="1"/>
    <col min="6665" max="6665" width="10.88671875" style="130" customWidth="1"/>
    <col min="6666" max="6666" width="7.21875" style="130" customWidth="1"/>
    <col min="6667" max="6912" width="8.88671875" style="130"/>
    <col min="6913" max="6913" width="5.6640625" style="130" customWidth="1"/>
    <col min="6914" max="6914" width="10.6640625" style="130" customWidth="1"/>
    <col min="6915" max="6915" width="9.21875" style="130" customWidth="1"/>
    <col min="6916" max="6916" width="11.109375" style="130" customWidth="1"/>
    <col min="6917" max="6917" width="11" style="130" customWidth="1"/>
    <col min="6918" max="6918" width="10.109375" style="130" customWidth="1"/>
    <col min="6919" max="6919" width="13.5546875" style="130" customWidth="1"/>
    <col min="6920" max="6920" width="11.5546875" style="130" customWidth="1"/>
    <col min="6921" max="6921" width="10.88671875" style="130" customWidth="1"/>
    <col min="6922" max="6922" width="7.21875" style="130" customWidth="1"/>
    <col min="6923" max="7168" width="8.88671875" style="130"/>
    <col min="7169" max="7169" width="5.6640625" style="130" customWidth="1"/>
    <col min="7170" max="7170" width="10.6640625" style="130" customWidth="1"/>
    <col min="7171" max="7171" width="9.21875" style="130" customWidth="1"/>
    <col min="7172" max="7172" width="11.109375" style="130" customWidth="1"/>
    <col min="7173" max="7173" width="11" style="130" customWidth="1"/>
    <col min="7174" max="7174" width="10.109375" style="130" customWidth="1"/>
    <col min="7175" max="7175" width="13.5546875" style="130" customWidth="1"/>
    <col min="7176" max="7176" width="11.5546875" style="130" customWidth="1"/>
    <col min="7177" max="7177" width="10.88671875" style="130" customWidth="1"/>
    <col min="7178" max="7178" width="7.21875" style="130" customWidth="1"/>
    <col min="7179" max="7424" width="8.88671875" style="130"/>
    <col min="7425" max="7425" width="5.6640625" style="130" customWidth="1"/>
    <col min="7426" max="7426" width="10.6640625" style="130" customWidth="1"/>
    <col min="7427" max="7427" width="9.21875" style="130" customWidth="1"/>
    <col min="7428" max="7428" width="11.109375" style="130" customWidth="1"/>
    <col min="7429" max="7429" width="11" style="130" customWidth="1"/>
    <col min="7430" max="7430" width="10.109375" style="130" customWidth="1"/>
    <col min="7431" max="7431" width="13.5546875" style="130" customWidth="1"/>
    <col min="7432" max="7432" width="11.5546875" style="130" customWidth="1"/>
    <col min="7433" max="7433" width="10.88671875" style="130" customWidth="1"/>
    <col min="7434" max="7434" width="7.21875" style="130" customWidth="1"/>
    <col min="7435" max="7680" width="8.88671875" style="130"/>
    <col min="7681" max="7681" width="5.6640625" style="130" customWidth="1"/>
    <col min="7682" max="7682" width="10.6640625" style="130" customWidth="1"/>
    <col min="7683" max="7683" width="9.21875" style="130" customWidth="1"/>
    <col min="7684" max="7684" width="11.109375" style="130" customWidth="1"/>
    <col min="7685" max="7685" width="11" style="130" customWidth="1"/>
    <col min="7686" max="7686" width="10.109375" style="130" customWidth="1"/>
    <col min="7687" max="7687" width="13.5546875" style="130" customWidth="1"/>
    <col min="7688" max="7688" width="11.5546875" style="130" customWidth="1"/>
    <col min="7689" max="7689" width="10.88671875" style="130" customWidth="1"/>
    <col min="7690" max="7690" width="7.21875" style="130" customWidth="1"/>
    <col min="7691" max="7936" width="8.88671875" style="130"/>
    <col min="7937" max="7937" width="5.6640625" style="130" customWidth="1"/>
    <col min="7938" max="7938" width="10.6640625" style="130" customWidth="1"/>
    <col min="7939" max="7939" width="9.21875" style="130" customWidth="1"/>
    <col min="7940" max="7940" width="11.109375" style="130" customWidth="1"/>
    <col min="7941" max="7941" width="11" style="130" customWidth="1"/>
    <col min="7942" max="7942" width="10.109375" style="130" customWidth="1"/>
    <col min="7943" max="7943" width="13.5546875" style="130" customWidth="1"/>
    <col min="7944" max="7944" width="11.5546875" style="130" customWidth="1"/>
    <col min="7945" max="7945" width="10.88671875" style="130" customWidth="1"/>
    <col min="7946" max="7946" width="7.21875" style="130" customWidth="1"/>
    <col min="7947" max="8192" width="8.88671875" style="130"/>
    <col min="8193" max="8193" width="5.6640625" style="130" customWidth="1"/>
    <col min="8194" max="8194" width="10.6640625" style="130" customWidth="1"/>
    <col min="8195" max="8195" width="9.21875" style="130" customWidth="1"/>
    <col min="8196" max="8196" width="11.109375" style="130" customWidth="1"/>
    <col min="8197" max="8197" width="11" style="130" customWidth="1"/>
    <col min="8198" max="8198" width="10.109375" style="130" customWidth="1"/>
    <col min="8199" max="8199" width="13.5546875" style="130" customWidth="1"/>
    <col min="8200" max="8200" width="11.5546875" style="130" customWidth="1"/>
    <col min="8201" max="8201" width="10.88671875" style="130" customWidth="1"/>
    <col min="8202" max="8202" width="7.21875" style="130" customWidth="1"/>
    <col min="8203" max="8448" width="8.88671875" style="130"/>
    <col min="8449" max="8449" width="5.6640625" style="130" customWidth="1"/>
    <col min="8450" max="8450" width="10.6640625" style="130" customWidth="1"/>
    <col min="8451" max="8451" width="9.21875" style="130" customWidth="1"/>
    <col min="8452" max="8452" width="11.109375" style="130" customWidth="1"/>
    <col min="8453" max="8453" width="11" style="130" customWidth="1"/>
    <col min="8454" max="8454" width="10.109375" style="130" customWidth="1"/>
    <col min="8455" max="8455" width="13.5546875" style="130" customWidth="1"/>
    <col min="8456" max="8456" width="11.5546875" style="130" customWidth="1"/>
    <col min="8457" max="8457" width="10.88671875" style="130" customWidth="1"/>
    <col min="8458" max="8458" width="7.21875" style="130" customWidth="1"/>
    <col min="8459" max="8704" width="8.88671875" style="130"/>
    <col min="8705" max="8705" width="5.6640625" style="130" customWidth="1"/>
    <col min="8706" max="8706" width="10.6640625" style="130" customWidth="1"/>
    <col min="8707" max="8707" width="9.21875" style="130" customWidth="1"/>
    <col min="8708" max="8708" width="11.109375" style="130" customWidth="1"/>
    <col min="8709" max="8709" width="11" style="130" customWidth="1"/>
    <col min="8710" max="8710" width="10.109375" style="130" customWidth="1"/>
    <col min="8711" max="8711" width="13.5546875" style="130" customWidth="1"/>
    <col min="8712" max="8712" width="11.5546875" style="130" customWidth="1"/>
    <col min="8713" max="8713" width="10.88671875" style="130" customWidth="1"/>
    <col min="8714" max="8714" width="7.21875" style="130" customWidth="1"/>
    <col min="8715" max="8960" width="8.88671875" style="130"/>
    <col min="8961" max="8961" width="5.6640625" style="130" customWidth="1"/>
    <col min="8962" max="8962" width="10.6640625" style="130" customWidth="1"/>
    <col min="8963" max="8963" width="9.21875" style="130" customWidth="1"/>
    <col min="8964" max="8964" width="11.109375" style="130" customWidth="1"/>
    <col min="8965" max="8965" width="11" style="130" customWidth="1"/>
    <col min="8966" max="8966" width="10.109375" style="130" customWidth="1"/>
    <col min="8967" max="8967" width="13.5546875" style="130" customWidth="1"/>
    <col min="8968" max="8968" width="11.5546875" style="130" customWidth="1"/>
    <col min="8969" max="8969" width="10.88671875" style="130" customWidth="1"/>
    <col min="8970" max="8970" width="7.21875" style="130" customWidth="1"/>
    <col min="8971" max="9216" width="8.88671875" style="130"/>
    <col min="9217" max="9217" width="5.6640625" style="130" customWidth="1"/>
    <col min="9218" max="9218" width="10.6640625" style="130" customWidth="1"/>
    <col min="9219" max="9219" width="9.21875" style="130" customWidth="1"/>
    <col min="9220" max="9220" width="11.109375" style="130" customWidth="1"/>
    <col min="9221" max="9221" width="11" style="130" customWidth="1"/>
    <col min="9222" max="9222" width="10.109375" style="130" customWidth="1"/>
    <col min="9223" max="9223" width="13.5546875" style="130" customWidth="1"/>
    <col min="9224" max="9224" width="11.5546875" style="130" customWidth="1"/>
    <col min="9225" max="9225" width="10.88671875" style="130" customWidth="1"/>
    <col min="9226" max="9226" width="7.21875" style="130" customWidth="1"/>
    <col min="9227" max="9472" width="8.88671875" style="130"/>
    <col min="9473" max="9473" width="5.6640625" style="130" customWidth="1"/>
    <col min="9474" max="9474" width="10.6640625" style="130" customWidth="1"/>
    <col min="9475" max="9475" width="9.21875" style="130" customWidth="1"/>
    <col min="9476" max="9476" width="11.109375" style="130" customWidth="1"/>
    <col min="9477" max="9477" width="11" style="130" customWidth="1"/>
    <col min="9478" max="9478" width="10.109375" style="130" customWidth="1"/>
    <col min="9479" max="9479" width="13.5546875" style="130" customWidth="1"/>
    <col min="9480" max="9480" width="11.5546875" style="130" customWidth="1"/>
    <col min="9481" max="9481" width="10.88671875" style="130" customWidth="1"/>
    <col min="9482" max="9482" width="7.21875" style="130" customWidth="1"/>
    <col min="9483" max="9728" width="8.88671875" style="130"/>
    <col min="9729" max="9729" width="5.6640625" style="130" customWidth="1"/>
    <col min="9730" max="9730" width="10.6640625" style="130" customWidth="1"/>
    <col min="9731" max="9731" width="9.21875" style="130" customWidth="1"/>
    <col min="9732" max="9732" width="11.109375" style="130" customWidth="1"/>
    <col min="9733" max="9733" width="11" style="130" customWidth="1"/>
    <col min="9734" max="9734" width="10.109375" style="130" customWidth="1"/>
    <col min="9735" max="9735" width="13.5546875" style="130" customWidth="1"/>
    <col min="9736" max="9736" width="11.5546875" style="130" customWidth="1"/>
    <col min="9737" max="9737" width="10.88671875" style="130" customWidth="1"/>
    <col min="9738" max="9738" width="7.21875" style="130" customWidth="1"/>
    <col min="9739" max="9984" width="8.88671875" style="130"/>
    <col min="9985" max="9985" width="5.6640625" style="130" customWidth="1"/>
    <col min="9986" max="9986" width="10.6640625" style="130" customWidth="1"/>
    <col min="9987" max="9987" width="9.21875" style="130" customWidth="1"/>
    <col min="9988" max="9988" width="11.109375" style="130" customWidth="1"/>
    <col min="9989" max="9989" width="11" style="130" customWidth="1"/>
    <col min="9990" max="9990" width="10.109375" style="130" customWidth="1"/>
    <col min="9991" max="9991" width="13.5546875" style="130" customWidth="1"/>
    <col min="9992" max="9992" width="11.5546875" style="130" customWidth="1"/>
    <col min="9993" max="9993" width="10.88671875" style="130" customWidth="1"/>
    <col min="9994" max="9994" width="7.21875" style="130" customWidth="1"/>
    <col min="9995" max="10240" width="8.88671875" style="130"/>
    <col min="10241" max="10241" width="5.6640625" style="130" customWidth="1"/>
    <col min="10242" max="10242" width="10.6640625" style="130" customWidth="1"/>
    <col min="10243" max="10243" width="9.21875" style="130" customWidth="1"/>
    <col min="10244" max="10244" width="11.109375" style="130" customWidth="1"/>
    <col min="10245" max="10245" width="11" style="130" customWidth="1"/>
    <col min="10246" max="10246" width="10.109375" style="130" customWidth="1"/>
    <col min="10247" max="10247" width="13.5546875" style="130" customWidth="1"/>
    <col min="10248" max="10248" width="11.5546875" style="130" customWidth="1"/>
    <col min="10249" max="10249" width="10.88671875" style="130" customWidth="1"/>
    <col min="10250" max="10250" width="7.21875" style="130" customWidth="1"/>
    <col min="10251" max="10496" width="8.88671875" style="130"/>
    <col min="10497" max="10497" width="5.6640625" style="130" customWidth="1"/>
    <col min="10498" max="10498" width="10.6640625" style="130" customWidth="1"/>
    <col min="10499" max="10499" width="9.21875" style="130" customWidth="1"/>
    <col min="10500" max="10500" width="11.109375" style="130" customWidth="1"/>
    <col min="10501" max="10501" width="11" style="130" customWidth="1"/>
    <col min="10502" max="10502" width="10.109375" style="130" customWidth="1"/>
    <col min="10503" max="10503" width="13.5546875" style="130" customWidth="1"/>
    <col min="10504" max="10504" width="11.5546875" style="130" customWidth="1"/>
    <col min="10505" max="10505" width="10.88671875" style="130" customWidth="1"/>
    <col min="10506" max="10506" width="7.21875" style="130" customWidth="1"/>
    <col min="10507" max="10752" width="8.88671875" style="130"/>
    <col min="10753" max="10753" width="5.6640625" style="130" customWidth="1"/>
    <col min="10754" max="10754" width="10.6640625" style="130" customWidth="1"/>
    <col min="10755" max="10755" width="9.21875" style="130" customWidth="1"/>
    <col min="10756" max="10756" width="11.109375" style="130" customWidth="1"/>
    <col min="10757" max="10757" width="11" style="130" customWidth="1"/>
    <col min="10758" max="10758" width="10.109375" style="130" customWidth="1"/>
    <col min="10759" max="10759" width="13.5546875" style="130" customWidth="1"/>
    <col min="10760" max="10760" width="11.5546875" style="130" customWidth="1"/>
    <col min="10761" max="10761" width="10.88671875" style="130" customWidth="1"/>
    <col min="10762" max="10762" width="7.21875" style="130" customWidth="1"/>
    <col min="10763" max="11008" width="8.88671875" style="130"/>
    <col min="11009" max="11009" width="5.6640625" style="130" customWidth="1"/>
    <col min="11010" max="11010" width="10.6640625" style="130" customWidth="1"/>
    <col min="11011" max="11011" width="9.21875" style="130" customWidth="1"/>
    <col min="11012" max="11012" width="11.109375" style="130" customWidth="1"/>
    <col min="11013" max="11013" width="11" style="130" customWidth="1"/>
    <col min="11014" max="11014" width="10.109375" style="130" customWidth="1"/>
    <col min="11015" max="11015" width="13.5546875" style="130" customWidth="1"/>
    <col min="11016" max="11016" width="11.5546875" style="130" customWidth="1"/>
    <col min="11017" max="11017" width="10.88671875" style="130" customWidth="1"/>
    <col min="11018" max="11018" width="7.21875" style="130" customWidth="1"/>
    <col min="11019" max="11264" width="8.88671875" style="130"/>
    <col min="11265" max="11265" width="5.6640625" style="130" customWidth="1"/>
    <col min="11266" max="11266" width="10.6640625" style="130" customWidth="1"/>
    <col min="11267" max="11267" width="9.21875" style="130" customWidth="1"/>
    <col min="11268" max="11268" width="11.109375" style="130" customWidth="1"/>
    <col min="11269" max="11269" width="11" style="130" customWidth="1"/>
    <col min="11270" max="11270" width="10.109375" style="130" customWidth="1"/>
    <col min="11271" max="11271" width="13.5546875" style="130" customWidth="1"/>
    <col min="11272" max="11272" width="11.5546875" style="130" customWidth="1"/>
    <col min="11273" max="11273" width="10.88671875" style="130" customWidth="1"/>
    <col min="11274" max="11274" width="7.21875" style="130" customWidth="1"/>
    <col min="11275" max="11520" width="8.88671875" style="130"/>
    <col min="11521" max="11521" width="5.6640625" style="130" customWidth="1"/>
    <col min="11522" max="11522" width="10.6640625" style="130" customWidth="1"/>
    <col min="11523" max="11523" width="9.21875" style="130" customWidth="1"/>
    <col min="11524" max="11524" width="11.109375" style="130" customWidth="1"/>
    <col min="11525" max="11525" width="11" style="130" customWidth="1"/>
    <col min="11526" max="11526" width="10.109375" style="130" customWidth="1"/>
    <col min="11527" max="11527" width="13.5546875" style="130" customWidth="1"/>
    <col min="11528" max="11528" width="11.5546875" style="130" customWidth="1"/>
    <col min="11529" max="11529" width="10.88671875" style="130" customWidth="1"/>
    <col min="11530" max="11530" width="7.21875" style="130" customWidth="1"/>
    <col min="11531" max="11776" width="8.88671875" style="130"/>
    <col min="11777" max="11777" width="5.6640625" style="130" customWidth="1"/>
    <col min="11778" max="11778" width="10.6640625" style="130" customWidth="1"/>
    <col min="11779" max="11779" width="9.21875" style="130" customWidth="1"/>
    <col min="11780" max="11780" width="11.109375" style="130" customWidth="1"/>
    <col min="11781" max="11781" width="11" style="130" customWidth="1"/>
    <col min="11782" max="11782" width="10.109375" style="130" customWidth="1"/>
    <col min="11783" max="11783" width="13.5546875" style="130" customWidth="1"/>
    <col min="11784" max="11784" width="11.5546875" style="130" customWidth="1"/>
    <col min="11785" max="11785" width="10.88671875" style="130" customWidth="1"/>
    <col min="11786" max="11786" width="7.21875" style="130" customWidth="1"/>
    <col min="11787" max="12032" width="8.88671875" style="130"/>
    <col min="12033" max="12033" width="5.6640625" style="130" customWidth="1"/>
    <col min="12034" max="12034" width="10.6640625" style="130" customWidth="1"/>
    <col min="12035" max="12035" width="9.21875" style="130" customWidth="1"/>
    <col min="12036" max="12036" width="11.109375" style="130" customWidth="1"/>
    <col min="12037" max="12037" width="11" style="130" customWidth="1"/>
    <col min="12038" max="12038" width="10.109375" style="130" customWidth="1"/>
    <col min="12039" max="12039" width="13.5546875" style="130" customWidth="1"/>
    <col min="12040" max="12040" width="11.5546875" style="130" customWidth="1"/>
    <col min="12041" max="12041" width="10.88671875" style="130" customWidth="1"/>
    <col min="12042" max="12042" width="7.21875" style="130" customWidth="1"/>
    <col min="12043" max="12288" width="8.88671875" style="130"/>
    <col min="12289" max="12289" width="5.6640625" style="130" customWidth="1"/>
    <col min="12290" max="12290" width="10.6640625" style="130" customWidth="1"/>
    <col min="12291" max="12291" width="9.21875" style="130" customWidth="1"/>
    <col min="12292" max="12292" width="11.109375" style="130" customWidth="1"/>
    <col min="12293" max="12293" width="11" style="130" customWidth="1"/>
    <col min="12294" max="12294" width="10.109375" style="130" customWidth="1"/>
    <col min="12295" max="12295" width="13.5546875" style="130" customWidth="1"/>
    <col min="12296" max="12296" width="11.5546875" style="130" customWidth="1"/>
    <col min="12297" max="12297" width="10.88671875" style="130" customWidth="1"/>
    <col min="12298" max="12298" width="7.21875" style="130" customWidth="1"/>
    <col min="12299" max="12544" width="8.88671875" style="130"/>
    <col min="12545" max="12545" width="5.6640625" style="130" customWidth="1"/>
    <col min="12546" max="12546" width="10.6640625" style="130" customWidth="1"/>
    <col min="12547" max="12547" width="9.21875" style="130" customWidth="1"/>
    <col min="12548" max="12548" width="11.109375" style="130" customWidth="1"/>
    <col min="12549" max="12549" width="11" style="130" customWidth="1"/>
    <col min="12550" max="12550" width="10.109375" style="130" customWidth="1"/>
    <col min="12551" max="12551" width="13.5546875" style="130" customWidth="1"/>
    <col min="12552" max="12552" width="11.5546875" style="130" customWidth="1"/>
    <col min="12553" max="12553" width="10.88671875" style="130" customWidth="1"/>
    <col min="12554" max="12554" width="7.21875" style="130" customWidth="1"/>
    <col min="12555" max="12800" width="8.88671875" style="130"/>
    <col min="12801" max="12801" width="5.6640625" style="130" customWidth="1"/>
    <col min="12802" max="12802" width="10.6640625" style="130" customWidth="1"/>
    <col min="12803" max="12803" width="9.21875" style="130" customWidth="1"/>
    <col min="12804" max="12804" width="11.109375" style="130" customWidth="1"/>
    <col min="12805" max="12805" width="11" style="130" customWidth="1"/>
    <col min="12806" max="12806" width="10.109375" style="130" customWidth="1"/>
    <col min="12807" max="12807" width="13.5546875" style="130" customWidth="1"/>
    <col min="12808" max="12808" width="11.5546875" style="130" customWidth="1"/>
    <col min="12809" max="12809" width="10.88671875" style="130" customWidth="1"/>
    <col min="12810" max="12810" width="7.21875" style="130" customWidth="1"/>
    <col min="12811" max="13056" width="8.88671875" style="130"/>
    <col min="13057" max="13057" width="5.6640625" style="130" customWidth="1"/>
    <col min="13058" max="13058" width="10.6640625" style="130" customWidth="1"/>
    <col min="13059" max="13059" width="9.21875" style="130" customWidth="1"/>
    <col min="13060" max="13060" width="11.109375" style="130" customWidth="1"/>
    <col min="13061" max="13061" width="11" style="130" customWidth="1"/>
    <col min="13062" max="13062" width="10.109375" style="130" customWidth="1"/>
    <col min="13063" max="13063" width="13.5546875" style="130" customWidth="1"/>
    <col min="13064" max="13064" width="11.5546875" style="130" customWidth="1"/>
    <col min="13065" max="13065" width="10.88671875" style="130" customWidth="1"/>
    <col min="13066" max="13066" width="7.21875" style="130" customWidth="1"/>
    <col min="13067" max="13312" width="8.88671875" style="130"/>
    <col min="13313" max="13313" width="5.6640625" style="130" customWidth="1"/>
    <col min="13314" max="13314" width="10.6640625" style="130" customWidth="1"/>
    <col min="13315" max="13315" width="9.21875" style="130" customWidth="1"/>
    <col min="13316" max="13316" width="11.109375" style="130" customWidth="1"/>
    <col min="13317" max="13317" width="11" style="130" customWidth="1"/>
    <col min="13318" max="13318" width="10.109375" style="130" customWidth="1"/>
    <col min="13319" max="13319" width="13.5546875" style="130" customWidth="1"/>
    <col min="13320" max="13320" width="11.5546875" style="130" customWidth="1"/>
    <col min="13321" max="13321" width="10.88671875" style="130" customWidth="1"/>
    <col min="13322" max="13322" width="7.21875" style="130" customWidth="1"/>
    <col min="13323" max="13568" width="8.88671875" style="130"/>
    <col min="13569" max="13569" width="5.6640625" style="130" customWidth="1"/>
    <col min="13570" max="13570" width="10.6640625" style="130" customWidth="1"/>
    <col min="13571" max="13571" width="9.21875" style="130" customWidth="1"/>
    <col min="13572" max="13572" width="11.109375" style="130" customWidth="1"/>
    <col min="13573" max="13573" width="11" style="130" customWidth="1"/>
    <col min="13574" max="13574" width="10.109375" style="130" customWidth="1"/>
    <col min="13575" max="13575" width="13.5546875" style="130" customWidth="1"/>
    <col min="13576" max="13576" width="11.5546875" style="130" customWidth="1"/>
    <col min="13577" max="13577" width="10.88671875" style="130" customWidth="1"/>
    <col min="13578" max="13578" width="7.21875" style="130" customWidth="1"/>
    <col min="13579" max="13824" width="8.88671875" style="130"/>
    <col min="13825" max="13825" width="5.6640625" style="130" customWidth="1"/>
    <col min="13826" max="13826" width="10.6640625" style="130" customWidth="1"/>
    <col min="13827" max="13827" width="9.21875" style="130" customWidth="1"/>
    <col min="13828" max="13828" width="11.109375" style="130" customWidth="1"/>
    <col min="13829" max="13829" width="11" style="130" customWidth="1"/>
    <col min="13830" max="13830" width="10.109375" style="130" customWidth="1"/>
    <col min="13831" max="13831" width="13.5546875" style="130" customWidth="1"/>
    <col min="13832" max="13832" width="11.5546875" style="130" customWidth="1"/>
    <col min="13833" max="13833" width="10.88671875" style="130" customWidth="1"/>
    <col min="13834" max="13834" width="7.21875" style="130" customWidth="1"/>
    <col min="13835" max="14080" width="8.88671875" style="130"/>
    <col min="14081" max="14081" width="5.6640625" style="130" customWidth="1"/>
    <col min="14082" max="14082" width="10.6640625" style="130" customWidth="1"/>
    <col min="14083" max="14083" width="9.21875" style="130" customWidth="1"/>
    <col min="14084" max="14084" width="11.109375" style="130" customWidth="1"/>
    <col min="14085" max="14085" width="11" style="130" customWidth="1"/>
    <col min="14086" max="14086" width="10.109375" style="130" customWidth="1"/>
    <col min="14087" max="14087" width="13.5546875" style="130" customWidth="1"/>
    <col min="14088" max="14088" width="11.5546875" style="130" customWidth="1"/>
    <col min="14089" max="14089" width="10.88671875" style="130" customWidth="1"/>
    <col min="14090" max="14090" width="7.21875" style="130" customWidth="1"/>
    <col min="14091" max="14336" width="8.88671875" style="130"/>
    <col min="14337" max="14337" width="5.6640625" style="130" customWidth="1"/>
    <col min="14338" max="14338" width="10.6640625" style="130" customWidth="1"/>
    <col min="14339" max="14339" width="9.21875" style="130" customWidth="1"/>
    <col min="14340" max="14340" width="11.109375" style="130" customWidth="1"/>
    <col min="14341" max="14341" width="11" style="130" customWidth="1"/>
    <col min="14342" max="14342" width="10.109375" style="130" customWidth="1"/>
    <col min="14343" max="14343" width="13.5546875" style="130" customWidth="1"/>
    <col min="14344" max="14344" width="11.5546875" style="130" customWidth="1"/>
    <col min="14345" max="14345" width="10.88671875" style="130" customWidth="1"/>
    <col min="14346" max="14346" width="7.21875" style="130" customWidth="1"/>
    <col min="14347" max="14592" width="8.88671875" style="130"/>
    <col min="14593" max="14593" width="5.6640625" style="130" customWidth="1"/>
    <col min="14594" max="14594" width="10.6640625" style="130" customWidth="1"/>
    <col min="14595" max="14595" width="9.21875" style="130" customWidth="1"/>
    <col min="14596" max="14596" width="11.109375" style="130" customWidth="1"/>
    <col min="14597" max="14597" width="11" style="130" customWidth="1"/>
    <col min="14598" max="14598" width="10.109375" style="130" customWidth="1"/>
    <col min="14599" max="14599" width="13.5546875" style="130" customWidth="1"/>
    <col min="14600" max="14600" width="11.5546875" style="130" customWidth="1"/>
    <col min="14601" max="14601" width="10.88671875" style="130" customWidth="1"/>
    <col min="14602" max="14602" width="7.21875" style="130" customWidth="1"/>
    <col min="14603" max="14848" width="8.88671875" style="130"/>
    <col min="14849" max="14849" width="5.6640625" style="130" customWidth="1"/>
    <col min="14850" max="14850" width="10.6640625" style="130" customWidth="1"/>
    <col min="14851" max="14851" width="9.21875" style="130" customWidth="1"/>
    <col min="14852" max="14852" width="11.109375" style="130" customWidth="1"/>
    <col min="14853" max="14853" width="11" style="130" customWidth="1"/>
    <col min="14854" max="14854" width="10.109375" style="130" customWidth="1"/>
    <col min="14855" max="14855" width="13.5546875" style="130" customWidth="1"/>
    <col min="14856" max="14856" width="11.5546875" style="130" customWidth="1"/>
    <col min="14857" max="14857" width="10.88671875" style="130" customWidth="1"/>
    <col min="14858" max="14858" width="7.21875" style="130" customWidth="1"/>
    <col min="14859" max="15104" width="8.88671875" style="130"/>
    <col min="15105" max="15105" width="5.6640625" style="130" customWidth="1"/>
    <col min="15106" max="15106" width="10.6640625" style="130" customWidth="1"/>
    <col min="15107" max="15107" width="9.21875" style="130" customWidth="1"/>
    <col min="15108" max="15108" width="11.109375" style="130" customWidth="1"/>
    <col min="15109" max="15109" width="11" style="130" customWidth="1"/>
    <col min="15110" max="15110" width="10.109375" style="130" customWidth="1"/>
    <col min="15111" max="15111" width="13.5546875" style="130" customWidth="1"/>
    <col min="15112" max="15112" width="11.5546875" style="130" customWidth="1"/>
    <col min="15113" max="15113" width="10.88671875" style="130" customWidth="1"/>
    <col min="15114" max="15114" width="7.21875" style="130" customWidth="1"/>
    <col min="15115" max="15360" width="8.88671875" style="130"/>
    <col min="15361" max="15361" width="5.6640625" style="130" customWidth="1"/>
    <col min="15362" max="15362" width="10.6640625" style="130" customWidth="1"/>
    <col min="15363" max="15363" width="9.21875" style="130" customWidth="1"/>
    <col min="15364" max="15364" width="11.109375" style="130" customWidth="1"/>
    <col min="15365" max="15365" width="11" style="130" customWidth="1"/>
    <col min="15366" max="15366" width="10.109375" style="130" customWidth="1"/>
    <col min="15367" max="15367" width="13.5546875" style="130" customWidth="1"/>
    <col min="15368" max="15368" width="11.5546875" style="130" customWidth="1"/>
    <col min="15369" max="15369" width="10.88671875" style="130" customWidth="1"/>
    <col min="15370" max="15370" width="7.21875" style="130" customWidth="1"/>
    <col min="15371" max="15616" width="8.88671875" style="130"/>
    <col min="15617" max="15617" width="5.6640625" style="130" customWidth="1"/>
    <col min="15618" max="15618" width="10.6640625" style="130" customWidth="1"/>
    <col min="15619" max="15619" width="9.21875" style="130" customWidth="1"/>
    <col min="15620" max="15620" width="11.109375" style="130" customWidth="1"/>
    <col min="15621" max="15621" width="11" style="130" customWidth="1"/>
    <col min="15622" max="15622" width="10.109375" style="130" customWidth="1"/>
    <col min="15623" max="15623" width="13.5546875" style="130" customWidth="1"/>
    <col min="15624" max="15624" width="11.5546875" style="130" customWidth="1"/>
    <col min="15625" max="15625" width="10.88671875" style="130" customWidth="1"/>
    <col min="15626" max="15626" width="7.21875" style="130" customWidth="1"/>
    <col min="15627" max="15872" width="8.88671875" style="130"/>
    <col min="15873" max="15873" width="5.6640625" style="130" customWidth="1"/>
    <col min="15874" max="15874" width="10.6640625" style="130" customWidth="1"/>
    <col min="15875" max="15875" width="9.21875" style="130" customWidth="1"/>
    <col min="15876" max="15876" width="11.109375" style="130" customWidth="1"/>
    <col min="15877" max="15877" width="11" style="130" customWidth="1"/>
    <col min="15878" max="15878" width="10.109375" style="130" customWidth="1"/>
    <col min="15879" max="15879" width="13.5546875" style="130" customWidth="1"/>
    <col min="15880" max="15880" width="11.5546875" style="130" customWidth="1"/>
    <col min="15881" max="15881" width="10.88671875" style="130" customWidth="1"/>
    <col min="15882" max="15882" width="7.21875" style="130" customWidth="1"/>
    <col min="15883" max="16128" width="8.88671875" style="130"/>
    <col min="16129" max="16129" width="5.6640625" style="130" customWidth="1"/>
    <col min="16130" max="16130" width="10.6640625" style="130" customWidth="1"/>
    <col min="16131" max="16131" width="9.21875" style="130" customWidth="1"/>
    <col min="16132" max="16132" width="11.109375" style="130" customWidth="1"/>
    <col min="16133" max="16133" width="11" style="130" customWidth="1"/>
    <col min="16134" max="16134" width="10.109375" style="130" customWidth="1"/>
    <col min="16135" max="16135" width="13.5546875" style="130" customWidth="1"/>
    <col min="16136" max="16136" width="11.5546875" style="130" customWidth="1"/>
    <col min="16137" max="16137" width="10.88671875" style="130" customWidth="1"/>
    <col min="16138" max="16138" width="7.21875" style="130" customWidth="1"/>
    <col min="16139" max="16384" width="8.88671875" style="130"/>
  </cols>
  <sheetData>
    <row r="1" spans="1:10" x14ac:dyDescent="0.25">
      <c r="A1" s="101" t="s">
        <v>333</v>
      </c>
      <c r="B1" s="102"/>
      <c r="D1" s="103"/>
      <c r="E1" s="103"/>
      <c r="F1" s="104"/>
      <c r="G1" s="105"/>
      <c r="H1" s="105"/>
      <c r="I1" s="105"/>
    </row>
    <row r="2" spans="1:10" x14ac:dyDescent="0.25">
      <c r="A2" s="101" t="s">
        <v>835</v>
      </c>
      <c r="B2" s="102"/>
      <c r="D2" s="103"/>
      <c r="E2" s="103"/>
      <c r="F2" s="104"/>
      <c r="G2" s="105"/>
      <c r="H2" s="105"/>
      <c r="I2" s="105"/>
    </row>
    <row r="3" spans="1:10" x14ac:dyDescent="0.25">
      <c r="A3" s="102"/>
      <c r="B3" s="102"/>
      <c r="D3" s="103"/>
      <c r="E3" s="103"/>
      <c r="F3" s="104"/>
      <c r="G3" s="105"/>
      <c r="H3" s="105"/>
      <c r="I3" s="105"/>
    </row>
    <row r="4" spans="1:10" x14ac:dyDescent="0.25">
      <c r="A4" s="317" t="s">
        <v>829</v>
      </c>
      <c r="B4" s="317"/>
      <c r="C4" s="317"/>
      <c r="D4" s="317"/>
      <c r="E4" s="317"/>
      <c r="F4" s="317"/>
      <c r="G4" s="317"/>
      <c r="H4" s="317"/>
      <c r="I4" s="317"/>
      <c r="J4" s="317"/>
    </row>
    <row r="5" spans="1:10" ht="24" customHeight="1" x14ac:dyDescent="0.25">
      <c r="A5" s="318" t="s">
        <v>5906</v>
      </c>
      <c r="B5" s="318"/>
      <c r="C5" s="318"/>
      <c r="D5" s="318"/>
      <c r="E5" s="318"/>
      <c r="F5" s="318"/>
      <c r="G5" s="318"/>
      <c r="H5" s="318"/>
      <c r="I5" s="318"/>
      <c r="J5" s="318"/>
    </row>
    <row r="6" spans="1:10" ht="31.5" x14ac:dyDescent="0.25">
      <c r="A6" s="107" t="s">
        <v>34</v>
      </c>
      <c r="B6" s="107" t="s">
        <v>22</v>
      </c>
      <c r="C6" s="128" t="s">
        <v>27</v>
      </c>
      <c r="D6" s="108" t="s">
        <v>315</v>
      </c>
      <c r="E6" s="108" t="s">
        <v>316</v>
      </c>
      <c r="F6" s="107" t="s">
        <v>284</v>
      </c>
      <c r="G6" s="109" t="s">
        <v>317</v>
      </c>
      <c r="H6" s="109" t="s">
        <v>318</v>
      </c>
      <c r="I6" s="109" t="s">
        <v>317</v>
      </c>
      <c r="J6" s="108" t="s">
        <v>319</v>
      </c>
    </row>
    <row r="7" spans="1:10" ht="18.75" x14ac:dyDescent="0.3">
      <c r="A7" s="107">
        <v>1</v>
      </c>
      <c r="B7" s="193" t="s">
        <v>337</v>
      </c>
      <c r="C7" s="244">
        <v>19</v>
      </c>
      <c r="D7" s="194">
        <v>360010</v>
      </c>
      <c r="E7" s="111">
        <f>+D7/1000</f>
        <v>360.01</v>
      </c>
      <c r="F7" s="110">
        <v>178000</v>
      </c>
      <c r="G7" s="112">
        <f>+E7*F7</f>
        <v>64081780</v>
      </c>
      <c r="H7" s="110">
        <f>+G7*0.08</f>
        <v>5126542.4000000004</v>
      </c>
      <c r="I7" s="110">
        <f>+G7+H7</f>
        <v>69208322.400000006</v>
      </c>
      <c r="J7" s="108"/>
    </row>
    <row r="8" spans="1:10" ht="18.75" x14ac:dyDescent="0.3">
      <c r="A8" s="107">
        <v>2</v>
      </c>
      <c r="B8" s="193" t="s">
        <v>43</v>
      </c>
      <c r="C8" s="244">
        <v>21</v>
      </c>
      <c r="D8" s="194">
        <v>387230</v>
      </c>
      <c r="E8" s="111">
        <f t="shared" ref="E8:E23" si="0">+D8/1000</f>
        <v>387.23</v>
      </c>
      <c r="F8" s="110">
        <v>178000</v>
      </c>
      <c r="G8" s="112">
        <f t="shared" ref="G8:G23" si="1">+E8*F8</f>
        <v>68926940</v>
      </c>
      <c r="H8" s="110">
        <f t="shared" ref="H8:H17" si="2">+G8*0.08</f>
        <v>5514155.2000000002</v>
      </c>
      <c r="I8" s="110">
        <f t="shared" ref="I8:I23" si="3">+G8+H8</f>
        <v>74441095.200000003</v>
      </c>
      <c r="J8" s="108"/>
    </row>
    <row r="9" spans="1:10" ht="18.75" x14ac:dyDescent="0.3">
      <c r="A9" s="107">
        <v>3</v>
      </c>
      <c r="B9" s="193" t="s">
        <v>843</v>
      </c>
      <c r="C9" s="244">
        <v>19</v>
      </c>
      <c r="D9" s="194">
        <v>353770</v>
      </c>
      <c r="E9" s="111">
        <f t="shared" si="0"/>
        <v>353.77</v>
      </c>
      <c r="F9" s="110">
        <v>178000</v>
      </c>
      <c r="G9" s="112">
        <f t="shared" si="1"/>
        <v>62971060</v>
      </c>
      <c r="H9" s="110">
        <f t="shared" si="2"/>
        <v>5037684.8</v>
      </c>
      <c r="I9" s="110">
        <f t="shared" si="3"/>
        <v>68008744.799999997</v>
      </c>
      <c r="J9" s="108"/>
    </row>
    <row r="10" spans="1:10" ht="18.75" x14ac:dyDescent="0.3">
      <c r="A10" s="107">
        <v>4</v>
      </c>
      <c r="B10" s="193" t="s">
        <v>336</v>
      </c>
      <c r="C10" s="244">
        <v>18</v>
      </c>
      <c r="D10" s="194">
        <v>337360</v>
      </c>
      <c r="E10" s="111">
        <f t="shared" si="0"/>
        <v>337.36</v>
      </c>
      <c r="F10" s="110">
        <v>178000</v>
      </c>
      <c r="G10" s="112">
        <f t="shared" si="1"/>
        <v>60050080</v>
      </c>
      <c r="H10" s="110">
        <f t="shared" si="2"/>
        <v>4804006.4000000004</v>
      </c>
      <c r="I10" s="110">
        <f t="shared" si="3"/>
        <v>64854086.399999999</v>
      </c>
      <c r="J10" s="108"/>
    </row>
    <row r="11" spans="1:10" ht="18.75" x14ac:dyDescent="0.3">
      <c r="A11" s="107">
        <v>5</v>
      </c>
      <c r="B11" s="193" t="s">
        <v>335</v>
      </c>
      <c r="C11" s="244">
        <v>23</v>
      </c>
      <c r="D11" s="194">
        <v>432010</v>
      </c>
      <c r="E11" s="111">
        <f t="shared" si="0"/>
        <v>432.01</v>
      </c>
      <c r="F11" s="110">
        <v>178000</v>
      </c>
      <c r="G11" s="112">
        <f t="shared" si="1"/>
        <v>76897780</v>
      </c>
      <c r="H11" s="110">
        <f t="shared" si="2"/>
        <v>6151822.4000000004</v>
      </c>
      <c r="I11" s="110">
        <f t="shared" si="3"/>
        <v>83049602.400000006</v>
      </c>
      <c r="J11" s="108"/>
    </row>
    <row r="12" spans="1:10" ht="18.75" x14ac:dyDescent="0.3">
      <c r="A12" s="107">
        <v>6</v>
      </c>
      <c r="B12" s="193" t="s">
        <v>80</v>
      </c>
      <c r="C12" s="244">
        <v>15</v>
      </c>
      <c r="D12" s="194">
        <v>279980</v>
      </c>
      <c r="E12" s="111">
        <f t="shared" si="0"/>
        <v>279.98</v>
      </c>
      <c r="F12" s="110">
        <v>178000</v>
      </c>
      <c r="G12" s="112">
        <f t="shared" si="1"/>
        <v>49836440</v>
      </c>
      <c r="H12" s="110">
        <f t="shared" si="2"/>
        <v>3986915.2</v>
      </c>
      <c r="I12" s="110">
        <f t="shared" si="3"/>
        <v>53823355.200000003</v>
      </c>
      <c r="J12" s="108"/>
    </row>
    <row r="13" spans="1:10" ht="18.75" x14ac:dyDescent="0.3">
      <c r="A13" s="107">
        <v>7</v>
      </c>
      <c r="B13" s="193" t="s">
        <v>90</v>
      </c>
      <c r="C13" s="244">
        <v>12</v>
      </c>
      <c r="D13" s="194">
        <v>224990</v>
      </c>
      <c r="E13" s="111">
        <f t="shared" si="0"/>
        <v>224.99</v>
      </c>
      <c r="F13" s="110">
        <v>178000</v>
      </c>
      <c r="G13" s="112">
        <f t="shared" si="1"/>
        <v>40048220</v>
      </c>
      <c r="H13" s="110">
        <f t="shared" ref="H13" si="4">+G13*0.08</f>
        <v>3203857.6</v>
      </c>
      <c r="I13" s="110">
        <f t="shared" ref="I13" si="5">+G13+H13</f>
        <v>43252077.600000001</v>
      </c>
      <c r="J13" s="108"/>
    </row>
    <row r="14" spans="1:10" ht="18.75" x14ac:dyDescent="0.3">
      <c r="A14" s="107">
        <v>8</v>
      </c>
      <c r="B14" s="193" t="s">
        <v>85</v>
      </c>
      <c r="C14" s="244">
        <v>16</v>
      </c>
      <c r="D14" s="194">
        <v>303200</v>
      </c>
      <c r="E14" s="111">
        <f t="shared" si="0"/>
        <v>303.2</v>
      </c>
      <c r="F14" s="110">
        <v>178000</v>
      </c>
      <c r="G14" s="112">
        <f t="shared" si="1"/>
        <v>53969600</v>
      </c>
      <c r="H14" s="110">
        <f t="shared" si="2"/>
        <v>4317568</v>
      </c>
      <c r="I14" s="110">
        <f t="shared" si="3"/>
        <v>58287168</v>
      </c>
      <c r="J14" s="108"/>
    </row>
    <row r="15" spans="1:10" ht="18.75" x14ac:dyDescent="0.3">
      <c r="A15" s="107">
        <v>9</v>
      </c>
      <c r="B15" s="193" t="s">
        <v>64</v>
      </c>
      <c r="C15" s="244">
        <v>19</v>
      </c>
      <c r="D15" s="194">
        <v>356520</v>
      </c>
      <c r="E15" s="111">
        <f t="shared" si="0"/>
        <v>356.52</v>
      </c>
      <c r="F15" s="110">
        <v>178000</v>
      </c>
      <c r="G15" s="112">
        <f t="shared" si="1"/>
        <v>63460560</v>
      </c>
      <c r="H15" s="110">
        <f>+G15*0.08</f>
        <v>5076844.8</v>
      </c>
      <c r="I15" s="110">
        <f>+G15+H15</f>
        <v>68537404.799999997</v>
      </c>
      <c r="J15" s="108"/>
    </row>
    <row r="16" spans="1:10" ht="18.75" x14ac:dyDescent="0.3">
      <c r="A16" s="107">
        <v>10</v>
      </c>
      <c r="B16" s="193" t="s">
        <v>55</v>
      </c>
      <c r="C16" s="244">
        <v>20</v>
      </c>
      <c r="D16" s="194">
        <v>378280</v>
      </c>
      <c r="E16" s="111">
        <f t="shared" si="0"/>
        <v>378.28</v>
      </c>
      <c r="F16" s="110">
        <v>178000</v>
      </c>
      <c r="G16" s="112">
        <f t="shared" si="1"/>
        <v>67333840</v>
      </c>
      <c r="H16" s="110">
        <f t="shared" si="2"/>
        <v>5386707.2000000002</v>
      </c>
      <c r="I16" s="110">
        <f t="shared" si="3"/>
        <v>72720547.200000003</v>
      </c>
      <c r="J16" s="108"/>
    </row>
    <row r="17" spans="1:256" ht="18.75" x14ac:dyDescent="0.3">
      <c r="A17" s="107">
        <v>11</v>
      </c>
      <c r="B17" s="193" t="s">
        <v>143</v>
      </c>
      <c r="C17" s="244">
        <v>25</v>
      </c>
      <c r="D17" s="195">
        <v>466470</v>
      </c>
      <c r="E17" s="111">
        <f t="shared" si="0"/>
        <v>466.47</v>
      </c>
      <c r="F17" s="110">
        <v>178000</v>
      </c>
      <c r="G17" s="112">
        <f t="shared" si="1"/>
        <v>83031660</v>
      </c>
      <c r="H17" s="110">
        <f t="shared" si="2"/>
        <v>6642532.7999999998</v>
      </c>
      <c r="I17" s="110">
        <f t="shared" si="3"/>
        <v>89674192.799999997</v>
      </c>
      <c r="J17" s="191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2"/>
      <c r="AO17" s="192"/>
      <c r="AP17" s="192"/>
      <c r="AQ17" s="192"/>
      <c r="AR17" s="192"/>
      <c r="AS17" s="192"/>
      <c r="AT17" s="192"/>
      <c r="AU17" s="192"/>
      <c r="AV17" s="192"/>
      <c r="AW17" s="192"/>
      <c r="AX17" s="192"/>
      <c r="AY17" s="192"/>
      <c r="AZ17" s="192"/>
      <c r="BA17" s="192"/>
      <c r="BB17" s="192"/>
      <c r="BC17" s="192"/>
      <c r="BD17" s="192"/>
      <c r="BE17" s="192"/>
      <c r="BF17" s="192"/>
      <c r="BG17" s="192"/>
      <c r="BH17" s="192"/>
      <c r="BI17" s="192"/>
      <c r="BJ17" s="192"/>
      <c r="BK17" s="192"/>
      <c r="BL17" s="192"/>
      <c r="BM17" s="192"/>
      <c r="BN17" s="192"/>
      <c r="BO17" s="192"/>
      <c r="BP17" s="192"/>
      <c r="BQ17" s="192"/>
      <c r="BR17" s="192"/>
      <c r="BS17" s="192"/>
      <c r="BT17" s="192"/>
      <c r="BU17" s="192"/>
      <c r="BV17" s="192"/>
      <c r="BW17" s="192"/>
      <c r="BX17" s="192"/>
      <c r="BY17" s="192"/>
      <c r="BZ17" s="192"/>
      <c r="CA17" s="192"/>
      <c r="CB17" s="192"/>
      <c r="CC17" s="192"/>
      <c r="CD17" s="192"/>
      <c r="CE17" s="192"/>
      <c r="CF17" s="192"/>
      <c r="CG17" s="192"/>
      <c r="CH17" s="192"/>
      <c r="CI17" s="192"/>
      <c r="CJ17" s="192"/>
      <c r="CK17" s="192"/>
      <c r="CL17" s="192"/>
      <c r="CM17" s="192"/>
      <c r="CN17" s="192"/>
      <c r="CO17" s="192"/>
      <c r="CP17" s="192"/>
      <c r="CQ17" s="192"/>
      <c r="CR17" s="192"/>
      <c r="CS17" s="192"/>
      <c r="CT17" s="192"/>
      <c r="CU17" s="192"/>
      <c r="CV17" s="192"/>
      <c r="CW17" s="192"/>
      <c r="CX17" s="192"/>
      <c r="CY17" s="192"/>
      <c r="CZ17" s="192"/>
      <c r="DA17" s="192"/>
      <c r="DB17" s="192"/>
      <c r="DC17" s="192"/>
      <c r="DD17" s="192"/>
      <c r="DE17" s="192"/>
      <c r="DF17" s="192"/>
      <c r="DG17" s="192"/>
      <c r="DH17" s="192"/>
      <c r="DI17" s="192"/>
      <c r="DJ17" s="192"/>
      <c r="DK17" s="192"/>
      <c r="DL17" s="192"/>
      <c r="DM17" s="192"/>
      <c r="DN17" s="192"/>
      <c r="DO17" s="192"/>
      <c r="DP17" s="192"/>
      <c r="DQ17" s="192"/>
      <c r="DR17" s="192"/>
      <c r="DS17" s="192"/>
      <c r="DT17" s="192"/>
      <c r="DU17" s="192"/>
      <c r="DV17" s="192"/>
      <c r="DW17" s="192"/>
      <c r="DX17" s="192"/>
      <c r="DY17" s="192"/>
      <c r="DZ17" s="192"/>
      <c r="EA17" s="192"/>
      <c r="EB17" s="192"/>
      <c r="EC17" s="192"/>
      <c r="ED17" s="192"/>
      <c r="EE17" s="192"/>
      <c r="EF17" s="192"/>
      <c r="EG17" s="192"/>
      <c r="EH17" s="192"/>
      <c r="EI17" s="192"/>
      <c r="EJ17" s="192"/>
      <c r="EK17" s="192"/>
      <c r="EL17" s="192"/>
      <c r="EM17" s="192"/>
      <c r="EN17" s="192"/>
      <c r="EO17" s="192"/>
      <c r="EP17" s="192"/>
      <c r="EQ17" s="192"/>
      <c r="ER17" s="192"/>
      <c r="ES17" s="192"/>
      <c r="ET17" s="192"/>
      <c r="EU17" s="192"/>
      <c r="EV17" s="192"/>
      <c r="EW17" s="192"/>
      <c r="EX17" s="192"/>
      <c r="EY17" s="192"/>
      <c r="EZ17" s="192"/>
      <c r="FA17" s="192"/>
      <c r="FB17" s="192"/>
      <c r="FC17" s="192"/>
      <c r="FD17" s="192"/>
      <c r="FE17" s="192"/>
      <c r="FF17" s="192"/>
      <c r="FG17" s="192"/>
      <c r="FH17" s="192"/>
      <c r="FI17" s="192"/>
      <c r="FJ17" s="192"/>
      <c r="FK17" s="192"/>
      <c r="FL17" s="192"/>
      <c r="FM17" s="192"/>
      <c r="FN17" s="192"/>
      <c r="FO17" s="192"/>
      <c r="FP17" s="192"/>
      <c r="FQ17" s="192"/>
      <c r="FR17" s="192"/>
      <c r="FS17" s="192"/>
      <c r="FT17" s="192"/>
      <c r="FU17" s="192"/>
      <c r="FV17" s="192"/>
      <c r="FW17" s="192"/>
      <c r="FX17" s="192"/>
      <c r="FY17" s="192"/>
      <c r="FZ17" s="192"/>
      <c r="GA17" s="192"/>
      <c r="GB17" s="192"/>
      <c r="GC17" s="192"/>
      <c r="GD17" s="192"/>
      <c r="GE17" s="192"/>
      <c r="GF17" s="192"/>
      <c r="GG17" s="192"/>
      <c r="GH17" s="192"/>
      <c r="GI17" s="192"/>
      <c r="GJ17" s="192"/>
      <c r="GK17" s="192"/>
      <c r="GL17" s="192"/>
      <c r="GM17" s="192"/>
      <c r="GN17" s="192"/>
      <c r="GO17" s="192"/>
      <c r="GP17" s="192"/>
      <c r="GQ17" s="192"/>
      <c r="GR17" s="192"/>
      <c r="GS17" s="192"/>
      <c r="GT17" s="192"/>
      <c r="GU17" s="192"/>
      <c r="GV17" s="192"/>
      <c r="GW17" s="192"/>
      <c r="GX17" s="192"/>
      <c r="GY17" s="192"/>
      <c r="GZ17" s="192"/>
      <c r="HA17" s="192"/>
      <c r="HB17" s="192"/>
      <c r="HC17" s="192"/>
      <c r="HD17" s="192"/>
      <c r="HE17" s="192"/>
      <c r="HF17" s="192"/>
      <c r="HG17" s="192"/>
      <c r="HH17" s="192"/>
      <c r="HI17" s="192"/>
      <c r="HJ17" s="192"/>
      <c r="HK17" s="192"/>
      <c r="HL17" s="192"/>
      <c r="HM17" s="192"/>
      <c r="HN17" s="192"/>
      <c r="HO17" s="192"/>
      <c r="HP17" s="192"/>
      <c r="HQ17" s="192"/>
      <c r="HR17" s="192"/>
      <c r="HS17" s="192"/>
      <c r="HT17" s="192"/>
      <c r="HU17" s="192"/>
      <c r="HV17" s="192"/>
      <c r="HW17" s="192"/>
      <c r="HX17" s="192"/>
      <c r="HY17" s="192"/>
      <c r="HZ17" s="192"/>
      <c r="IA17" s="192"/>
      <c r="IB17" s="192"/>
      <c r="IC17" s="192"/>
      <c r="ID17" s="192"/>
      <c r="IE17" s="192"/>
      <c r="IF17" s="192"/>
      <c r="IG17" s="192"/>
      <c r="IH17" s="192"/>
      <c r="II17" s="192"/>
      <c r="IJ17" s="192"/>
      <c r="IK17" s="192"/>
      <c r="IL17" s="192"/>
      <c r="IM17" s="192"/>
      <c r="IN17" s="192"/>
      <c r="IO17" s="192"/>
      <c r="IP17" s="192"/>
      <c r="IQ17" s="192"/>
      <c r="IR17" s="192"/>
      <c r="IS17" s="192"/>
      <c r="IT17" s="192"/>
      <c r="IU17" s="192"/>
    </row>
    <row r="18" spans="1:256" ht="18.75" x14ac:dyDescent="0.3">
      <c r="A18" s="107">
        <v>12</v>
      </c>
      <c r="B18" s="193" t="s">
        <v>840</v>
      </c>
      <c r="C18" s="244">
        <v>21</v>
      </c>
      <c r="D18" s="194">
        <v>396960</v>
      </c>
      <c r="E18" s="111">
        <f t="shared" si="0"/>
        <v>396.96</v>
      </c>
      <c r="F18" s="110">
        <v>178000</v>
      </c>
      <c r="G18" s="112">
        <f t="shared" si="1"/>
        <v>70658880</v>
      </c>
      <c r="H18" s="110">
        <f>+G18*0.08</f>
        <v>5652710.4000000004</v>
      </c>
      <c r="I18" s="110">
        <f>+G18+H18</f>
        <v>76311590.400000006</v>
      </c>
      <c r="J18" s="113"/>
    </row>
    <row r="19" spans="1:256" ht="18.75" x14ac:dyDescent="0.3">
      <c r="A19" s="107">
        <v>13</v>
      </c>
      <c r="B19" s="193" t="s">
        <v>537</v>
      </c>
      <c r="C19" s="244">
        <v>19</v>
      </c>
      <c r="D19" s="194">
        <v>362840</v>
      </c>
      <c r="E19" s="111">
        <f t="shared" si="0"/>
        <v>362.84</v>
      </c>
      <c r="F19" s="110">
        <v>178000</v>
      </c>
      <c r="G19" s="112">
        <f t="shared" si="1"/>
        <v>64585519.999999993</v>
      </c>
      <c r="H19" s="110">
        <f>+G19*0.08</f>
        <v>5166841.5999999996</v>
      </c>
      <c r="I19" s="110">
        <f t="shared" si="3"/>
        <v>69752361.599999994</v>
      </c>
      <c r="J19" s="108"/>
    </row>
    <row r="20" spans="1:256" ht="18.75" x14ac:dyDescent="0.3">
      <c r="A20" s="107">
        <v>14</v>
      </c>
      <c r="B20" s="193" t="s">
        <v>71</v>
      </c>
      <c r="C20" s="244">
        <v>21</v>
      </c>
      <c r="D20" s="194">
        <v>397310</v>
      </c>
      <c r="E20" s="111">
        <f t="shared" si="0"/>
        <v>397.31</v>
      </c>
      <c r="F20" s="110">
        <v>178000</v>
      </c>
      <c r="G20" s="112">
        <f t="shared" si="1"/>
        <v>70721180</v>
      </c>
      <c r="H20" s="110">
        <f t="shared" ref="H20:H23" si="6">+G20*0.08</f>
        <v>5657694.4000000004</v>
      </c>
      <c r="I20" s="110">
        <f t="shared" si="3"/>
        <v>76378874.400000006</v>
      </c>
      <c r="J20" s="108"/>
    </row>
    <row r="21" spans="1:256" ht="18.75" x14ac:dyDescent="0.3">
      <c r="A21" s="107">
        <v>15</v>
      </c>
      <c r="B21" s="193" t="s">
        <v>76</v>
      </c>
      <c r="C21" s="244">
        <v>15</v>
      </c>
      <c r="D21" s="194">
        <v>287440</v>
      </c>
      <c r="E21" s="111">
        <f t="shared" si="0"/>
        <v>287.44</v>
      </c>
      <c r="F21" s="110">
        <v>178000</v>
      </c>
      <c r="G21" s="112">
        <f t="shared" si="1"/>
        <v>51164320</v>
      </c>
      <c r="H21" s="110">
        <f t="shared" si="6"/>
        <v>4093145.6</v>
      </c>
      <c r="I21" s="110">
        <f t="shared" si="3"/>
        <v>55257465.600000001</v>
      </c>
      <c r="J21" s="108"/>
    </row>
    <row r="22" spans="1:256" ht="18.75" x14ac:dyDescent="0.3">
      <c r="A22" s="107">
        <v>16</v>
      </c>
      <c r="B22" s="193" t="s">
        <v>842</v>
      </c>
      <c r="C22" s="244">
        <v>19</v>
      </c>
      <c r="D22" s="194">
        <v>364120</v>
      </c>
      <c r="E22" s="111">
        <f t="shared" si="0"/>
        <v>364.12</v>
      </c>
      <c r="F22" s="110">
        <v>178000</v>
      </c>
      <c r="G22" s="112">
        <f t="shared" si="1"/>
        <v>64813360</v>
      </c>
      <c r="H22" s="110">
        <f t="shared" si="6"/>
        <v>5185068.8</v>
      </c>
      <c r="I22" s="110">
        <f t="shared" si="3"/>
        <v>69998428.799999997</v>
      </c>
      <c r="J22" s="108"/>
    </row>
    <row r="23" spans="1:256" ht="18.75" x14ac:dyDescent="0.3">
      <c r="A23" s="107">
        <v>17</v>
      </c>
      <c r="B23" s="193" t="s">
        <v>540</v>
      </c>
      <c r="C23" s="244">
        <v>24</v>
      </c>
      <c r="D23" s="194">
        <v>455190</v>
      </c>
      <c r="E23" s="111">
        <f t="shared" si="0"/>
        <v>455.19</v>
      </c>
      <c r="F23" s="110">
        <v>178000</v>
      </c>
      <c r="G23" s="112">
        <f t="shared" si="1"/>
        <v>81023820</v>
      </c>
      <c r="H23" s="110">
        <f t="shared" si="6"/>
        <v>6481905.6000000006</v>
      </c>
      <c r="I23" s="110">
        <f t="shared" si="3"/>
        <v>87505725.599999994</v>
      </c>
      <c r="J23" s="108"/>
    </row>
    <row r="24" spans="1:256" x14ac:dyDescent="0.25">
      <c r="A24" s="319" t="s">
        <v>320</v>
      </c>
      <c r="B24" s="319"/>
      <c r="C24" s="184">
        <f>SUM(C7:C23)</f>
        <v>326</v>
      </c>
      <c r="D24" s="114">
        <f>SUM(D7:D23)</f>
        <v>6143680</v>
      </c>
      <c r="E24" s="115">
        <f>SUM(E7:E23)</f>
        <v>6143.6799999999994</v>
      </c>
      <c r="F24" s="110"/>
      <c r="G24" s="109">
        <f>SUM(G7:G23)</f>
        <v>1093575040</v>
      </c>
      <c r="H24" s="109">
        <f>SUM(H7:H23)</f>
        <v>87486003.199999988</v>
      </c>
      <c r="I24" s="109">
        <f>SUM(I7:I23)</f>
        <v>1181061043.2</v>
      </c>
      <c r="J24" s="116"/>
      <c r="K24" s="117">
        <f>G24+H24</f>
        <v>1181061043.2</v>
      </c>
      <c r="L24" s="246"/>
      <c r="M24" s="247"/>
      <c r="N24" s="247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18"/>
      <c r="BF24" s="118"/>
      <c r="BG24" s="118"/>
      <c r="BH24" s="118"/>
      <c r="BI24" s="118"/>
      <c r="BJ24" s="118"/>
      <c r="BK24" s="118"/>
      <c r="BL24" s="118"/>
      <c r="BM24" s="118"/>
      <c r="BN24" s="118"/>
      <c r="BO24" s="118"/>
      <c r="BP24" s="118"/>
      <c r="BQ24" s="118"/>
      <c r="BR24" s="118"/>
      <c r="BS24" s="118"/>
      <c r="BT24" s="118"/>
      <c r="BU24" s="118"/>
      <c r="BV24" s="118"/>
      <c r="BW24" s="118"/>
      <c r="BX24" s="118"/>
      <c r="BY24" s="118"/>
      <c r="BZ24" s="118"/>
      <c r="CA24" s="118"/>
      <c r="CB24" s="118"/>
      <c r="CC24" s="118"/>
      <c r="CD24" s="118"/>
      <c r="CE24" s="118"/>
      <c r="CF24" s="118"/>
      <c r="CG24" s="118"/>
      <c r="CH24" s="118"/>
      <c r="CI24" s="118"/>
      <c r="CJ24" s="118"/>
      <c r="CK24" s="118"/>
      <c r="CL24" s="118"/>
      <c r="CM24" s="118"/>
      <c r="CN24" s="118"/>
      <c r="CO24" s="118"/>
      <c r="CP24" s="118"/>
      <c r="CQ24" s="118"/>
      <c r="CR24" s="118"/>
      <c r="CS24" s="118"/>
      <c r="CT24" s="118"/>
      <c r="CU24" s="118"/>
      <c r="CV24" s="118"/>
      <c r="CW24" s="118"/>
      <c r="CX24" s="118"/>
      <c r="CY24" s="118"/>
      <c r="CZ24" s="118"/>
      <c r="DA24" s="118"/>
      <c r="DB24" s="118"/>
      <c r="DC24" s="118"/>
      <c r="DD24" s="118"/>
      <c r="DE24" s="118"/>
      <c r="DF24" s="118"/>
      <c r="DG24" s="118"/>
      <c r="DH24" s="118"/>
      <c r="DI24" s="118"/>
      <c r="DJ24" s="118"/>
      <c r="DK24" s="118"/>
      <c r="DL24" s="118"/>
      <c r="DM24" s="118"/>
      <c r="DN24" s="118"/>
      <c r="DO24" s="118"/>
      <c r="DP24" s="118"/>
      <c r="DQ24" s="118"/>
      <c r="DR24" s="118"/>
      <c r="DS24" s="118"/>
      <c r="DT24" s="118"/>
      <c r="DU24" s="118"/>
      <c r="DV24" s="118"/>
      <c r="DW24" s="118"/>
      <c r="DX24" s="118"/>
      <c r="DY24" s="118"/>
      <c r="DZ24" s="118"/>
      <c r="EA24" s="118"/>
      <c r="EB24" s="118"/>
      <c r="EC24" s="118"/>
      <c r="ED24" s="118"/>
      <c r="EE24" s="118"/>
      <c r="EF24" s="118"/>
      <c r="EG24" s="118"/>
      <c r="EH24" s="118"/>
      <c r="EI24" s="118"/>
      <c r="EJ24" s="118"/>
      <c r="EK24" s="118"/>
      <c r="EL24" s="118"/>
      <c r="EM24" s="118"/>
      <c r="EN24" s="118"/>
      <c r="EO24" s="118"/>
      <c r="EP24" s="118"/>
      <c r="EQ24" s="118"/>
      <c r="ER24" s="118"/>
      <c r="ES24" s="118"/>
      <c r="ET24" s="118"/>
      <c r="EU24" s="118"/>
      <c r="EV24" s="118"/>
      <c r="EW24" s="118"/>
      <c r="EX24" s="118"/>
      <c r="EY24" s="118"/>
      <c r="EZ24" s="118"/>
      <c r="FA24" s="118"/>
      <c r="FB24" s="118"/>
      <c r="FC24" s="118"/>
      <c r="FD24" s="118"/>
      <c r="FE24" s="118"/>
      <c r="FF24" s="118"/>
      <c r="FG24" s="118"/>
      <c r="FH24" s="118"/>
      <c r="FI24" s="118"/>
      <c r="FJ24" s="118"/>
      <c r="FK24" s="118"/>
      <c r="FL24" s="118"/>
      <c r="FM24" s="118"/>
      <c r="FN24" s="118"/>
      <c r="FO24" s="118"/>
      <c r="FP24" s="118"/>
      <c r="FQ24" s="118"/>
      <c r="FR24" s="118"/>
      <c r="FS24" s="118"/>
      <c r="FT24" s="118"/>
      <c r="FU24" s="118"/>
      <c r="FV24" s="118"/>
      <c r="FW24" s="118"/>
      <c r="FX24" s="118"/>
      <c r="FY24" s="118"/>
      <c r="FZ24" s="118"/>
      <c r="GA24" s="118"/>
      <c r="GB24" s="118"/>
      <c r="GC24" s="118"/>
      <c r="GD24" s="118"/>
      <c r="GE24" s="118"/>
      <c r="GF24" s="118"/>
      <c r="GG24" s="118"/>
      <c r="GH24" s="118"/>
      <c r="GI24" s="118"/>
      <c r="GJ24" s="118"/>
      <c r="GK24" s="118"/>
      <c r="GL24" s="118"/>
      <c r="GM24" s="118"/>
      <c r="GN24" s="118"/>
      <c r="GO24" s="118"/>
      <c r="GP24" s="118"/>
      <c r="GQ24" s="118"/>
      <c r="GR24" s="118"/>
      <c r="GS24" s="118"/>
      <c r="GT24" s="118"/>
      <c r="GU24" s="118"/>
      <c r="GV24" s="118"/>
      <c r="GW24" s="118"/>
      <c r="GX24" s="118"/>
      <c r="GY24" s="118"/>
      <c r="GZ24" s="118"/>
      <c r="HA24" s="118"/>
      <c r="HB24" s="118"/>
      <c r="HC24" s="118"/>
      <c r="HD24" s="118"/>
      <c r="HE24" s="118"/>
      <c r="HF24" s="118"/>
      <c r="HG24" s="118"/>
      <c r="HH24" s="118"/>
      <c r="HI24" s="118"/>
      <c r="HJ24" s="118"/>
      <c r="HK24" s="118"/>
      <c r="HL24" s="118"/>
      <c r="HM24" s="118"/>
      <c r="HN24" s="118"/>
      <c r="HO24" s="118"/>
      <c r="HP24" s="118"/>
      <c r="HQ24" s="118"/>
      <c r="HR24" s="118"/>
      <c r="HS24" s="118"/>
      <c r="HT24" s="118"/>
      <c r="HU24" s="118"/>
      <c r="HV24" s="118"/>
      <c r="HW24" s="118"/>
      <c r="HX24" s="118"/>
      <c r="HY24" s="118"/>
      <c r="HZ24" s="118"/>
      <c r="IA24" s="118"/>
      <c r="IB24" s="118"/>
      <c r="IC24" s="118"/>
      <c r="ID24" s="118"/>
      <c r="IE24" s="118"/>
      <c r="IF24" s="118"/>
      <c r="IG24" s="118"/>
      <c r="IH24" s="118"/>
      <c r="II24" s="118"/>
      <c r="IJ24" s="118"/>
      <c r="IK24" s="118"/>
      <c r="IL24" s="118"/>
      <c r="IM24" s="118"/>
      <c r="IN24" s="118"/>
      <c r="IO24" s="118"/>
      <c r="IP24" s="118"/>
      <c r="IQ24" s="118"/>
      <c r="IR24" s="118"/>
      <c r="IS24" s="118"/>
      <c r="IT24" s="118"/>
      <c r="IU24" s="118"/>
      <c r="IV24" s="131"/>
    </row>
    <row r="25" spans="1:256" ht="23.25" customHeight="1" x14ac:dyDescent="0.25">
      <c r="A25" s="320" t="s">
        <v>5243</v>
      </c>
      <c r="B25" s="321"/>
      <c r="C25" s="321"/>
      <c r="D25" s="321"/>
      <c r="E25" s="321"/>
      <c r="F25" s="321"/>
      <c r="G25" s="321"/>
      <c r="H25" s="321"/>
      <c r="I25" s="321"/>
      <c r="J25" s="322"/>
      <c r="K25" s="188">
        <f>G24*8%</f>
        <v>87486003.200000003</v>
      </c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19"/>
      <c r="BE25" s="119"/>
      <c r="BF25" s="119"/>
      <c r="BG25" s="119"/>
      <c r="BH25" s="119"/>
      <c r="BI25" s="119"/>
      <c r="BJ25" s="119"/>
      <c r="BK25" s="119"/>
      <c r="BL25" s="119"/>
      <c r="BM25" s="119"/>
      <c r="BN25" s="119"/>
      <c r="BO25" s="119"/>
      <c r="BP25" s="119"/>
      <c r="BQ25" s="119"/>
      <c r="BR25" s="119"/>
      <c r="BS25" s="119"/>
      <c r="BT25" s="119"/>
      <c r="BU25" s="119"/>
      <c r="BV25" s="119"/>
      <c r="BW25" s="119"/>
      <c r="BX25" s="119"/>
      <c r="BY25" s="119"/>
      <c r="BZ25" s="119"/>
      <c r="CA25" s="119"/>
      <c r="CB25" s="119"/>
      <c r="CC25" s="119"/>
      <c r="CD25" s="119"/>
      <c r="CE25" s="119"/>
      <c r="CF25" s="119"/>
      <c r="CG25" s="119"/>
      <c r="CH25" s="119"/>
      <c r="CI25" s="119"/>
      <c r="CJ25" s="119"/>
      <c r="CK25" s="119"/>
      <c r="CL25" s="119"/>
      <c r="CM25" s="119"/>
      <c r="CN25" s="119"/>
      <c r="CO25" s="119"/>
      <c r="CP25" s="119"/>
      <c r="CQ25" s="119"/>
      <c r="CR25" s="119"/>
      <c r="CS25" s="119"/>
      <c r="CT25" s="119"/>
      <c r="CU25" s="119"/>
      <c r="CV25" s="119"/>
      <c r="CW25" s="119"/>
      <c r="CX25" s="119"/>
      <c r="CY25" s="119"/>
      <c r="CZ25" s="119"/>
      <c r="DA25" s="119"/>
      <c r="DB25" s="119"/>
      <c r="DC25" s="119"/>
      <c r="DD25" s="119"/>
      <c r="DE25" s="119"/>
      <c r="DF25" s="119"/>
      <c r="DG25" s="119"/>
      <c r="DH25" s="119"/>
      <c r="DI25" s="119"/>
      <c r="DJ25" s="119"/>
      <c r="DK25" s="119"/>
      <c r="DL25" s="119"/>
      <c r="DM25" s="119"/>
      <c r="DN25" s="119"/>
      <c r="DO25" s="119"/>
      <c r="DP25" s="119"/>
      <c r="DQ25" s="119"/>
      <c r="DR25" s="119"/>
      <c r="DS25" s="119"/>
      <c r="DT25" s="119"/>
      <c r="DU25" s="119"/>
      <c r="DV25" s="119"/>
      <c r="DW25" s="119"/>
      <c r="DX25" s="119"/>
      <c r="DY25" s="119"/>
      <c r="DZ25" s="119"/>
      <c r="EA25" s="119"/>
      <c r="EB25" s="119"/>
      <c r="EC25" s="119"/>
      <c r="ED25" s="119"/>
      <c r="EE25" s="119"/>
      <c r="EF25" s="119"/>
      <c r="EG25" s="119"/>
      <c r="EH25" s="119"/>
      <c r="EI25" s="119"/>
      <c r="EJ25" s="119"/>
      <c r="EK25" s="119"/>
      <c r="EL25" s="119"/>
      <c r="EM25" s="119"/>
      <c r="EN25" s="119"/>
      <c r="EO25" s="119"/>
      <c r="EP25" s="119"/>
      <c r="EQ25" s="119"/>
      <c r="ER25" s="119"/>
      <c r="ES25" s="119"/>
      <c r="ET25" s="119"/>
      <c r="EU25" s="119"/>
      <c r="EV25" s="119"/>
      <c r="EW25" s="119"/>
      <c r="EX25" s="119"/>
      <c r="EY25" s="119"/>
      <c r="EZ25" s="119"/>
      <c r="FA25" s="119"/>
      <c r="FB25" s="119"/>
      <c r="FC25" s="119"/>
      <c r="FD25" s="119"/>
      <c r="FE25" s="119"/>
      <c r="FF25" s="119"/>
      <c r="FG25" s="119"/>
      <c r="FH25" s="119"/>
      <c r="FI25" s="119"/>
      <c r="FJ25" s="119"/>
      <c r="FK25" s="119"/>
      <c r="FL25" s="119"/>
      <c r="FM25" s="119"/>
      <c r="FN25" s="119"/>
      <c r="FO25" s="119"/>
      <c r="FP25" s="119"/>
      <c r="FQ25" s="119"/>
      <c r="FR25" s="119"/>
      <c r="FS25" s="119"/>
      <c r="FT25" s="119"/>
      <c r="FU25" s="119"/>
      <c r="FV25" s="119"/>
      <c r="FW25" s="119"/>
      <c r="FX25" s="119"/>
      <c r="FY25" s="119"/>
      <c r="FZ25" s="119"/>
      <c r="GA25" s="119"/>
      <c r="GB25" s="119"/>
      <c r="GC25" s="119"/>
      <c r="GD25" s="119"/>
      <c r="GE25" s="119"/>
      <c r="GF25" s="119"/>
      <c r="GG25" s="119"/>
      <c r="GH25" s="119"/>
      <c r="GI25" s="119"/>
      <c r="GJ25" s="119"/>
      <c r="GK25" s="119"/>
      <c r="GL25" s="119"/>
      <c r="GM25" s="119"/>
      <c r="GN25" s="119"/>
      <c r="GO25" s="119"/>
      <c r="GP25" s="119"/>
      <c r="GQ25" s="119"/>
      <c r="GR25" s="119"/>
      <c r="GS25" s="119"/>
      <c r="GT25" s="119"/>
      <c r="GU25" s="119"/>
      <c r="GV25" s="119"/>
      <c r="GW25" s="119"/>
      <c r="GX25" s="119"/>
      <c r="GY25" s="119"/>
      <c r="GZ25" s="119"/>
      <c r="HA25" s="119"/>
      <c r="HB25" s="119"/>
      <c r="HC25" s="119"/>
      <c r="HD25" s="119"/>
      <c r="HE25" s="119"/>
      <c r="HF25" s="119"/>
      <c r="HG25" s="119"/>
      <c r="HH25" s="119"/>
      <c r="HI25" s="119"/>
      <c r="HJ25" s="119"/>
      <c r="HK25" s="119"/>
      <c r="HL25" s="119"/>
      <c r="HM25" s="119"/>
      <c r="HN25" s="119"/>
      <c r="HO25" s="119"/>
      <c r="HP25" s="119"/>
      <c r="HQ25" s="119"/>
      <c r="HR25" s="119"/>
      <c r="HS25" s="119"/>
      <c r="HT25" s="119"/>
      <c r="HU25" s="119"/>
      <c r="HV25" s="119"/>
      <c r="HW25" s="119"/>
      <c r="HX25" s="119"/>
      <c r="HY25" s="119"/>
      <c r="HZ25" s="119"/>
      <c r="IA25" s="119"/>
      <c r="IB25" s="119"/>
      <c r="IC25" s="119"/>
      <c r="ID25" s="119"/>
      <c r="IE25" s="119"/>
      <c r="IF25" s="119"/>
      <c r="IG25" s="119"/>
      <c r="IH25" s="119"/>
      <c r="II25" s="119"/>
      <c r="IJ25" s="119"/>
      <c r="IK25" s="119"/>
      <c r="IL25" s="119"/>
      <c r="IM25" s="119"/>
      <c r="IN25" s="119"/>
      <c r="IO25" s="119"/>
      <c r="IP25" s="119"/>
      <c r="IQ25" s="119"/>
      <c r="IR25" s="119"/>
      <c r="IS25" s="119"/>
      <c r="IT25" s="119"/>
      <c r="IU25" s="119"/>
    </row>
    <row r="26" spans="1:256" x14ac:dyDescent="0.25">
      <c r="A26" s="120"/>
      <c r="B26" s="120"/>
      <c r="C26" s="185"/>
      <c r="D26" s="120"/>
      <c r="E26" s="120"/>
      <c r="F26" s="120"/>
      <c r="G26" s="309" t="s">
        <v>5907</v>
      </c>
      <c r="H26" s="309"/>
      <c r="I26" s="309"/>
      <c r="J26" s="30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19"/>
      <c r="BD26" s="119"/>
      <c r="BE26" s="119"/>
      <c r="BF26" s="119"/>
      <c r="BG26" s="119"/>
      <c r="BH26" s="119"/>
      <c r="BI26" s="119"/>
      <c r="BJ26" s="119"/>
      <c r="BK26" s="119"/>
      <c r="BL26" s="119"/>
      <c r="BM26" s="119"/>
      <c r="BN26" s="119"/>
      <c r="BO26" s="119"/>
      <c r="BP26" s="119"/>
      <c r="BQ26" s="119"/>
      <c r="BR26" s="119"/>
      <c r="BS26" s="119"/>
      <c r="BT26" s="119"/>
      <c r="BU26" s="119"/>
      <c r="BV26" s="119"/>
      <c r="BW26" s="119"/>
      <c r="BX26" s="119"/>
      <c r="BY26" s="119"/>
      <c r="BZ26" s="119"/>
      <c r="CA26" s="119"/>
      <c r="CB26" s="119"/>
      <c r="CC26" s="119"/>
      <c r="CD26" s="119"/>
      <c r="CE26" s="119"/>
      <c r="CF26" s="119"/>
      <c r="CG26" s="119"/>
      <c r="CH26" s="119"/>
      <c r="CI26" s="119"/>
      <c r="CJ26" s="119"/>
      <c r="CK26" s="119"/>
      <c r="CL26" s="119"/>
      <c r="CM26" s="119"/>
      <c r="CN26" s="119"/>
      <c r="CO26" s="119"/>
      <c r="CP26" s="119"/>
      <c r="CQ26" s="119"/>
      <c r="CR26" s="119"/>
      <c r="CS26" s="119"/>
      <c r="CT26" s="119"/>
      <c r="CU26" s="119"/>
      <c r="CV26" s="119"/>
      <c r="CW26" s="119"/>
      <c r="CX26" s="119"/>
      <c r="CY26" s="119"/>
      <c r="CZ26" s="119"/>
      <c r="DA26" s="119"/>
      <c r="DB26" s="119"/>
      <c r="DC26" s="119"/>
      <c r="DD26" s="119"/>
      <c r="DE26" s="119"/>
      <c r="DF26" s="119"/>
      <c r="DG26" s="119"/>
      <c r="DH26" s="119"/>
      <c r="DI26" s="119"/>
      <c r="DJ26" s="119"/>
      <c r="DK26" s="119"/>
      <c r="DL26" s="119"/>
      <c r="DM26" s="119"/>
      <c r="DN26" s="119"/>
      <c r="DO26" s="119"/>
      <c r="DP26" s="119"/>
      <c r="DQ26" s="119"/>
      <c r="DR26" s="119"/>
      <c r="DS26" s="119"/>
      <c r="DT26" s="119"/>
      <c r="DU26" s="119"/>
      <c r="DV26" s="119"/>
      <c r="DW26" s="119"/>
      <c r="DX26" s="119"/>
      <c r="DY26" s="119"/>
      <c r="DZ26" s="119"/>
      <c r="EA26" s="119"/>
      <c r="EB26" s="119"/>
      <c r="EC26" s="119"/>
      <c r="ED26" s="119"/>
      <c r="EE26" s="119"/>
      <c r="EF26" s="119"/>
      <c r="EG26" s="119"/>
      <c r="EH26" s="119"/>
      <c r="EI26" s="119"/>
      <c r="EJ26" s="119"/>
      <c r="EK26" s="119"/>
      <c r="EL26" s="119"/>
      <c r="EM26" s="119"/>
      <c r="EN26" s="119"/>
      <c r="EO26" s="119"/>
      <c r="EP26" s="119"/>
      <c r="EQ26" s="119"/>
      <c r="ER26" s="119"/>
      <c r="ES26" s="119"/>
      <c r="ET26" s="119"/>
      <c r="EU26" s="119"/>
      <c r="EV26" s="119"/>
      <c r="EW26" s="119"/>
      <c r="EX26" s="119"/>
      <c r="EY26" s="119"/>
      <c r="EZ26" s="119"/>
      <c r="FA26" s="119"/>
      <c r="FB26" s="119"/>
      <c r="FC26" s="119"/>
      <c r="FD26" s="119"/>
      <c r="FE26" s="119"/>
      <c r="FF26" s="119"/>
      <c r="FG26" s="119"/>
      <c r="FH26" s="119"/>
      <c r="FI26" s="119"/>
      <c r="FJ26" s="119"/>
      <c r="FK26" s="119"/>
      <c r="FL26" s="119"/>
      <c r="FM26" s="119"/>
      <c r="FN26" s="119"/>
      <c r="FO26" s="119"/>
      <c r="FP26" s="119"/>
      <c r="FQ26" s="119"/>
      <c r="FR26" s="119"/>
      <c r="FS26" s="119"/>
      <c r="FT26" s="119"/>
      <c r="FU26" s="119"/>
      <c r="FV26" s="119"/>
      <c r="FW26" s="119"/>
      <c r="FX26" s="119"/>
      <c r="FY26" s="119"/>
      <c r="FZ26" s="119"/>
      <c r="GA26" s="119"/>
      <c r="GB26" s="119"/>
      <c r="GC26" s="119"/>
      <c r="GD26" s="119"/>
      <c r="GE26" s="119"/>
      <c r="GF26" s="119"/>
      <c r="GG26" s="119"/>
      <c r="GH26" s="119"/>
      <c r="GI26" s="119"/>
      <c r="GJ26" s="119"/>
      <c r="GK26" s="119"/>
      <c r="GL26" s="119"/>
      <c r="GM26" s="119"/>
      <c r="GN26" s="119"/>
      <c r="GO26" s="119"/>
      <c r="GP26" s="119"/>
      <c r="GQ26" s="119"/>
      <c r="GR26" s="119"/>
      <c r="GS26" s="119"/>
      <c r="GT26" s="119"/>
      <c r="GU26" s="119"/>
      <c r="GV26" s="119"/>
      <c r="GW26" s="119"/>
      <c r="GX26" s="119"/>
      <c r="GY26" s="119"/>
      <c r="GZ26" s="119"/>
      <c r="HA26" s="119"/>
      <c r="HB26" s="119"/>
      <c r="HC26" s="119"/>
      <c r="HD26" s="119"/>
      <c r="HE26" s="119"/>
      <c r="HF26" s="119"/>
      <c r="HG26" s="119"/>
      <c r="HH26" s="119"/>
      <c r="HI26" s="119"/>
      <c r="HJ26" s="119"/>
      <c r="HK26" s="119"/>
      <c r="HL26" s="119"/>
      <c r="HM26" s="119"/>
      <c r="HN26" s="119"/>
      <c r="HO26" s="119"/>
      <c r="HP26" s="119"/>
      <c r="HQ26" s="119"/>
      <c r="HR26" s="119"/>
      <c r="HS26" s="119"/>
      <c r="HT26" s="119"/>
      <c r="HU26" s="119"/>
      <c r="HV26" s="119"/>
      <c r="HW26" s="119"/>
      <c r="HX26" s="119"/>
      <c r="HY26" s="119"/>
      <c r="HZ26" s="119"/>
      <c r="IA26" s="119"/>
      <c r="IB26" s="119"/>
      <c r="IC26" s="119"/>
      <c r="ID26" s="119"/>
      <c r="IE26" s="119"/>
      <c r="IF26" s="119"/>
      <c r="IG26" s="119"/>
      <c r="IH26" s="119"/>
      <c r="II26" s="119"/>
      <c r="IJ26" s="119"/>
      <c r="IK26" s="119"/>
      <c r="IL26" s="119"/>
      <c r="IM26" s="119"/>
      <c r="IN26" s="119"/>
      <c r="IO26" s="119"/>
      <c r="IP26" s="119"/>
      <c r="IQ26" s="119"/>
      <c r="IR26" s="119"/>
      <c r="IS26" s="119"/>
      <c r="IT26" s="119"/>
      <c r="IU26" s="119"/>
    </row>
    <row r="27" spans="1:256" x14ac:dyDescent="0.25">
      <c r="A27" s="310" t="s">
        <v>333</v>
      </c>
      <c r="B27" s="310"/>
      <c r="C27" s="310"/>
      <c r="D27" s="310"/>
      <c r="E27" s="310"/>
      <c r="F27" s="310"/>
      <c r="G27" s="303" t="s">
        <v>45</v>
      </c>
      <c r="H27" s="303"/>
      <c r="I27" s="303"/>
      <c r="J27" s="303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  <c r="CK27" s="121"/>
      <c r="CL27" s="121"/>
      <c r="CM27" s="121"/>
      <c r="CN27" s="121"/>
      <c r="CO27" s="121"/>
      <c r="CP27" s="121"/>
      <c r="CQ27" s="121"/>
      <c r="CR27" s="121"/>
      <c r="CS27" s="121"/>
      <c r="CT27" s="121"/>
      <c r="CU27" s="121"/>
      <c r="CV27" s="121"/>
      <c r="CW27" s="121"/>
      <c r="CX27" s="121"/>
      <c r="CY27" s="121"/>
      <c r="CZ27" s="121"/>
      <c r="DA27" s="121"/>
      <c r="DB27" s="121"/>
      <c r="DC27" s="121"/>
      <c r="DD27" s="121"/>
      <c r="DE27" s="121"/>
      <c r="DF27" s="121"/>
      <c r="DG27" s="121"/>
      <c r="DH27" s="121"/>
      <c r="DI27" s="121"/>
      <c r="DJ27" s="121"/>
      <c r="DK27" s="121"/>
      <c r="DL27" s="121"/>
      <c r="DM27" s="121"/>
      <c r="DN27" s="121"/>
      <c r="DO27" s="121"/>
      <c r="DP27" s="121"/>
      <c r="DQ27" s="121"/>
      <c r="DR27" s="121"/>
      <c r="DS27" s="121"/>
      <c r="DT27" s="121"/>
      <c r="DU27" s="121"/>
      <c r="DV27" s="121"/>
      <c r="DW27" s="121"/>
      <c r="DX27" s="121"/>
      <c r="DY27" s="121"/>
      <c r="DZ27" s="121"/>
      <c r="EA27" s="121"/>
      <c r="EB27" s="121"/>
      <c r="EC27" s="121"/>
      <c r="ED27" s="121"/>
      <c r="EE27" s="121"/>
      <c r="EF27" s="121"/>
      <c r="EG27" s="121"/>
      <c r="EH27" s="121"/>
      <c r="EI27" s="121"/>
      <c r="EJ27" s="121"/>
      <c r="EK27" s="121"/>
      <c r="EL27" s="121"/>
      <c r="EM27" s="121"/>
      <c r="EN27" s="121"/>
      <c r="EO27" s="121"/>
      <c r="EP27" s="121"/>
      <c r="EQ27" s="121"/>
      <c r="ER27" s="121"/>
      <c r="ES27" s="121"/>
      <c r="ET27" s="121"/>
      <c r="EU27" s="121"/>
      <c r="EV27" s="121"/>
      <c r="EW27" s="121"/>
      <c r="EX27" s="121"/>
      <c r="EY27" s="121"/>
      <c r="EZ27" s="121"/>
      <c r="FA27" s="121"/>
      <c r="FB27" s="121"/>
      <c r="FC27" s="121"/>
      <c r="FD27" s="121"/>
      <c r="FE27" s="121"/>
      <c r="FF27" s="121"/>
      <c r="FG27" s="121"/>
      <c r="FH27" s="121"/>
      <c r="FI27" s="121"/>
      <c r="FJ27" s="121"/>
      <c r="FK27" s="121"/>
      <c r="FL27" s="121"/>
      <c r="FM27" s="121"/>
      <c r="FN27" s="121"/>
      <c r="FO27" s="121"/>
      <c r="FP27" s="121"/>
      <c r="FQ27" s="121"/>
      <c r="FR27" s="121"/>
      <c r="FS27" s="121"/>
      <c r="FT27" s="121"/>
      <c r="FU27" s="121"/>
      <c r="FV27" s="121"/>
      <c r="FW27" s="121"/>
      <c r="FX27" s="121"/>
      <c r="FY27" s="121"/>
      <c r="FZ27" s="121"/>
      <c r="GA27" s="121"/>
      <c r="GB27" s="121"/>
      <c r="GC27" s="121"/>
      <c r="GD27" s="121"/>
      <c r="GE27" s="121"/>
      <c r="GF27" s="121"/>
      <c r="GG27" s="121"/>
      <c r="GH27" s="121"/>
      <c r="GI27" s="121"/>
      <c r="GJ27" s="121"/>
      <c r="GK27" s="121"/>
      <c r="GL27" s="121"/>
      <c r="GM27" s="121"/>
      <c r="GN27" s="121"/>
      <c r="GO27" s="121"/>
      <c r="GP27" s="121"/>
      <c r="GQ27" s="121"/>
      <c r="GR27" s="121"/>
      <c r="GS27" s="121"/>
      <c r="GT27" s="121"/>
      <c r="GU27" s="121"/>
      <c r="GV27" s="121"/>
      <c r="GW27" s="121"/>
      <c r="GX27" s="121"/>
      <c r="GY27" s="121"/>
      <c r="GZ27" s="121"/>
      <c r="HA27" s="121"/>
      <c r="HB27" s="121"/>
      <c r="HC27" s="121"/>
      <c r="HD27" s="121"/>
      <c r="HE27" s="121"/>
      <c r="HF27" s="121"/>
      <c r="HG27" s="121"/>
      <c r="HH27" s="121"/>
      <c r="HI27" s="121"/>
      <c r="HJ27" s="121"/>
      <c r="HK27" s="121"/>
      <c r="HL27" s="121"/>
      <c r="HM27" s="121"/>
      <c r="HN27" s="121"/>
      <c r="HO27" s="121"/>
      <c r="HP27" s="121"/>
      <c r="HQ27" s="121"/>
      <c r="HR27" s="121"/>
      <c r="HS27" s="121"/>
      <c r="HT27" s="121"/>
      <c r="HU27" s="121"/>
      <c r="HV27" s="121"/>
      <c r="HW27" s="121"/>
      <c r="HX27" s="121"/>
      <c r="HY27" s="121"/>
      <c r="HZ27" s="121"/>
      <c r="IA27" s="121"/>
      <c r="IB27" s="121"/>
      <c r="IC27" s="121"/>
      <c r="ID27" s="121"/>
      <c r="IE27" s="121"/>
      <c r="IF27" s="121"/>
      <c r="IG27" s="121"/>
      <c r="IH27" s="121"/>
      <c r="II27" s="121"/>
      <c r="IJ27" s="121"/>
      <c r="IK27" s="121"/>
      <c r="IL27" s="121"/>
      <c r="IM27" s="121"/>
      <c r="IN27" s="121"/>
      <c r="IO27" s="121"/>
      <c r="IP27" s="121"/>
      <c r="IQ27" s="121"/>
      <c r="IR27" s="121"/>
      <c r="IS27" s="121"/>
      <c r="IT27" s="121"/>
      <c r="IU27" s="121"/>
    </row>
    <row r="28" spans="1:256" x14ac:dyDescent="0.25">
      <c r="A28" s="122"/>
      <c r="B28" s="303" t="s">
        <v>830</v>
      </c>
      <c r="C28" s="303"/>
      <c r="D28" s="303" t="s">
        <v>325</v>
      </c>
      <c r="E28" s="303"/>
      <c r="G28" s="303" t="s">
        <v>831</v>
      </c>
      <c r="H28" s="303"/>
      <c r="I28" s="303" t="s">
        <v>325</v>
      </c>
      <c r="J28" s="303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  <c r="CK28" s="121"/>
      <c r="CL28" s="121"/>
      <c r="CM28" s="121"/>
      <c r="CN28" s="121"/>
      <c r="CO28" s="121"/>
      <c r="CP28" s="121"/>
      <c r="CQ28" s="121"/>
      <c r="CR28" s="121"/>
      <c r="CS28" s="121"/>
      <c r="CT28" s="121"/>
      <c r="CU28" s="121"/>
      <c r="CV28" s="121"/>
      <c r="CW28" s="121"/>
      <c r="CX28" s="121"/>
      <c r="CY28" s="121"/>
      <c r="CZ28" s="121"/>
      <c r="DA28" s="121"/>
      <c r="DB28" s="121"/>
      <c r="DC28" s="121"/>
      <c r="DD28" s="121"/>
      <c r="DE28" s="121"/>
      <c r="DF28" s="121"/>
      <c r="DG28" s="121"/>
      <c r="DH28" s="121"/>
      <c r="DI28" s="121"/>
      <c r="DJ28" s="121"/>
      <c r="DK28" s="121"/>
      <c r="DL28" s="121"/>
      <c r="DM28" s="121"/>
      <c r="DN28" s="121"/>
      <c r="DO28" s="121"/>
      <c r="DP28" s="121"/>
      <c r="DQ28" s="121"/>
      <c r="DR28" s="121"/>
      <c r="DS28" s="121"/>
      <c r="DT28" s="121"/>
      <c r="DU28" s="121"/>
      <c r="DV28" s="121"/>
      <c r="DW28" s="121"/>
      <c r="DX28" s="121"/>
      <c r="DY28" s="121"/>
      <c r="DZ28" s="121"/>
      <c r="EA28" s="121"/>
      <c r="EB28" s="121"/>
      <c r="EC28" s="121"/>
      <c r="ED28" s="121"/>
      <c r="EE28" s="121"/>
      <c r="EF28" s="121"/>
      <c r="EG28" s="121"/>
      <c r="EH28" s="121"/>
      <c r="EI28" s="121"/>
      <c r="EJ28" s="121"/>
      <c r="EK28" s="121"/>
      <c r="EL28" s="121"/>
      <c r="EM28" s="121"/>
      <c r="EN28" s="121"/>
      <c r="EO28" s="121"/>
      <c r="EP28" s="121"/>
      <c r="EQ28" s="121"/>
      <c r="ER28" s="121"/>
      <c r="ES28" s="121"/>
      <c r="ET28" s="121"/>
      <c r="EU28" s="121"/>
      <c r="EV28" s="121"/>
      <c r="EW28" s="121"/>
      <c r="EX28" s="121"/>
      <c r="EY28" s="121"/>
      <c r="EZ28" s="121"/>
      <c r="FA28" s="121"/>
      <c r="FB28" s="121"/>
      <c r="FC28" s="121"/>
      <c r="FD28" s="121"/>
      <c r="FE28" s="121"/>
      <c r="FF28" s="121"/>
      <c r="FG28" s="121"/>
      <c r="FH28" s="121"/>
      <c r="FI28" s="121"/>
      <c r="FJ28" s="121"/>
      <c r="FK28" s="121"/>
      <c r="FL28" s="121"/>
      <c r="FM28" s="121"/>
      <c r="FN28" s="121"/>
      <c r="FO28" s="121"/>
      <c r="FP28" s="121"/>
      <c r="FQ28" s="121"/>
      <c r="FR28" s="121"/>
      <c r="FS28" s="121"/>
      <c r="FT28" s="121"/>
      <c r="FU28" s="121"/>
      <c r="FV28" s="121"/>
      <c r="FW28" s="121"/>
      <c r="FX28" s="121"/>
      <c r="FY28" s="121"/>
      <c r="FZ28" s="121"/>
      <c r="GA28" s="121"/>
      <c r="GB28" s="121"/>
      <c r="GC28" s="121"/>
      <c r="GD28" s="121"/>
      <c r="GE28" s="121"/>
      <c r="GF28" s="121"/>
      <c r="GG28" s="121"/>
      <c r="GH28" s="121"/>
      <c r="GI28" s="121"/>
      <c r="GJ28" s="121"/>
      <c r="GK28" s="121"/>
      <c r="GL28" s="121"/>
      <c r="GM28" s="121"/>
      <c r="GN28" s="121"/>
      <c r="GO28" s="121"/>
      <c r="GP28" s="121"/>
      <c r="GQ28" s="121"/>
      <c r="GR28" s="121"/>
      <c r="GS28" s="121"/>
      <c r="GT28" s="121"/>
      <c r="GU28" s="121"/>
      <c r="GV28" s="121"/>
      <c r="GW28" s="121"/>
      <c r="GX28" s="121"/>
      <c r="GY28" s="121"/>
      <c r="GZ28" s="121"/>
      <c r="HA28" s="121"/>
      <c r="HB28" s="121"/>
      <c r="HC28" s="121"/>
      <c r="HD28" s="121"/>
      <c r="HE28" s="121"/>
      <c r="HF28" s="121"/>
      <c r="HG28" s="121"/>
      <c r="HH28" s="121"/>
      <c r="HI28" s="121"/>
      <c r="HJ28" s="121"/>
      <c r="HK28" s="121"/>
      <c r="HL28" s="121"/>
      <c r="HM28" s="121"/>
      <c r="HN28" s="121"/>
      <c r="HO28" s="121"/>
      <c r="HP28" s="121"/>
      <c r="HQ28" s="121"/>
      <c r="HR28" s="121"/>
      <c r="HS28" s="121"/>
      <c r="HT28" s="121"/>
      <c r="HU28" s="121"/>
      <c r="HV28" s="121"/>
      <c r="HW28" s="121"/>
      <c r="HX28" s="121"/>
      <c r="HY28" s="121"/>
      <c r="HZ28" s="121"/>
      <c r="IA28" s="121"/>
      <c r="IB28" s="121"/>
      <c r="IC28" s="121"/>
      <c r="ID28" s="121"/>
      <c r="IE28" s="121"/>
      <c r="IF28" s="121"/>
      <c r="IG28" s="121"/>
      <c r="IH28" s="121"/>
      <c r="II28" s="121"/>
      <c r="IJ28" s="121"/>
      <c r="IK28" s="121"/>
      <c r="IL28" s="121"/>
      <c r="IM28" s="121"/>
      <c r="IN28" s="121"/>
      <c r="IO28" s="121"/>
      <c r="IP28" s="121"/>
      <c r="IQ28" s="121"/>
      <c r="IR28" s="121"/>
      <c r="IS28" s="121"/>
      <c r="IT28" s="121"/>
      <c r="IU28" s="121"/>
    </row>
    <row r="29" spans="1:256" x14ac:dyDescent="0.25">
      <c r="A29" s="123"/>
      <c r="B29" s="123"/>
      <c r="C29" s="186"/>
      <c r="D29" s="123"/>
      <c r="E29" s="123"/>
      <c r="F29" s="123"/>
      <c r="G29" s="123"/>
      <c r="H29" s="105"/>
      <c r="I29" s="105"/>
      <c r="J29" s="123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121"/>
      <c r="DA29" s="121"/>
      <c r="DB29" s="121"/>
      <c r="DC29" s="121"/>
      <c r="DD29" s="121"/>
      <c r="DE29" s="121"/>
      <c r="DF29" s="121"/>
      <c r="DG29" s="121"/>
      <c r="DH29" s="121"/>
      <c r="DI29" s="121"/>
      <c r="DJ29" s="121"/>
      <c r="DK29" s="121"/>
      <c r="DL29" s="121"/>
      <c r="DM29" s="121"/>
      <c r="DN29" s="121"/>
      <c r="DO29" s="121"/>
      <c r="DP29" s="121"/>
      <c r="DQ29" s="121"/>
      <c r="DR29" s="121"/>
      <c r="DS29" s="121"/>
      <c r="DT29" s="121"/>
      <c r="DU29" s="121"/>
      <c r="DV29" s="121"/>
      <c r="DW29" s="121"/>
      <c r="DX29" s="121"/>
      <c r="DY29" s="121"/>
      <c r="DZ29" s="121"/>
      <c r="EA29" s="121"/>
      <c r="EB29" s="121"/>
      <c r="EC29" s="121"/>
      <c r="ED29" s="121"/>
      <c r="EE29" s="121"/>
      <c r="EF29" s="121"/>
      <c r="EG29" s="121"/>
      <c r="EH29" s="121"/>
      <c r="EI29" s="121"/>
      <c r="EJ29" s="121"/>
      <c r="EK29" s="121"/>
      <c r="EL29" s="121"/>
      <c r="EM29" s="121"/>
      <c r="EN29" s="121"/>
      <c r="EO29" s="121"/>
      <c r="EP29" s="121"/>
      <c r="EQ29" s="121"/>
      <c r="ER29" s="121"/>
      <c r="ES29" s="121"/>
      <c r="ET29" s="121"/>
      <c r="EU29" s="121"/>
      <c r="EV29" s="121"/>
      <c r="EW29" s="121"/>
      <c r="EX29" s="121"/>
      <c r="EY29" s="121"/>
      <c r="EZ29" s="121"/>
      <c r="FA29" s="121"/>
      <c r="FB29" s="121"/>
      <c r="FC29" s="121"/>
      <c r="FD29" s="121"/>
      <c r="FE29" s="121"/>
      <c r="FF29" s="121"/>
      <c r="FG29" s="121"/>
      <c r="FH29" s="121"/>
      <c r="FI29" s="121"/>
      <c r="FJ29" s="121"/>
      <c r="FK29" s="121"/>
      <c r="FL29" s="121"/>
      <c r="FM29" s="121"/>
      <c r="FN29" s="121"/>
      <c r="FO29" s="121"/>
      <c r="FP29" s="121"/>
      <c r="FQ29" s="121"/>
      <c r="FR29" s="121"/>
      <c r="FS29" s="121"/>
      <c r="FT29" s="121"/>
      <c r="FU29" s="121"/>
      <c r="FV29" s="121"/>
      <c r="FW29" s="121"/>
      <c r="FX29" s="121"/>
      <c r="FY29" s="121"/>
      <c r="FZ29" s="121"/>
      <c r="GA29" s="121"/>
      <c r="GB29" s="121"/>
      <c r="GC29" s="121"/>
      <c r="GD29" s="121"/>
      <c r="GE29" s="121"/>
      <c r="GF29" s="121"/>
      <c r="GG29" s="121"/>
      <c r="GH29" s="121"/>
      <c r="GI29" s="121"/>
      <c r="GJ29" s="121"/>
      <c r="GK29" s="121"/>
      <c r="GL29" s="121"/>
      <c r="GM29" s="121"/>
      <c r="GN29" s="121"/>
      <c r="GO29" s="121"/>
      <c r="GP29" s="121"/>
      <c r="GQ29" s="121"/>
      <c r="GR29" s="121"/>
      <c r="GS29" s="121"/>
      <c r="GT29" s="121"/>
      <c r="GU29" s="121"/>
      <c r="GV29" s="121"/>
      <c r="GW29" s="121"/>
      <c r="GX29" s="121"/>
      <c r="GY29" s="121"/>
      <c r="GZ29" s="121"/>
      <c r="HA29" s="121"/>
      <c r="HB29" s="121"/>
      <c r="HC29" s="121"/>
      <c r="HD29" s="121"/>
      <c r="HE29" s="121"/>
      <c r="HF29" s="121"/>
      <c r="HG29" s="121"/>
      <c r="HH29" s="121"/>
      <c r="HI29" s="121"/>
      <c r="HJ29" s="121"/>
      <c r="HK29" s="121"/>
      <c r="HL29" s="121"/>
      <c r="HM29" s="121"/>
      <c r="HN29" s="121"/>
      <c r="HO29" s="121"/>
      <c r="HP29" s="121"/>
      <c r="HQ29" s="121"/>
      <c r="HR29" s="121"/>
      <c r="HS29" s="121"/>
      <c r="HT29" s="121"/>
      <c r="HU29" s="121"/>
      <c r="HV29" s="121"/>
      <c r="HW29" s="121"/>
      <c r="HX29" s="121"/>
      <c r="HY29" s="121"/>
      <c r="HZ29" s="121"/>
      <c r="IA29" s="121"/>
      <c r="IB29" s="121"/>
      <c r="IC29" s="121"/>
      <c r="ID29" s="121"/>
      <c r="IE29" s="121"/>
      <c r="IF29" s="121"/>
      <c r="IG29" s="121"/>
      <c r="IH29" s="121"/>
      <c r="II29" s="121"/>
      <c r="IJ29" s="121"/>
      <c r="IK29" s="121"/>
      <c r="IL29" s="121"/>
      <c r="IM29" s="121"/>
      <c r="IN29" s="121"/>
      <c r="IO29" s="121"/>
      <c r="IP29" s="121"/>
      <c r="IQ29" s="121"/>
      <c r="IR29" s="121"/>
      <c r="IS29" s="121"/>
      <c r="IT29" s="121"/>
      <c r="IU29" s="121"/>
    </row>
    <row r="30" spans="1:256" x14ac:dyDescent="0.25">
      <c r="A30" s="123"/>
      <c r="B30" s="123"/>
      <c r="C30" s="186"/>
      <c r="D30" s="123"/>
      <c r="E30" s="123"/>
      <c r="F30" s="123"/>
      <c r="G30" s="123"/>
      <c r="H30" s="105"/>
      <c r="I30" s="105"/>
      <c r="J30" s="123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121"/>
      <c r="DA30" s="121"/>
      <c r="DB30" s="121"/>
      <c r="DC30" s="121"/>
      <c r="DD30" s="121"/>
      <c r="DE30" s="121"/>
      <c r="DF30" s="121"/>
      <c r="DG30" s="121"/>
      <c r="DH30" s="121"/>
      <c r="DI30" s="121"/>
      <c r="DJ30" s="121"/>
      <c r="DK30" s="121"/>
      <c r="DL30" s="121"/>
      <c r="DM30" s="121"/>
      <c r="DN30" s="121"/>
      <c r="DO30" s="121"/>
      <c r="DP30" s="121"/>
      <c r="DQ30" s="121"/>
      <c r="DR30" s="121"/>
      <c r="DS30" s="121"/>
      <c r="DT30" s="121"/>
      <c r="DU30" s="121"/>
      <c r="DV30" s="121"/>
      <c r="DW30" s="121"/>
      <c r="DX30" s="121"/>
      <c r="DY30" s="121"/>
      <c r="DZ30" s="121"/>
      <c r="EA30" s="121"/>
      <c r="EB30" s="121"/>
      <c r="EC30" s="121"/>
      <c r="ED30" s="121"/>
      <c r="EE30" s="121"/>
      <c r="EF30" s="121"/>
      <c r="EG30" s="121"/>
      <c r="EH30" s="121"/>
      <c r="EI30" s="121"/>
      <c r="EJ30" s="121"/>
      <c r="EK30" s="121"/>
      <c r="EL30" s="121"/>
      <c r="EM30" s="121"/>
      <c r="EN30" s="121"/>
      <c r="EO30" s="121"/>
      <c r="EP30" s="121"/>
      <c r="EQ30" s="121"/>
      <c r="ER30" s="121"/>
      <c r="ES30" s="121"/>
      <c r="ET30" s="121"/>
      <c r="EU30" s="121"/>
      <c r="EV30" s="121"/>
      <c r="EW30" s="121"/>
      <c r="EX30" s="121"/>
      <c r="EY30" s="121"/>
      <c r="EZ30" s="121"/>
      <c r="FA30" s="121"/>
      <c r="FB30" s="121"/>
      <c r="FC30" s="121"/>
      <c r="FD30" s="121"/>
      <c r="FE30" s="121"/>
      <c r="FF30" s="121"/>
      <c r="FG30" s="121"/>
      <c r="FH30" s="121"/>
      <c r="FI30" s="121"/>
      <c r="FJ30" s="121"/>
      <c r="FK30" s="121"/>
      <c r="FL30" s="121"/>
      <c r="FM30" s="121"/>
      <c r="FN30" s="121"/>
      <c r="FO30" s="121"/>
      <c r="FP30" s="121"/>
      <c r="FQ30" s="121"/>
      <c r="FR30" s="121"/>
      <c r="FS30" s="121"/>
      <c r="FT30" s="121"/>
      <c r="FU30" s="121"/>
      <c r="FV30" s="121"/>
      <c r="FW30" s="121"/>
      <c r="FX30" s="121"/>
      <c r="FY30" s="121"/>
      <c r="FZ30" s="121"/>
      <c r="GA30" s="121"/>
      <c r="GB30" s="121"/>
      <c r="GC30" s="121"/>
      <c r="GD30" s="121"/>
      <c r="GE30" s="121"/>
      <c r="GF30" s="121"/>
      <c r="GG30" s="121"/>
      <c r="GH30" s="121"/>
      <c r="GI30" s="121"/>
      <c r="GJ30" s="121"/>
      <c r="GK30" s="121"/>
      <c r="GL30" s="121"/>
      <c r="GM30" s="121"/>
      <c r="GN30" s="121"/>
      <c r="GO30" s="121"/>
      <c r="GP30" s="121"/>
      <c r="GQ30" s="121"/>
      <c r="GR30" s="121"/>
      <c r="GS30" s="121"/>
      <c r="GT30" s="121"/>
      <c r="GU30" s="121"/>
      <c r="GV30" s="121"/>
      <c r="GW30" s="121"/>
      <c r="GX30" s="121"/>
      <c r="GY30" s="121"/>
      <c r="GZ30" s="121"/>
      <c r="HA30" s="121"/>
      <c r="HB30" s="121"/>
      <c r="HC30" s="121"/>
      <c r="HD30" s="121"/>
      <c r="HE30" s="121"/>
      <c r="HF30" s="121"/>
      <c r="HG30" s="121"/>
      <c r="HH30" s="121"/>
      <c r="HI30" s="121"/>
      <c r="HJ30" s="121"/>
      <c r="HK30" s="121"/>
      <c r="HL30" s="121"/>
      <c r="HM30" s="121"/>
      <c r="HN30" s="121"/>
      <c r="HO30" s="121"/>
      <c r="HP30" s="121"/>
      <c r="HQ30" s="121"/>
      <c r="HR30" s="121"/>
      <c r="HS30" s="121"/>
      <c r="HT30" s="121"/>
      <c r="HU30" s="121"/>
      <c r="HV30" s="121"/>
      <c r="HW30" s="121"/>
      <c r="HX30" s="121"/>
      <c r="HY30" s="121"/>
      <c r="HZ30" s="121"/>
      <c r="IA30" s="121"/>
      <c r="IB30" s="121"/>
      <c r="IC30" s="121"/>
      <c r="ID30" s="121"/>
      <c r="IE30" s="121"/>
      <c r="IF30" s="121"/>
      <c r="IG30" s="121"/>
      <c r="IH30" s="121"/>
      <c r="II30" s="121"/>
      <c r="IJ30" s="121"/>
      <c r="IK30" s="121"/>
      <c r="IL30" s="121"/>
      <c r="IM30" s="121"/>
      <c r="IN30" s="121"/>
      <c r="IO30" s="121"/>
      <c r="IP30" s="121"/>
      <c r="IQ30" s="121"/>
      <c r="IR30" s="121"/>
      <c r="IS30" s="121"/>
      <c r="IT30" s="121"/>
      <c r="IU30" s="121"/>
    </row>
    <row r="31" spans="1:256" x14ac:dyDescent="0.25">
      <c r="A31" s="123"/>
      <c r="B31" s="124"/>
      <c r="C31" s="186"/>
      <c r="D31" s="123"/>
      <c r="E31" s="123"/>
      <c r="F31" s="123"/>
      <c r="G31" s="123"/>
      <c r="H31" s="105"/>
      <c r="I31" s="105"/>
      <c r="J31" s="123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  <c r="CK31" s="121"/>
      <c r="CL31" s="121"/>
      <c r="CM31" s="121"/>
      <c r="CN31" s="121"/>
      <c r="CO31" s="121"/>
      <c r="CP31" s="121"/>
      <c r="CQ31" s="121"/>
      <c r="CR31" s="121"/>
      <c r="CS31" s="121"/>
      <c r="CT31" s="121"/>
      <c r="CU31" s="121"/>
      <c r="CV31" s="121"/>
      <c r="CW31" s="121"/>
      <c r="CX31" s="121"/>
      <c r="CY31" s="121"/>
      <c r="CZ31" s="121"/>
      <c r="DA31" s="121"/>
      <c r="DB31" s="121"/>
      <c r="DC31" s="121"/>
      <c r="DD31" s="121"/>
      <c r="DE31" s="121"/>
      <c r="DF31" s="121"/>
      <c r="DG31" s="121"/>
      <c r="DH31" s="121"/>
      <c r="DI31" s="121"/>
      <c r="DJ31" s="121"/>
      <c r="DK31" s="121"/>
      <c r="DL31" s="121"/>
      <c r="DM31" s="121"/>
      <c r="DN31" s="121"/>
      <c r="DO31" s="121"/>
      <c r="DP31" s="121"/>
      <c r="DQ31" s="121"/>
      <c r="DR31" s="121"/>
      <c r="DS31" s="121"/>
      <c r="DT31" s="121"/>
      <c r="DU31" s="121"/>
      <c r="DV31" s="121"/>
      <c r="DW31" s="121"/>
      <c r="DX31" s="121"/>
      <c r="DY31" s="121"/>
      <c r="DZ31" s="121"/>
      <c r="EA31" s="121"/>
      <c r="EB31" s="121"/>
      <c r="EC31" s="121"/>
      <c r="ED31" s="121"/>
      <c r="EE31" s="121"/>
      <c r="EF31" s="121"/>
      <c r="EG31" s="121"/>
      <c r="EH31" s="121"/>
      <c r="EI31" s="121"/>
      <c r="EJ31" s="121"/>
      <c r="EK31" s="121"/>
      <c r="EL31" s="121"/>
      <c r="EM31" s="121"/>
      <c r="EN31" s="121"/>
      <c r="EO31" s="121"/>
      <c r="EP31" s="121"/>
      <c r="EQ31" s="121"/>
      <c r="ER31" s="121"/>
      <c r="ES31" s="121"/>
      <c r="ET31" s="121"/>
      <c r="EU31" s="121"/>
      <c r="EV31" s="121"/>
      <c r="EW31" s="121"/>
      <c r="EX31" s="121"/>
      <c r="EY31" s="121"/>
      <c r="EZ31" s="121"/>
      <c r="FA31" s="121"/>
      <c r="FB31" s="121"/>
      <c r="FC31" s="121"/>
      <c r="FD31" s="121"/>
      <c r="FE31" s="121"/>
      <c r="FF31" s="121"/>
      <c r="FG31" s="121"/>
      <c r="FH31" s="121"/>
      <c r="FI31" s="121"/>
      <c r="FJ31" s="121"/>
      <c r="FK31" s="121"/>
      <c r="FL31" s="121"/>
      <c r="FM31" s="121"/>
      <c r="FN31" s="121"/>
      <c r="FO31" s="121"/>
      <c r="FP31" s="121"/>
      <c r="FQ31" s="121"/>
      <c r="FR31" s="121"/>
      <c r="FS31" s="121"/>
      <c r="FT31" s="121"/>
      <c r="FU31" s="121"/>
      <c r="FV31" s="121"/>
      <c r="FW31" s="121"/>
      <c r="FX31" s="121"/>
      <c r="FY31" s="121"/>
      <c r="FZ31" s="121"/>
      <c r="GA31" s="121"/>
      <c r="GB31" s="121"/>
      <c r="GC31" s="121"/>
      <c r="GD31" s="121"/>
      <c r="GE31" s="121"/>
      <c r="GF31" s="121"/>
      <c r="GG31" s="121"/>
      <c r="GH31" s="121"/>
      <c r="GI31" s="121"/>
      <c r="GJ31" s="121"/>
      <c r="GK31" s="121"/>
      <c r="GL31" s="121"/>
      <c r="GM31" s="121"/>
      <c r="GN31" s="121"/>
      <c r="GO31" s="121"/>
      <c r="GP31" s="121"/>
      <c r="GQ31" s="121"/>
      <c r="GR31" s="121"/>
      <c r="GS31" s="121"/>
      <c r="GT31" s="121"/>
      <c r="GU31" s="121"/>
      <c r="GV31" s="121"/>
      <c r="GW31" s="121"/>
      <c r="GX31" s="121"/>
      <c r="GY31" s="121"/>
      <c r="GZ31" s="121"/>
      <c r="HA31" s="121"/>
      <c r="HB31" s="121"/>
      <c r="HC31" s="121"/>
      <c r="HD31" s="121"/>
      <c r="HE31" s="121"/>
      <c r="HF31" s="121"/>
      <c r="HG31" s="121"/>
      <c r="HH31" s="121"/>
      <c r="HI31" s="121"/>
      <c r="HJ31" s="121"/>
      <c r="HK31" s="121"/>
      <c r="HL31" s="121"/>
      <c r="HM31" s="121"/>
      <c r="HN31" s="121"/>
      <c r="HO31" s="121"/>
      <c r="HP31" s="121"/>
      <c r="HQ31" s="121"/>
      <c r="HR31" s="121"/>
      <c r="HS31" s="121"/>
      <c r="HT31" s="121"/>
      <c r="HU31" s="121"/>
      <c r="HV31" s="121"/>
      <c r="HW31" s="121"/>
      <c r="HX31" s="121"/>
      <c r="HY31" s="121"/>
      <c r="HZ31" s="121"/>
      <c r="IA31" s="121"/>
      <c r="IB31" s="121"/>
      <c r="IC31" s="121"/>
      <c r="ID31" s="121"/>
      <c r="IE31" s="121"/>
      <c r="IF31" s="121"/>
      <c r="IG31" s="121"/>
      <c r="IH31" s="121"/>
      <c r="II31" s="121"/>
      <c r="IJ31" s="121"/>
      <c r="IK31" s="121"/>
      <c r="IL31" s="121"/>
      <c r="IM31" s="121"/>
      <c r="IN31" s="121"/>
      <c r="IO31" s="121"/>
      <c r="IP31" s="121"/>
      <c r="IQ31" s="121"/>
      <c r="IR31" s="121"/>
      <c r="IS31" s="121"/>
      <c r="IT31" s="121"/>
      <c r="IU31" s="121"/>
    </row>
    <row r="32" spans="1:256" x14ac:dyDescent="0.25">
      <c r="A32" s="123"/>
      <c r="B32" s="303"/>
      <c r="C32" s="303"/>
      <c r="D32" s="303" t="s">
        <v>837</v>
      </c>
      <c r="E32" s="303"/>
      <c r="F32" s="123"/>
      <c r="G32" s="123"/>
      <c r="H32" s="105"/>
      <c r="I32" s="105"/>
      <c r="J32" s="123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  <c r="CK32" s="121"/>
      <c r="CL32" s="121"/>
      <c r="CM32" s="121"/>
      <c r="CN32" s="121"/>
      <c r="CO32" s="121"/>
      <c r="CP32" s="121"/>
      <c r="CQ32" s="121"/>
      <c r="CR32" s="121"/>
      <c r="CS32" s="121"/>
      <c r="CT32" s="121"/>
      <c r="CU32" s="121"/>
      <c r="CV32" s="121"/>
      <c r="CW32" s="121"/>
      <c r="CX32" s="121"/>
      <c r="CY32" s="121"/>
      <c r="CZ32" s="121"/>
      <c r="DA32" s="121"/>
      <c r="DB32" s="121"/>
      <c r="DC32" s="121"/>
      <c r="DD32" s="121"/>
      <c r="DE32" s="121"/>
      <c r="DF32" s="121"/>
      <c r="DG32" s="121"/>
      <c r="DH32" s="121"/>
      <c r="DI32" s="121"/>
      <c r="DJ32" s="121"/>
      <c r="DK32" s="121"/>
      <c r="DL32" s="121"/>
      <c r="DM32" s="121"/>
      <c r="DN32" s="121"/>
      <c r="DO32" s="121"/>
      <c r="DP32" s="121"/>
      <c r="DQ32" s="121"/>
      <c r="DR32" s="121"/>
      <c r="DS32" s="121"/>
      <c r="DT32" s="121"/>
      <c r="DU32" s="121"/>
      <c r="DV32" s="121"/>
      <c r="DW32" s="121"/>
      <c r="DX32" s="121"/>
      <c r="DY32" s="121"/>
      <c r="DZ32" s="121"/>
      <c r="EA32" s="121"/>
      <c r="EB32" s="121"/>
      <c r="EC32" s="121"/>
      <c r="ED32" s="121"/>
      <c r="EE32" s="121"/>
      <c r="EF32" s="121"/>
      <c r="EG32" s="121"/>
      <c r="EH32" s="121"/>
      <c r="EI32" s="121"/>
      <c r="EJ32" s="121"/>
      <c r="EK32" s="121"/>
      <c r="EL32" s="121"/>
      <c r="EM32" s="121"/>
      <c r="EN32" s="121"/>
      <c r="EO32" s="121"/>
      <c r="EP32" s="121"/>
      <c r="EQ32" s="121"/>
      <c r="ER32" s="121"/>
      <c r="ES32" s="121"/>
      <c r="ET32" s="121"/>
      <c r="EU32" s="121"/>
      <c r="EV32" s="121"/>
      <c r="EW32" s="121"/>
      <c r="EX32" s="121"/>
      <c r="EY32" s="121"/>
      <c r="EZ32" s="121"/>
      <c r="FA32" s="121"/>
      <c r="FB32" s="121"/>
      <c r="FC32" s="121"/>
      <c r="FD32" s="121"/>
      <c r="FE32" s="121"/>
      <c r="FF32" s="121"/>
      <c r="FG32" s="121"/>
      <c r="FH32" s="121"/>
      <c r="FI32" s="121"/>
      <c r="FJ32" s="121"/>
      <c r="FK32" s="121"/>
      <c r="FL32" s="121"/>
      <c r="FM32" s="121"/>
      <c r="FN32" s="121"/>
      <c r="FO32" s="121"/>
      <c r="FP32" s="121"/>
      <c r="FQ32" s="121"/>
      <c r="FR32" s="121"/>
      <c r="FS32" s="121"/>
      <c r="FT32" s="121"/>
      <c r="FU32" s="121"/>
      <c r="FV32" s="121"/>
      <c r="FW32" s="121"/>
      <c r="FX32" s="121"/>
      <c r="FY32" s="121"/>
      <c r="FZ32" s="121"/>
      <c r="GA32" s="121"/>
      <c r="GB32" s="121"/>
      <c r="GC32" s="121"/>
      <c r="GD32" s="121"/>
      <c r="GE32" s="121"/>
      <c r="GF32" s="121"/>
      <c r="GG32" s="121"/>
      <c r="GH32" s="121"/>
      <c r="GI32" s="121"/>
      <c r="GJ32" s="121"/>
      <c r="GK32" s="121"/>
      <c r="GL32" s="121"/>
      <c r="GM32" s="121"/>
      <c r="GN32" s="121"/>
      <c r="GO32" s="121"/>
      <c r="GP32" s="121"/>
      <c r="GQ32" s="121"/>
      <c r="GR32" s="121"/>
      <c r="GS32" s="121"/>
      <c r="GT32" s="121"/>
      <c r="GU32" s="121"/>
      <c r="GV32" s="121"/>
      <c r="GW32" s="121"/>
      <c r="GX32" s="121"/>
      <c r="GY32" s="121"/>
      <c r="GZ32" s="121"/>
      <c r="HA32" s="121"/>
      <c r="HB32" s="121"/>
      <c r="HC32" s="121"/>
      <c r="HD32" s="121"/>
      <c r="HE32" s="121"/>
      <c r="HF32" s="121"/>
      <c r="HG32" s="121"/>
      <c r="HH32" s="121"/>
      <c r="HI32" s="121"/>
      <c r="HJ32" s="121"/>
      <c r="HK32" s="121"/>
      <c r="HL32" s="121"/>
      <c r="HM32" s="121"/>
      <c r="HN32" s="121"/>
      <c r="HO32" s="121"/>
      <c r="HP32" s="121"/>
      <c r="HQ32" s="121"/>
      <c r="HR32" s="121"/>
      <c r="HS32" s="121"/>
      <c r="HT32" s="121"/>
      <c r="HU32" s="121"/>
      <c r="HV32" s="121"/>
      <c r="HW32" s="121"/>
      <c r="HX32" s="121"/>
      <c r="HY32" s="121"/>
      <c r="HZ32" s="121"/>
      <c r="IA32" s="121"/>
      <c r="IB32" s="121"/>
      <c r="IC32" s="121"/>
      <c r="ID32" s="121"/>
      <c r="IE32" s="121"/>
      <c r="IF32" s="121"/>
      <c r="IG32" s="121"/>
      <c r="IH32" s="121"/>
      <c r="II32" s="121"/>
      <c r="IJ32" s="121"/>
      <c r="IK32" s="121"/>
      <c r="IL32" s="121"/>
      <c r="IM32" s="121"/>
      <c r="IN32" s="121"/>
      <c r="IO32" s="121"/>
      <c r="IP32" s="121"/>
      <c r="IQ32" s="121"/>
      <c r="IR32" s="121"/>
      <c r="IS32" s="121"/>
      <c r="IT32" s="121"/>
      <c r="IU32" s="121"/>
    </row>
    <row r="33" spans="1:255" x14ac:dyDescent="0.25">
      <c r="A33" s="125"/>
      <c r="B33" s="303" t="s">
        <v>833</v>
      </c>
      <c r="C33" s="303"/>
      <c r="D33" s="303"/>
      <c r="E33" s="303"/>
      <c r="F33" s="122"/>
      <c r="G33" s="303" t="s">
        <v>834</v>
      </c>
      <c r="H33" s="303"/>
      <c r="I33" s="304" t="s">
        <v>832</v>
      </c>
      <c r="J33" s="304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6"/>
      <c r="AX33" s="126"/>
      <c r="AY33" s="126"/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6"/>
      <c r="BK33" s="126"/>
      <c r="BL33" s="126"/>
      <c r="BM33" s="126"/>
      <c r="BN33" s="12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A33" s="126"/>
      <c r="CB33" s="126"/>
      <c r="CC33" s="126"/>
      <c r="CD33" s="126"/>
      <c r="CE33" s="126"/>
      <c r="CF33" s="126"/>
      <c r="CG33" s="126"/>
      <c r="CH33" s="126"/>
      <c r="CI33" s="126"/>
      <c r="CJ33" s="126"/>
      <c r="CK33" s="126"/>
      <c r="CL33" s="126"/>
      <c r="CM33" s="126"/>
      <c r="CN33" s="126"/>
      <c r="CO33" s="126"/>
      <c r="CP33" s="126"/>
      <c r="CQ33" s="126"/>
      <c r="CR33" s="126"/>
      <c r="CS33" s="126"/>
      <c r="CT33" s="126"/>
      <c r="CU33" s="126"/>
      <c r="CV33" s="126"/>
      <c r="CW33" s="126"/>
      <c r="CX33" s="126"/>
      <c r="CY33" s="126"/>
      <c r="CZ33" s="126"/>
      <c r="DA33" s="126"/>
      <c r="DB33" s="126"/>
      <c r="DC33" s="126"/>
      <c r="DD33" s="126"/>
      <c r="DE33" s="126"/>
      <c r="DF33" s="126"/>
      <c r="DG33" s="126"/>
      <c r="DH33" s="126"/>
      <c r="DI33" s="126"/>
      <c r="DJ33" s="126"/>
      <c r="DK33" s="126"/>
      <c r="DL33" s="126"/>
      <c r="DM33" s="126"/>
      <c r="DN33" s="126"/>
      <c r="DO33" s="126"/>
      <c r="DP33" s="126"/>
      <c r="DQ33" s="126"/>
      <c r="DR33" s="126"/>
      <c r="DS33" s="126"/>
      <c r="DT33" s="126"/>
      <c r="DU33" s="126"/>
      <c r="DV33" s="126"/>
      <c r="DW33" s="126"/>
      <c r="DX33" s="126"/>
      <c r="DY33" s="126"/>
      <c r="DZ33" s="126"/>
      <c r="EA33" s="126"/>
      <c r="EB33" s="126"/>
      <c r="EC33" s="126"/>
      <c r="ED33" s="126"/>
      <c r="EE33" s="126"/>
      <c r="EF33" s="126"/>
      <c r="EG33" s="126"/>
      <c r="EH33" s="126"/>
      <c r="EI33" s="126"/>
      <c r="EJ33" s="126"/>
      <c r="EK33" s="126"/>
      <c r="EL33" s="126"/>
      <c r="EM33" s="126"/>
      <c r="EN33" s="126"/>
      <c r="EO33" s="126"/>
      <c r="EP33" s="126"/>
      <c r="EQ33" s="126"/>
      <c r="ER33" s="126"/>
      <c r="ES33" s="126"/>
      <c r="ET33" s="126"/>
      <c r="EU33" s="126"/>
      <c r="EV33" s="126"/>
      <c r="EW33" s="126"/>
      <c r="EX33" s="126"/>
      <c r="EY33" s="126"/>
      <c r="EZ33" s="126"/>
      <c r="FA33" s="126"/>
      <c r="FB33" s="126"/>
      <c r="FC33" s="126"/>
      <c r="FD33" s="126"/>
      <c r="FE33" s="126"/>
      <c r="FF33" s="126"/>
      <c r="FG33" s="126"/>
      <c r="FH33" s="126"/>
      <c r="FI33" s="126"/>
      <c r="FJ33" s="126"/>
      <c r="FK33" s="126"/>
      <c r="FL33" s="126"/>
      <c r="FM33" s="126"/>
      <c r="FN33" s="126"/>
      <c r="FO33" s="126"/>
      <c r="FP33" s="126"/>
      <c r="FQ33" s="126"/>
      <c r="FR33" s="126"/>
      <c r="FS33" s="126"/>
      <c r="FT33" s="126"/>
      <c r="FU33" s="126"/>
      <c r="FV33" s="126"/>
      <c r="FW33" s="126"/>
      <c r="FX33" s="126"/>
      <c r="FY33" s="126"/>
      <c r="FZ33" s="126"/>
      <c r="GA33" s="126"/>
      <c r="GB33" s="126"/>
      <c r="GC33" s="126"/>
      <c r="GD33" s="126"/>
      <c r="GE33" s="126"/>
      <c r="GF33" s="126"/>
      <c r="GG33" s="126"/>
      <c r="GH33" s="126"/>
      <c r="GI33" s="126"/>
      <c r="GJ33" s="126"/>
      <c r="GK33" s="126"/>
      <c r="GL33" s="126"/>
      <c r="GM33" s="126"/>
      <c r="GN33" s="126"/>
      <c r="GO33" s="126"/>
      <c r="GP33" s="126"/>
      <c r="GQ33" s="126"/>
      <c r="GR33" s="126"/>
      <c r="GS33" s="126"/>
      <c r="GT33" s="126"/>
      <c r="GU33" s="126"/>
      <c r="GV33" s="126"/>
      <c r="GW33" s="126"/>
      <c r="GX33" s="126"/>
      <c r="GY33" s="126"/>
      <c r="GZ33" s="126"/>
      <c r="HA33" s="126"/>
      <c r="HB33" s="126"/>
      <c r="HC33" s="126"/>
      <c r="HD33" s="126"/>
      <c r="HE33" s="126"/>
      <c r="HF33" s="126"/>
      <c r="HG33" s="126"/>
      <c r="HH33" s="126"/>
      <c r="HI33" s="126"/>
      <c r="HJ33" s="126"/>
      <c r="HK33" s="126"/>
      <c r="HL33" s="126"/>
      <c r="HM33" s="126"/>
      <c r="HN33" s="126"/>
      <c r="HO33" s="126"/>
      <c r="HP33" s="126"/>
      <c r="HQ33" s="126"/>
      <c r="HR33" s="126"/>
      <c r="HS33" s="126"/>
      <c r="HT33" s="126"/>
      <c r="HU33" s="126"/>
      <c r="HV33" s="126"/>
      <c r="HW33" s="126"/>
      <c r="HX33" s="126"/>
      <c r="HY33" s="126"/>
      <c r="HZ33" s="126"/>
      <c r="IA33" s="126"/>
      <c r="IB33" s="126"/>
      <c r="IC33" s="126"/>
      <c r="ID33" s="126"/>
      <c r="IE33" s="126"/>
      <c r="IF33" s="126"/>
      <c r="IG33" s="126"/>
      <c r="IH33" s="126"/>
      <c r="II33" s="126"/>
      <c r="IJ33" s="126"/>
      <c r="IK33" s="126"/>
      <c r="IL33" s="126"/>
      <c r="IM33" s="126"/>
      <c r="IN33" s="126"/>
      <c r="IO33" s="126"/>
      <c r="IP33" s="126"/>
      <c r="IQ33" s="126"/>
      <c r="IR33" s="126"/>
      <c r="IS33" s="126"/>
      <c r="IT33" s="126"/>
      <c r="IU33" s="126"/>
    </row>
    <row r="34" spans="1:255" x14ac:dyDescent="0.25">
      <c r="A34" s="119"/>
      <c r="B34" s="132"/>
      <c r="C34" s="186"/>
      <c r="D34" s="133"/>
      <c r="E34" s="303"/>
      <c r="F34" s="303"/>
      <c r="G34" s="119"/>
      <c r="H34" s="105"/>
      <c r="I34" s="105"/>
      <c r="J34" s="119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  <c r="CK34" s="121"/>
      <c r="CL34" s="121"/>
      <c r="CM34" s="121"/>
      <c r="CN34" s="121"/>
      <c r="CO34" s="121"/>
      <c r="CP34" s="121"/>
      <c r="CQ34" s="121"/>
      <c r="CR34" s="121"/>
      <c r="CS34" s="121"/>
      <c r="CT34" s="121"/>
      <c r="CU34" s="121"/>
      <c r="CV34" s="121"/>
      <c r="CW34" s="121"/>
      <c r="CX34" s="121"/>
      <c r="CY34" s="121"/>
      <c r="CZ34" s="121"/>
      <c r="DA34" s="121"/>
      <c r="DB34" s="121"/>
      <c r="DC34" s="121"/>
      <c r="DD34" s="121"/>
      <c r="DE34" s="121"/>
      <c r="DF34" s="121"/>
      <c r="DG34" s="121"/>
      <c r="DH34" s="121"/>
      <c r="DI34" s="121"/>
      <c r="DJ34" s="121"/>
      <c r="DK34" s="121"/>
      <c r="DL34" s="121"/>
      <c r="DM34" s="121"/>
      <c r="DN34" s="121"/>
      <c r="DO34" s="121"/>
      <c r="DP34" s="121"/>
      <c r="DQ34" s="121"/>
      <c r="DR34" s="121"/>
      <c r="DS34" s="121"/>
      <c r="DT34" s="121"/>
      <c r="DU34" s="121"/>
      <c r="DV34" s="121"/>
      <c r="DW34" s="121"/>
      <c r="DX34" s="121"/>
      <c r="DY34" s="121"/>
      <c r="DZ34" s="121"/>
      <c r="EA34" s="121"/>
      <c r="EB34" s="121"/>
      <c r="EC34" s="121"/>
      <c r="ED34" s="121"/>
      <c r="EE34" s="121"/>
      <c r="EF34" s="121"/>
      <c r="EG34" s="121"/>
      <c r="EH34" s="121"/>
      <c r="EI34" s="121"/>
      <c r="EJ34" s="121"/>
      <c r="EK34" s="121"/>
      <c r="EL34" s="121"/>
      <c r="EM34" s="121"/>
      <c r="EN34" s="121"/>
      <c r="EO34" s="121"/>
      <c r="EP34" s="121"/>
      <c r="EQ34" s="121"/>
      <c r="ER34" s="121"/>
      <c r="ES34" s="121"/>
      <c r="ET34" s="121"/>
      <c r="EU34" s="121"/>
      <c r="EV34" s="121"/>
      <c r="EW34" s="121"/>
      <c r="EX34" s="121"/>
      <c r="EY34" s="121"/>
      <c r="EZ34" s="121"/>
      <c r="FA34" s="121"/>
      <c r="FB34" s="121"/>
      <c r="FC34" s="121"/>
      <c r="FD34" s="121"/>
      <c r="FE34" s="121"/>
      <c r="FF34" s="121"/>
      <c r="FG34" s="121"/>
      <c r="FH34" s="121"/>
      <c r="FI34" s="121"/>
      <c r="FJ34" s="121"/>
      <c r="FK34" s="121"/>
      <c r="FL34" s="121"/>
      <c r="FM34" s="121"/>
      <c r="FN34" s="121"/>
      <c r="FO34" s="121"/>
      <c r="FP34" s="121"/>
      <c r="FQ34" s="121"/>
      <c r="FR34" s="121"/>
      <c r="FS34" s="121"/>
      <c r="FT34" s="121"/>
      <c r="FU34" s="121"/>
      <c r="FV34" s="121"/>
      <c r="FW34" s="121"/>
      <c r="FX34" s="121"/>
      <c r="FY34" s="121"/>
      <c r="FZ34" s="121"/>
      <c r="GA34" s="121"/>
      <c r="GB34" s="121"/>
      <c r="GC34" s="121"/>
      <c r="GD34" s="121"/>
      <c r="GE34" s="121"/>
      <c r="GF34" s="121"/>
      <c r="GG34" s="121"/>
      <c r="GH34" s="121"/>
      <c r="GI34" s="121"/>
      <c r="GJ34" s="121"/>
      <c r="GK34" s="121"/>
      <c r="GL34" s="121"/>
      <c r="GM34" s="121"/>
      <c r="GN34" s="121"/>
      <c r="GO34" s="121"/>
      <c r="GP34" s="121"/>
      <c r="GQ34" s="121"/>
      <c r="GR34" s="121"/>
      <c r="GS34" s="121"/>
      <c r="GT34" s="121"/>
      <c r="GU34" s="121"/>
      <c r="GV34" s="121"/>
      <c r="GW34" s="121"/>
      <c r="GX34" s="121"/>
      <c r="GY34" s="121"/>
      <c r="GZ34" s="121"/>
      <c r="HA34" s="121"/>
      <c r="HB34" s="121"/>
      <c r="HC34" s="121"/>
      <c r="HD34" s="121"/>
      <c r="HE34" s="121"/>
      <c r="HF34" s="121"/>
      <c r="HG34" s="121"/>
      <c r="HH34" s="121"/>
      <c r="HI34" s="121"/>
      <c r="HJ34" s="121"/>
      <c r="HK34" s="121"/>
      <c r="HL34" s="121"/>
      <c r="HM34" s="121"/>
      <c r="HN34" s="121"/>
      <c r="HO34" s="121"/>
      <c r="HP34" s="121"/>
      <c r="HQ34" s="121"/>
      <c r="HR34" s="121"/>
      <c r="HS34" s="121"/>
      <c r="HT34" s="121"/>
      <c r="HU34" s="121"/>
      <c r="HV34" s="121"/>
      <c r="HW34" s="121"/>
      <c r="HX34" s="121"/>
      <c r="HY34" s="121"/>
      <c r="HZ34" s="121"/>
      <c r="IA34" s="121"/>
      <c r="IB34" s="121"/>
      <c r="IC34" s="121"/>
      <c r="ID34" s="121"/>
      <c r="IE34" s="121"/>
      <c r="IF34" s="121"/>
      <c r="IG34" s="121"/>
      <c r="IH34" s="121"/>
      <c r="II34" s="121"/>
      <c r="IJ34" s="121"/>
      <c r="IK34" s="121"/>
      <c r="IL34" s="121"/>
      <c r="IM34" s="121"/>
      <c r="IN34" s="121"/>
      <c r="IO34" s="121"/>
      <c r="IP34" s="121"/>
      <c r="IQ34" s="121"/>
      <c r="IR34" s="121"/>
      <c r="IS34" s="121"/>
      <c r="IT34" s="121"/>
      <c r="IU34" s="121"/>
    </row>
    <row r="35" spans="1:255" x14ac:dyDescent="0.25">
      <c r="A35" s="119"/>
      <c r="B35" s="132"/>
      <c r="C35" s="186"/>
      <c r="D35" s="133"/>
      <c r="E35" s="133"/>
      <c r="F35" s="133"/>
      <c r="G35" s="119"/>
      <c r="H35" s="105"/>
      <c r="I35" s="105"/>
      <c r="J35" s="119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  <c r="CK35" s="121"/>
      <c r="CL35" s="121"/>
      <c r="CM35" s="121"/>
      <c r="CN35" s="121"/>
      <c r="CO35" s="121"/>
      <c r="CP35" s="121"/>
      <c r="CQ35" s="121"/>
      <c r="CR35" s="121"/>
      <c r="CS35" s="121"/>
      <c r="CT35" s="121"/>
      <c r="CU35" s="121"/>
      <c r="CV35" s="121"/>
      <c r="CW35" s="121"/>
      <c r="CX35" s="121"/>
      <c r="CY35" s="121"/>
      <c r="CZ35" s="121"/>
      <c r="DA35" s="121"/>
      <c r="DB35" s="121"/>
      <c r="DC35" s="121"/>
      <c r="DD35" s="121"/>
      <c r="DE35" s="121"/>
      <c r="DF35" s="121"/>
      <c r="DG35" s="121"/>
      <c r="DH35" s="121"/>
      <c r="DI35" s="121"/>
      <c r="DJ35" s="121"/>
      <c r="DK35" s="121"/>
      <c r="DL35" s="121"/>
      <c r="DM35" s="121"/>
      <c r="DN35" s="121"/>
      <c r="DO35" s="121"/>
      <c r="DP35" s="121"/>
      <c r="DQ35" s="121"/>
      <c r="DR35" s="121"/>
      <c r="DS35" s="121"/>
      <c r="DT35" s="121"/>
      <c r="DU35" s="121"/>
      <c r="DV35" s="121"/>
      <c r="DW35" s="121"/>
      <c r="DX35" s="121"/>
      <c r="DY35" s="121"/>
      <c r="DZ35" s="121"/>
      <c r="EA35" s="121"/>
      <c r="EB35" s="121"/>
      <c r="EC35" s="121"/>
      <c r="ED35" s="121"/>
      <c r="EE35" s="121"/>
      <c r="EF35" s="121"/>
      <c r="EG35" s="121"/>
      <c r="EH35" s="121"/>
      <c r="EI35" s="121"/>
      <c r="EJ35" s="121"/>
      <c r="EK35" s="121"/>
      <c r="EL35" s="121"/>
      <c r="EM35" s="121"/>
      <c r="EN35" s="121"/>
      <c r="EO35" s="121"/>
      <c r="EP35" s="121"/>
      <c r="EQ35" s="121"/>
      <c r="ER35" s="121"/>
      <c r="ES35" s="121"/>
      <c r="ET35" s="121"/>
      <c r="EU35" s="121"/>
      <c r="EV35" s="121"/>
      <c r="EW35" s="121"/>
      <c r="EX35" s="121"/>
      <c r="EY35" s="121"/>
      <c r="EZ35" s="121"/>
      <c r="FA35" s="121"/>
      <c r="FB35" s="121"/>
      <c r="FC35" s="121"/>
      <c r="FD35" s="121"/>
      <c r="FE35" s="121"/>
      <c r="FF35" s="121"/>
      <c r="FG35" s="121"/>
      <c r="FH35" s="121"/>
      <c r="FI35" s="121"/>
      <c r="FJ35" s="121"/>
      <c r="FK35" s="121"/>
      <c r="FL35" s="121"/>
      <c r="FM35" s="121"/>
      <c r="FN35" s="121"/>
      <c r="FO35" s="121"/>
      <c r="FP35" s="121"/>
      <c r="FQ35" s="121"/>
      <c r="FR35" s="121"/>
      <c r="FS35" s="121"/>
      <c r="FT35" s="121"/>
      <c r="FU35" s="121"/>
      <c r="FV35" s="121"/>
      <c r="FW35" s="121"/>
      <c r="FX35" s="121"/>
      <c r="FY35" s="121"/>
      <c r="FZ35" s="121"/>
      <c r="GA35" s="121"/>
      <c r="GB35" s="121"/>
      <c r="GC35" s="121"/>
      <c r="GD35" s="121"/>
      <c r="GE35" s="121"/>
      <c r="GF35" s="121"/>
      <c r="GG35" s="121"/>
      <c r="GH35" s="121"/>
      <c r="GI35" s="121"/>
      <c r="GJ35" s="121"/>
      <c r="GK35" s="121"/>
      <c r="GL35" s="121"/>
      <c r="GM35" s="121"/>
      <c r="GN35" s="121"/>
      <c r="GO35" s="121"/>
      <c r="GP35" s="121"/>
      <c r="GQ35" s="121"/>
      <c r="GR35" s="121"/>
      <c r="GS35" s="121"/>
      <c r="GT35" s="121"/>
      <c r="GU35" s="121"/>
      <c r="GV35" s="121"/>
      <c r="GW35" s="121"/>
      <c r="GX35" s="121"/>
      <c r="GY35" s="121"/>
      <c r="GZ35" s="121"/>
      <c r="HA35" s="121"/>
      <c r="HB35" s="121"/>
      <c r="HC35" s="121"/>
      <c r="HD35" s="121"/>
      <c r="HE35" s="121"/>
      <c r="HF35" s="121"/>
      <c r="HG35" s="121"/>
      <c r="HH35" s="121"/>
      <c r="HI35" s="121"/>
      <c r="HJ35" s="121"/>
      <c r="HK35" s="121"/>
      <c r="HL35" s="121"/>
      <c r="HM35" s="121"/>
      <c r="HN35" s="121"/>
      <c r="HO35" s="121"/>
      <c r="HP35" s="121"/>
      <c r="HQ35" s="121"/>
      <c r="HR35" s="121"/>
      <c r="HS35" s="121"/>
      <c r="HT35" s="121"/>
      <c r="HU35" s="121"/>
      <c r="HV35" s="121"/>
      <c r="HW35" s="121"/>
      <c r="HX35" s="121"/>
      <c r="HY35" s="121"/>
      <c r="HZ35" s="121"/>
      <c r="IA35" s="121"/>
      <c r="IB35" s="121"/>
      <c r="IC35" s="121"/>
      <c r="ID35" s="121"/>
      <c r="IE35" s="121"/>
      <c r="IF35" s="121"/>
      <c r="IG35" s="121"/>
      <c r="IH35" s="121"/>
      <c r="II35" s="121"/>
      <c r="IJ35" s="121"/>
      <c r="IK35" s="121"/>
      <c r="IL35" s="121"/>
      <c r="IM35" s="121"/>
      <c r="IN35" s="121"/>
      <c r="IO35" s="121"/>
      <c r="IP35" s="121"/>
      <c r="IQ35" s="121"/>
      <c r="IR35" s="121"/>
      <c r="IS35" s="121"/>
      <c r="IT35" s="121"/>
      <c r="IU35" s="121"/>
    </row>
    <row r="36" spans="1:255" x14ac:dyDescent="0.25">
      <c r="A36" s="121"/>
      <c r="B36" s="134"/>
      <c r="C36" s="187"/>
      <c r="D36" s="135"/>
      <c r="E36" s="135"/>
      <c r="F36" s="135"/>
      <c r="G36" s="121"/>
      <c r="H36" s="121"/>
      <c r="I36" s="121"/>
      <c r="J36" s="136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  <c r="CK36" s="121"/>
      <c r="CL36" s="121"/>
      <c r="CM36" s="121"/>
      <c r="CN36" s="121"/>
      <c r="CO36" s="121"/>
      <c r="CP36" s="121"/>
      <c r="CQ36" s="121"/>
      <c r="CR36" s="121"/>
      <c r="CS36" s="121"/>
      <c r="CT36" s="121"/>
      <c r="CU36" s="121"/>
      <c r="CV36" s="121"/>
      <c r="CW36" s="121"/>
      <c r="CX36" s="121"/>
      <c r="CY36" s="121"/>
      <c r="CZ36" s="121"/>
      <c r="DA36" s="121"/>
      <c r="DB36" s="121"/>
      <c r="DC36" s="121"/>
      <c r="DD36" s="121"/>
      <c r="DE36" s="121"/>
      <c r="DF36" s="121"/>
      <c r="DG36" s="121"/>
      <c r="DH36" s="121"/>
      <c r="DI36" s="121"/>
      <c r="DJ36" s="121"/>
      <c r="DK36" s="121"/>
      <c r="DL36" s="121"/>
      <c r="DM36" s="121"/>
      <c r="DN36" s="121"/>
      <c r="DO36" s="121"/>
      <c r="DP36" s="121"/>
      <c r="DQ36" s="121"/>
      <c r="DR36" s="121"/>
      <c r="DS36" s="121"/>
      <c r="DT36" s="121"/>
      <c r="DU36" s="121"/>
      <c r="DV36" s="121"/>
      <c r="DW36" s="121"/>
      <c r="DX36" s="121"/>
      <c r="DY36" s="121"/>
      <c r="DZ36" s="121"/>
      <c r="EA36" s="121"/>
      <c r="EB36" s="121"/>
      <c r="EC36" s="121"/>
      <c r="ED36" s="121"/>
      <c r="EE36" s="121"/>
      <c r="EF36" s="121"/>
      <c r="EG36" s="121"/>
      <c r="EH36" s="121"/>
      <c r="EI36" s="121"/>
      <c r="EJ36" s="121"/>
      <c r="EK36" s="121"/>
      <c r="EL36" s="121"/>
      <c r="EM36" s="121"/>
      <c r="EN36" s="121"/>
      <c r="EO36" s="121"/>
      <c r="EP36" s="121"/>
      <c r="EQ36" s="121"/>
      <c r="ER36" s="121"/>
      <c r="ES36" s="121"/>
      <c r="ET36" s="121"/>
      <c r="EU36" s="121"/>
      <c r="EV36" s="121"/>
      <c r="EW36" s="121"/>
      <c r="EX36" s="121"/>
      <c r="EY36" s="121"/>
      <c r="EZ36" s="121"/>
      <c r="FA36" s="121"/>
      <c r="FB36" s="121"/>
      <c r="FC36" s="121"/>
      <c r="FD36" s="121"/>
      <c r="FE36" s="121"/>
      <c r="FF36" s="121"/>
      <c r="FG36" s="121"/>
      <c r="FH36" s="121"/>
      <c r="FI36" s="121"/>
      <c r="FJ36" s="121"/>
      <c r="FK36" s="121"/>
      <c r="FL36" s="121"/>
      <c r="FM36" s="121"/>
      <c r="FN36" s="121"/>
      <c r="FO36" s="121"/>
      <c r="FP36" s="121"/>
      <c r="FQ36" s="121"/>
      <c r="FR36" s="121"/>
      <c r="FS36" s="121"/>
      <c r="FT36" s="121"/>
      <c r="FU36" s="121"/>
      <c r="FV36" s="121"/>
      <c r="FW36" s="121"/>
      <c r="FX36" s="121"/>
      <c r="FY36" s="121"/>
      <c r="FZ36" s="121"/>
      <c r="GA36" s="121"/>
      <c r="GB36" s="121"/>
      <c r="GC36" s="121"/>
      <c r="GD36" s="121"/>
      <c r="GE36" s="121"/>
      <c r="GF36" s="121"/>
      <c r="GG36" s="121"/>
      <c r="GH36" s="121"/>
      <c r="GI36" s="121"/>
      <c r="GJ36" s="121"/>
      <c r="GK36" s="121"/>
      <c r="GL36" s="121"/>
      <c r="GM36" s="121"/>
      <c r="GN36" s="121"/>
      <c r="GO36" s="121"/>
      <c r="GP36" s="121"/>
      <c r="GQ36" s="121"/>
      <c r="GR36" s="121"/>
      <c r="GS36" s="121"/>
      <c r="GT36" s="121"/>
      <c r="GU36" s="121"/>
      <c r="GV36" s="121"/>
      <c r="GW36" s="121"/>
      <c r="GX36" s="121"/>
      <c r="GY36" s="121"/>
      <c r="GZ36" s="121"/>
      <c r="HA36" s="121"/>
      <c r="HB36" s="121"/>
      <c r="HC36" s="121"/>
      <c r="HD36" s="121"/>
      <c r="HE36" s="121"/>
      <c r="HF36" s="121"/>
      <c r="HG36" s="121"/>
      <c r="HH36" s="121"/>
      <c r="HI36" s="121"/>
      <c r="HJ36" s="121"/>
      <c r="HK36" s="121"/>
      <c r="HL36" s="121"/>
      <c r="HM36" s="121"/>
      <c r="HN36" s="121"/>
      <c r="HO36" s="121"/>
      <c r="HP36" s="121"/>
      <c r="HQ36" s="121"/>
      <c r="HR36" s="121"/>
      <c r="HS36" s="121"/>
      <c r="HT36" s="121"/>
      <c r="HU36" s="121"/>
      <c r="HV36" s="121"/>
      <c r="HW36" s="121"/>
      <c r="HX36" s="121"/>
      <c r="HY36" s="121"/>
      <c r="HZ36" s="121"/>
      <c r="IA36" s="121"/>
      <c r="IB36" s="121"/>
      <c r="IC36" s="121"/>
      <c r="ID36" s="121"/>
      <c r="IE36" s="121"/>
      <c r="IF36" s="121"/>
      <c r="IG36" s="121"/>
      <c r="IH36" s="121"/>
      <c r="II36" s="121"/>
      <c r="IJ36" s="121"/>
      <c r="IK36" s="121"/>
      <c r="IL36" s="121"/>
      <c r="IM36" s="121"/>
      <c r="IN36" s="121"/>
      <c r="IO36" s="121"/>
      <c r="IP36" s="121"/>
      <c r="IQ36" s="121"/>
      <c r="IR36" s="121"/>
      <c r="IS36" s="121"/>
      <c r="IT36" s="121"/>
      <c r="IU36" s="121"/>
    </row>
    <row r="37" spans="1:255" x14ac:dyDescent="0.25">
      <c r="A37" s="121"/>
      <c r="B37" s="134"/>
      <c r="C37" s="187" t="s">
        <v>4041</v>
      </c>
      <c r="D37" s="135"/>
      <c r="E37" s="135"/>
      <c r="F37" s="135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  <c r="CK37" s="121"/>
      <c r="CL37" s="121"/>
      <c r="CM37" s="121"/>
      <c r="CN37" s="121"/>
      <c r="CO37" s="121"/>
      <c r="CP37" s="121"/>
      <c r="CQ37" s="121"/>
      <c r="CR37" s="121"/>
      <c r="CS37" s="121"/>
      <c r="CT37" s="121"/>
      <c r="CU37" s="121"/>
      <c r="CV37" s="121"/>
      <c r="CW37" s="121"/>
      <c r="CX37" s="121"/>
      <c r="CY37" s="121"/>
      <c r="CZ37" s="121"/>
      <c r="DA37" s="121"/>
      <c r="DB37" s="121"/>
      <c r="DC37" s="121"/>
      <c r="DD37" s="121"/>
      <c r="DE37" s="121"/>
      <c r="DF37" s="121"/>
      <c r="DG37" s="121"/>
      <c r="DH37" s="121"/>
      <c r="DI37" s="121"/>
      <c r="DJ37" s="121"/>
      <c r="DK37" s="121"/>
      <c r="DL37" s="121"/>
      <c r="DM37" s="121"/>
      <c r="DN37" s="121"/>
      <c r="DO37" s="121"/>
      <c r="DP37" s="121"/>
      <c r="DQ37" s="121"/>
      <c r="DR37" s="121"/>
      <c r="DS37" s="121"/>
      <c r="DT37" s="121"/>
      <c r="DU37" s="121"/>
      <c r="DV37" s="121"/>
      <c r="DW37" s="121"/>
      <c r="DX37" s="121"/>
      <c r="DY37" s="121"/>
      <c r="DZ37" s="121"/>
      <c r="EA37" s="121"/>
      <c r="EB37" s="121"/>
      <c r="EC37" s="121"/>
      <c r="ED37" s="121"/>
      <c r="EE37" s="121"/>
      <c r="EF37" s="121"/>
      <c r="EG37" s="121"/>
      <c r="EH37" s="121"/>
      <c r="EI37" s="121"/>
      <c r="EJ37" s="121"/>
      <c r="EK37" s="121"/>
      <c r="EL37" s="121"/>
      <c r="EM37" s="121"/>
      <c r="EN37" s="121"/>
      <c r="EO37" s="121"/>
      <c r="EP37" s="121"/>
      <c r="EQ37" s="121"/>
      <c r="ER37" s="121"/>
      <c r="ES37" s="121"/>
      <c r="ET37" s="121"/>
      <c r="EU37" s="121"/>
      <c r="EV37" s="121"/>
      <c r="EW37" s="121"/>
      <c r="EX37" s="121"/>
      <c r="EY37" s="121"/>
      <c r="EZ37" s="121"/>
      <c r="FA37" s="121"/>
      <c r="FB37" s="121"/>
      <c r="FC37" s="121"/>
      <c r="FD37" s="121"/>
      <c r="FE37" s="121"/>
      <c r="FF37" s="121"/>
      <c r="FG37" s="121"/>
      <c r="FH37" s="121"/>
      <c r="FI37" s="121"/>
      <c r="FJ37" s="121"/>
      <c r="FK37" s="121"/>
      <c r="FL37" s="121"/>
      <c r="FM37" s="121"/>
      <c r="FN37" s="121"/>
      <c r="FO37" s="121"/>
      <c r="FP37" s="121"/>
      <c r="FQ37" s="121"/>
      <c r="FR37" s="121"/>
      <c r="FS37" s="121"/>
      <c r="FT37" s="121"/>
      <c r="FU37" s="121"/>
      <c r="FV37" s="121"/>
      <c r="FW37" s="121"/>
      <c r="FX37" s="121"/>
      <c r="FY37" s="121"/>
      <c r="FZ37" s="121"/>
      <c r="GA37" s="121"/>
      <c r="GB37" s="121"/>
      <c r="GC37" s="121"/>
      <c r="GD37" s="121"/>
      <c r="GE37" s="121"/>
      <c r="GF37" s="121"/>
      <c r="GG37" s="121"/>
      <c r="GH37" s="121"/>
      <c r="GI37" s="121"/>
      <c r="GJ37" s="121"/>
      <c r="GK37" s="121"/>
      <c r="GL37" s="121"/>
      <c r="GM37" s="121"/>
      <c r="GN37" s="121"/>
      <c r="GO37" s="121"/>
      <c r="GP37" s="121"/>
      <c r="GQ37" s="121"/>
      <c r="GR37" s="121"/>
      <c r="GS37" s="121"/>
      <c r="GT37" s="121"/>
      <c r="GU37" s="121"/>
      <c r="GV37" s="121"/>
      <c r="GW37" s="121"/>
      <c r="GX37" s="121"/>
      <c r="GY37" s="121"/>
      <c r="GZ37" s="121"/>
      <c r="HA37" s="121"/>
      <c r="HB37" s="121"/>
      <c r="HC37" s="121"/>
      <c r="HD37" s="121"/>
      <c r="HE37" s="121"/>
      <c r="HF37" s="121"/>
      <c r="HG37" s="121"/>
      <c r="HH37" s="121"/>
      <c r="HI37" s="121"/>
      <c r="HJ37" s="121"/>
      <c r="HK37" s="121"/>
      <c r="HL37" s="121"/>
      <c r="HM37" s="121"/>
      <c r="HN37" s="121"/>
      <c r="HO37" s="121"/>
      <c r="HP37" s="121"/>
      <c r="HQ37" s="121"/>
      <c r="HR37" s="121"/>
      <c r="HS37" s="121"/>
      <c r="HT37" s="121"/>
      <c r="HU37" s="121"/>
      <c r="HV37" s="121"/>
      <c r="HW37" s="121"/>
      <c r="HX37" s="121"/>
      <c r="HY37" s="121"/>
      <c r="HZ37" s="121"/>
      <c r="IA37" s="121"/>
      <c r="IB37" s="121"/>
      <c r="IC37" s="121"/>
      <c r="ID37" s="121"/>
      <c r="IE37" s="121"/>
      <c r="IF37" s="121"/>
      <c r="IG37" s="121"/>
      <c r="IH37" s="121"/>
      <c r="II37" s="121"/>
      <c r="IJ37" s="121"/>
      <c r="IK37" s="121"/>
      <c r="IL37" s="121"/>
      <c r="IM37" s="121"/>
      <c r="IN37" s="121"/>
      <c r="IO37" s="121"/>
      <c r="IP37" s="121"/>
      <c r="IQ37" s="121"/>
      <c r="IR37" s="121"/>
      <c r="IS37" s="121"/>
      <c r="IT37" s="121"/>
      <c r="IU37" s="121"/>
    </row>
    <row r="38" spans="1:255" x14ac:dyDescent="0.25">
      <c r="A38" s="121"/>
      <c r="B38" s="134"/>
      <c r="C38" s="187"/>
      <c r="D38" s="135"/>
      <c r="E38" s="135"/>
      <c r="F38" s="135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121"/>
      <c r="DA38" s="121"/>
      <c r="DB38" s="121"/>
      <c r="DC38" s="121"/>
      <c r="DD38" s="121"/>
      <c r="DE38" s="121"/>
      <c r="DF38" s="121"/>
      <c r="DG38" s="121"/>
      <c r="DH38" s="121"/>
      <c r="DI38" s="121"/>
      <c r="DJ38" s="121"/>
      <c r="DK38" s="121"/>
      <c r="DL38" s="121"/>
      <c r="DM38" s="121"/>
      <c r="DN38" s="121"/>
      <c r="DO38" s="121"/>
      <c r="DP38" s="121"/>
      <c r="DQ38" s="121"/>
      <c r="DR38" s="121"/>
      <c r="DS38" s="121"/>
      <c r="DT38" s="121"/>
      <c r="DU38" s="121"/>
      <c r="DV38" s="121"/>
      <c r="DW38" s="121"/>
      <c r="DX38" s="121"/>
      <c r="DY38" s="121"/>
      <c r="DZ38" s="121"/>
      <c r="EA38" s="121"/>
      <c r="EB38" s="121"/>
      <c r="EC38" s="121"/>
      <c r="ED38" s="121"/>
      <c r="EE38" s="121"/>
      <c r="EF38" s="121"/>
      <c r="EG38" s="121"/>
      <c r="EH38" s="121"/>
      <c r="EI38" s="121"/>
      <c r="EJ38" s="121"/>
      <c r="EK38" s="121"/>
      <c r="EL38" s="121"/>
      <c r="EM38" s="121"/>
      <c r="EN38" s="121"/>
      <c r="EO38" s="121"/>
      <c r="EP38" s="121"/>
      <c r="EQ38" s="121"/>
      <c r="ER38" s="121"/>
      <c r="ES38" s="121"/>
      <c r="ET38" s="121"/>
      <c r="EU38" s="121"/>
      <c r="EV38" s="121"/>
      <c r="EW38" s="121"/>
      <c r="EX38" s="121"/>
      <c r="EY38" s="121"/>
      <c r="EZ38" s="121"/>
      <c r="FA38" s="121"/>
      <c r="FB38" s="121"/>
      <c r="FC38" s="121"/>
      <c r="FD38" s="121"/>
      <c r="FE38" s="121"/>
      <c r="FF38" s="121"/>
      <c r="FG38" s="121"/>
      <c r="FH38" s="121"/>
      <c r="FI38" s="121"/>
      <c r="FJ38" s="121"/>
      <c r="FK38" s="121"/>
      <c r="FL38" s="121"/>
      <c r="FM38" s="121"/>
      <c r="FN38" s="121"/>
      <c r="FO38" s="121"/>
      <c r="FP38" s="121"/>
      <c r="FQ38" s="121"/>
      <c r="FR38" s="121"/>
      <c r="FS38" s="121"/>
      <c r="FT38" s="121"/>
      <c r="FU38" s="121"/>
      <c r="FV38" s="121"/>
      <c r="FW38" s="121"/>
      <c r="FX38" s="121"/>
      <c r="FY38" s="121"/>
      <c r="FZ38" s="121"/>
      <c r="GA38" s="121"/>
      <c r="GB38" s="121"/>
      <c r="GC38" s="121"/>
      <c r="GD38" s="121"/>
      <c r="GE38" s="121"/>
      <c r="GF38" s="121"/>
      <c r="GG38" s="121"/>
      <c r="GH38" s="121"/>
      <c r="GI38" s="121"/>
      <c r="GJ38" s="121"/>
      <c r="GK38" s="121"/>
      <c r="GL38" s="121"/>
      <c r="GM38" s="121"/>
      <c r="GN38" s="121"/>
      <c r="GO38" s="121"/>
      <c r="GP38" s="121"/>
      <c r="GQ38" s="121"/>
      <c r="GR38" s="121"/>
      <c r="GS38" s="121"/>
      <c r="GT38" s="121"/>
      <c r="GU38" s="121"/>
      <c r="GV38" s="121"/>
      <c r="GW38" s="121"/>
      <c r="GX38" s="121"/>
      <c r="GY38" s="121"/>
      <c r="GZ38" s="121"/>
      <c r="HA38" s="121"/>
      <c r="HB38" s="121"/>
      <c r="HC38" s="121"/>
      <c r="HD38" s="121"/>
      <c r="HE38" s="121"/>
      <c r="HF38" s="121"/>
      <c r="HG38" s="121"/>
      <c r="HH38" s="121"/>
      <c r="HI38" s="121"/>
      <c r="HJ38" s="121"/>
      <c r="HK38" s="121"/>
      <c r="HL38" s="121"/>
      <c r="HM38" s="121"/>
      <c r="HN38" s="121"/>
      <c r="HO38" s="121"/>
      <c r="HP38" s="121"/>
      <c r="HQ38" s="121"/>
      <c r="HR38" s="121"/>
      <c r="HS38" s="121"/>
      <c r="HT38" s="121"/>
      <c r="HU38" s="121"/>
      <c r="HV38" s="121"/>
      <c r="HW38" s="121"/>
      <c r="HX38" s="121"/>
      <c r="HY38" s="121"/>
      <c r="HZ38" s="121"/>
      <c r="IA38" s="121"/>
      <c r="IB38" s="121"/>
      <c r="IC38" s="121"/>
      <c r="ID38" s="121"/>
      <c r="IE38" s="121"/>
      <c r="IF38" s="121"/>
      <c r="IG38" s="121"/>
      <c r="IH38" s="121"/>
      <c r="II38" s="121"/>
      <c r="IJ38" s="121"/>
      <c r="IK38" s="121"/>
      <c r="IL38" s="121"/>
      <c r="IM38" s="121"/>
      <c r="IN38" s="121"/>
      <c r="IO38" s="121"/>
      <c r="IP38" s="121"/>
      <c r="IQ38" s="121"/>
      <c r="IR38" s="121"/>
      <c r="IS38" s="121"/>
      <c r="IT38" s="121"/>
      <c r="IU38" s="121"/>
    </row>
    <row r="39" spans="1:255" x14ac:dyDescent="0.25">
      <c r="A39" s="121"/>
      <c r="B39" s="134"/>
      <c r="C39" s="187"/>
      <c r="D39" s="135"/>
      <c r="E39" s="135"/>
      <c r="F39" s="135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1"/>
      <c r="AX39" s="121"/>
      <c r="AY39" s="121"/>
      <c r="AZ39" s="121"/>
      <c r="BA39" s="121"/>
      <c r="BB39" s="121"/>
      <c r="BC39" s="121"/>
      <c r="BD39" s="121"/>
      <c r="BE39" s="121"/>
      <c r="BF39" s="121"/>
      <c r="BG39" s="121"/>
      <c r="BH39" s="121"/>
      <c r="BI39" s="121"/>
      <c r="BJ39" s="121"/>
      <c r="BK39" s="121"/>
      <c r="BL39" s="121"/>
      <c r="BM39" s="121"/>
      <c r="BN39" s="121"/>
      <c r="BO39" s="121"/>
      <c r="BP39" s="121"/>
      <c r="BQ39" s="121"/>
      <c r="BR39" s="121"/>
      <c r="BS39" s="121"/>
      <c r="BT39" s="121"/>
      <c r="BU39" s="121"/>
      <c r="BV39" s="121"/>
      <c r="BW39" s="121"/>
      <c r="BX39" s="121"/>
      <c r="BY39" s="121"/>
      <c r="BZ39" s="121"/>
      <c r="CA39" s="121"/>
      <c r="CB39" s="121"/>
      <c r="CC39" s="121"/>
      <c r="CD39" s="121"/>
      <c r="CE39" s="121"/>
      <c r="CF39" s="121"/>
      <c r="CG39" s="121"/>
      <c r="CH39" s="121"/>
      <c r="CI39" s="121"/>
      <c r="CJ39" s="121"/>
      <c r="CK39" s="121"/>
      <c r="CL39" s="121"/>
      <c r="CM39" s="121"/>
      <c r="CN39" s="121"/>
      <c r="CO39" s="121"/>
      <c r="CP39" s="121"/>
      <c r="CQ39" s="121"/>
      <c r="CR39" s="121"/>
      <c r="CS39" s="121"/>
      <c r="CT39" s="121"/>
      <c r="CU39" s="121"/>
      <c r="CV39" s="121"/>
      <c r="CW39" s="121"/>
      <c r="CX39" s="121"/>
      <c r="CY39" s="121"/>
      <c r="CZ39" s="121"/>
      <c r="DA39" s="121"/>
      <c r="DB39" s="121"/>
      <c r="DC39" s="121"/>
      <c r="DD39" s="121"/>
      <c r="DE39" s="121"/>
      <c r="DF39" s="121"/>
      <c r="DG39" s="121"/>
      <c r="DH39" s="121"/>
      <c r="DI39" s="121"/>
      <c r="DJ39" s="121"/>
      <c r="DK39" s="121"/>
      <c r="DL39" s="121"/>
      <c r="DM39" s="121"/>
      <c r="DN39" s="121"/>
      <c r="DO39" s="121"/>
      <c r="DP39" s="121"/>
      <c r="DQ39" s="121"/>
      <c r="DR39" s="121"/>
      <c r="DS39" s="121"/>
      <c r="DT39" s="121"/>
      <c r="DU39" s="121"/>
      <c r="DV39" s="121"/>
      <c r="DW39" s="121"/>
      <c r="DX39" s="121"/>
      <c r="DY39" s="121"/>
      <c r="DZ39" s="121"/>
      <c r="EA39" s="121"/>
      <c r="EB39" s="121"/>
      <c r="EC39" s="121"/>
      <c r="ED39" s="121"/>
      <c r="EE39" s="121"/>
      <c r="EF39" s="121"/>
      <c r="EG39" s="121"/>
      <c r="EH39" s="121"/>
      <c r="EI39" s="121"/>
      <c r="EJ39" s="121"/>
      <c r="EK39" s="121"/>
      <c r="EL39" s="121"/>
      <c r="EM39" s="121"/>
      <c r="EN39" s="121"/>
      <c r="EO39" s="121"/>
      <c r="EP39" s="121"/>
      <c r="EQ39" s="121"/>
      <c r="ER39" s="121"/>
      <c r="ES39" s="121"/>
      <c r="ET39" s="121"/>
      <c r="EU39" s="121"/>
      <c r="EV39" s="121"/>
      <c r="EW39" s="121"/>
      <c r="EX39" s="121"/>
      <c r="EY39" s="121"/>
      <c r="EZ39" s="121"/>
      <c r="FA39" s="121"/>
      <c r="FB39" s="121"/>
      <c r="FC39" s="121"/>
      <c r="FD39" s="121"/>
      <c r="FE39" s="121"/>
      <c r="FF39" s="121"/>
      <c r="FG39" s="121"/>
      <c r="FH39" s="121"/>
      <c r="FI39" s="121"/>
      <c r="FJ39" s="121"/>
      <c r="FK39" s="121"/>
      <c r="FL39" s="121"/>
      <c r="FM39" s="121"/>
      <c r="FN39" s="121"/>
      <c r="FO39" s="121"/>
      <c r="FP39" s="121"/>
      <c r="FQ39" s="121"/>
      <c r="FR39" s="121"/>
      <c r="FS39" s="121"/>
      <c r="FT39" s="121"/>
      <c r="FU39" s="121"/>
      <c r="FV39" s="121"/>
      <c r="FW39" s="121"/>
      <c r="FX39" s="121"/>
      <c r="FY39" s="121"/>
      <c r="FZ39" s="121"/>
      <c r="GA39" s="121"/>
      <c r="GB39" s="121"/>
      <c r="GC39" s="121"/>
      <c r="GD39" s="121"/>
      <c r="GE39" s="121"/>
      <c r="GF39" s="121"/>
      <c r="GG39" s="121"/>
      <c r="GH39" s="121"/>
      <c r="GI39" s="121"/>
      <c r="GJ39" s="121"/>
      <c r="GK39" s="121"/>
      <c r="GL39" s="121"/>
      <c r="GM39" s="121"/>
      <c r="GN39" s="121"/>
      <c r="GO39" s="121"/>
      <c r="GP39" s="121"/>
      <c r="GQ39" s="121"/>
      <c r="GR39" s="121"/>
      <c r="GS39" s="121"/>
      <c r="GT39" s="121"/>
      <c r="GU39" s="121"/>
      <c r="GV39" s="121"/>
      <c r="GW39" s="121"/>
      <c r="GX39" s="121"/>
      <c r="GY39" s="121"/>
      <c r="GZ39" s="121"/>
      <c r="HA39" s="121"/>
      <c r="HB39" s="121"/>
      <c r="HC39" s="121"/>
      <c r="HD39" s="121"/>
      <c r="HE39" s="121"/>
      <c r="HF39" s="121"/>
      <c r="HG39" s="121"/>
      <c r="HH39" s="121"/>
      <c r="HI39" s="121"/>
      <c r="HJ39" s="121"/>
      <c r="HK39" s="121"/>
      <c r="HL39" s="121"/>
      <c r="HM39" s="121"/>
      <c r="HN39" s="121"/>
      <c r="HO39" s="121"/>
      <c r="HP39" s="121"/>
      <c r="HQ39" s="121"/>
      <c r="HR39" s="121"/>
      <c r="HS39" s="121"/>
      <c r="HT39" s="121"/>
      <c r="HU39" s="121"/>
      <c r="HV39" s="121"/>
      <c r="HW39" s="121"/>
      <c r="HX39" s="121"/>
      <c r="HY39" s="121"/>
      <c r="HZ39" s="121"/>
      <c r="IA39" s="121"/>
      <c r="IB39" s="121"/>
      <c r="IC39" s="121"/>
      <c r="ID39" s="121"/>
      <c r="IE39" s="121"/>
      <c r="IF39" s="121"/>
      <c r="IG39" s="121"/>
      <c r="IH39" s="121"/>
      <c r="II39" s="121"/>
      <c r="IJ39" s="121"/>
      <c r="IK39" s="121"/>
      <c r="IL39" s="121"/>
      <c r="IM39" s="121"/>
      <c r="IN39" s="121"/>
      <c r="IO39" s="121"/>
      <c r="IP39" s="121"/>
      <c r="IQ39" s="121"/>
      <c r="IR39" s="121"/>
      <c r="IS39" s="121"/>
      <c r="IT39" s="121"/>
      <c r="IU39" s="121"/>
    </row>
    <row r="40" spans="1:255" x14ac:dyDescent="0.25">
      <c r="D40" s="127"/>
      <c r="E40" s="127"/>
      <c r="F40" s="104"/>
      <c r="G40" s="105"/>
      <c r="H40" s="105"/>
      <c r="I40" s="105"/>
    </row>
    <row r="41" spans="1:255" x14ac:dyDescent="0.25">
      <c r="D41" s="127"/>
      <c r="E41" s="127"/>
      <c r="F41" s="104"/>
      <c r="G41" s="105"/>
      <c r="H41" s="105"/>
      <c r="I41" s="105"/>
    </row>
    <row r="42" spans="1:255" x14ac:dyDescent="0.25">
      <c r="D42" s="127"/>
      <c r="E42" s="127"/>
      <c r="F42" s="104"/>
      <c r="G42" s="105"/>
      <c r="H42" s="105"/>
      <c r="I42" s="105"/>
    </row>
    <row r="43" spans="1:255" x14ac:dyDescent="0.25">
      <c r="D43" s="127"/>
      <c r="E43" s="127"/>
      <c r="F43" s="104"/>
      <c r="G43" s="105"/>
      <c r="H43" s="105"/>
      <c r="I43" s="105"/>
    </row>
    <row r="44" spans="1:255" x14ac:dyDescent="0.25">
      <c r="D44" s="127"/>
      <c r="E44" s="127"/>
      <c r="F44" s="104"/>
      <c r="G44" s="105"/>
      <c r="H44" s="105"/>
      <c r="I44" s="105"/>
    </row>
    <row r="45" spans="1:255" x14ac:dyDescent="0.25">
      <c r="A45" s="130"/>
      <c r="B45" s="130"/>
      <c r="D45" s="127"/>
      <c r="E45" s="127"/>
      <c r="F45" s="104"/>
      <c r="G45" s="105"/>
      <c r="H45" s="105"/>
      <c r="I45" s="105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  <c r="AL45" s="130"/>
      <c r="AM45" s="130"/>
      <c r="AN45" s="130"/>
      <c r="AO45" s="130"/>
      <c r="AP45" s="130"/>
      <c r="AQ45" s="130"/>
      <c r="AR45" s="130"/>
      <c r="AS45" s="130"/>
      <c r="AT45" s="130"/>
      <c r="AU45" s="130"/>
      <c r="AV45" s="130"/>
      <c r="AW45" s="130"/>
      <c r="AX45" s="130"/>
      <c r="AY45" s="130"/>
      <c r="AZ45" s="130"/>
      <c r="BA45" s="130"/>
      <c r="BB45" s="130"/>
      <c r="BC45" s="130"/>
      <c r="BD45" s="130"/>
      <c r="BE45" s="130"/>
      <c r="BF45" s="130"/>
      <c r="BG45" s="130"/>
      <c r="BH45" s="130"/>
      <c r="BI45" s="130"/>
      <c r="BJ45" s="130"/>
      <c r="BK45" s="130"/>
      <c r="BL45" s="130"/>
      <c r="BM45" s="130"/>
      <c r="BN45" s="130"/>
      <c r="BO45" s="130"/>
      <c r="BP45" s="130"/>
      <c r="BQ45" s="130"/>
      <c r="BR45" s="130"/>
      <c r="BS45" s="130"/>
      <c r="BT45" s="130"/>
      <c r="BU45" s="130"/>
      <c r="BV45" s="130"/>
      <c r="BW45" s="130"/>
      <c r="BX45" s="130"/>
      <c r="BY45" s="130"/>
      <c r="BZ45" s="130"/>
      <c r="CA45" s="130"/>
      <c r="CB45" s="130"/>
      <c r="CC45" s="130"/>
      <c r="CD45" s="130"/>
      <c r="CE45" s="130"/>
      <c r="CF45" s="130"/>
      <c r="CG45" s="130"/>
      <c r="CH45" s="130"/>
      <c r="CI45" s="130"/>
      <c r="CJ45" s="130"/>
      <c r="CK45" s="130"/>
      <c r="CL45" s="130"/>
      <c r="CM45" s="130"/>
      <c r="CN45" s="130"/>
      <c r="CO45" s="130"/>
      <c r="CP45" s="130"/>
      <c r="CQ45" s="130"/>
      <c r="CR45" s="130"/>
      <c r="CS45" s="130"/>
      <c r="CT45" s="130"/>
      <c r="CU45" s="130"/>
      <c r="CV45" s="130"/>
      <c r="CW45" s="130"/>
      <c r="CX45" s="130"/>
      <c r="CY45" s="130"/>
      <c r="CZ45" s="130"/>
      <c r="DA45" s="130"/>
      <c r="DB45" s="130"/>
      <c r="DC45" s="130"/>
      <c r="DD45" s="130"/>
      <c r="DE45" s="130"/>
      <c r="DF45" s="130"/>
      <c r="DG45" s="130"/>
      <c r="DH45" s="130"/>
      <c r="DI45" s="130"/>
      <c r="DJ45" s="130"/>
      <c r="DK45" s="130"/>
      <c r="DL45" s="130"/>
      <c r="DM45" s="130"/>
      <c r="DN45" s="130"/>
      <c r="DO45" s="130"/>
      <c r="DP45" s="130"/>
      <c r="DQ45" s="130"/>
      <c r="DR45" s="130"/>
      <c r="DS45" s="130"/>
      <c r="DT45" s="130"/>
      <c r="DU45" s="130"/>
      <c r="DV45" s="130"/>
      <c r="DW45" s="130"/>
      <c r="DX45" s="130"/>
      <c r="DY45" s="130"/>
      <c r="DZ45" s="130"/>
      <c r="EA45" s="130"/>
      <c r="EB45" s="130"/>
      <c r="EC45" s="130"/>
      <c r="ED45" s="130"/>
      <c r="EE45" s="130"/>
      <c r="EF45" s="130"/>
      <c r="EG45" s="130"/>
      <c r="EH45" s="130"/>
      <c r="EI45" s="130"/>
      <c r="EJ45" s="130"/>
      <c r="EK45" s="130"/>
      <c r="EL45" s="130"/>
      <c r="EM45" s="130"/>
      <c r="EN45" s="130"/>
      <c r="EO45" s="130"/>
      <c r="EP45" s="130"/>
      <c r="EQ45" s="130"/>
      <c r="ER45" s="130"/>
      <c r="ES45" s="130"/>
      <c r="ET45" s="130"/>
      <c r="EU45" s="130"/>
      <c r="EV45" s="130"/>
      <c r="EW45" s="130"/>
      <c r="EX45" s="130"/>
      <c r="EY45" s="130"/>
      <c r="EZ45" s="130"/>
      <c r="FA45" s="130"/>
      <c r="FB45" s="130"/>
      <c r="FC45" s="130"/>
      <c r="FD45" s="130"/>
      <c r="FE45" s="130"/>
      <c r="FF45" s="130"/>
      <c r="FG45" s="130"/>
      <c r="FH45" s="130"/>
      <c r="FI45" s="130"/>
      <c r="FJ45" s="130"/>
      <c r="FK45" s="130"/>
      <c r="FL45" s="130"/>
      <c r="FM45" s="130"/>
      <c r="FN45" s="130"/>
      <c r="FO45" s="130"/>
      <c r="FP45" s="130"/>
      <c r="FQ45" s="130"/>
      <c r="FR45" s="130"/>
      <c r="FS45" s="130"/>
      <c r="FT45" s="130"/>
      <c r="FU45" s="130"/>
      <c r="FV45" s="130"/>
      <c r="FW45" s="130"/>
      <c r="FX45" s="130"/>
      <c r="FY45" s="130"/>
      <c r="FZ45" s="130"/>
      <c r="GA45" s="130"/>
      <c r="GB45" s="130"/>
      <c r="GC45" s="130"/>
      <c r="GD45" s="130"/>
      <c r="GE45" s="130"/>
      <c r="GF45" s="130"/>
      <c r="GG45" s="130"/>
      <c r="GH45" s="130"/>
      <c r="GI45" s="130"/>
      <c r="GJ45" s="130"/>
      <c r="GK45" s="130"/>
      <c r="GL45" s="130"/>
      <c r="GM45" s="130"/>
      <c r="GN45" s="130"/>
      <c r="GO45" s="130"/>
      <c r="GP45" s="130"/>
      <c r="GQ45" s="130"/>
      <c r="GR45" s="130"/>
      <c r="GS45" s="130"/>
      <c r="GT45" s="130"/>
      <c r="GU45" s="130"/>
      <c r="GV45" s="130"/>
      <c r="GW45" s="130"/>
      <c r="GX45" s="130"/>
      <c r="GY45" s="130"/>
      <c r="GZ45" s="130"/>
      <c r="HA45" s="130"/>
      <c r="HB45" s="130"/>
      <c r="HC45" s="130"/>
      <c r="HD45" s="130"/>
      <c r="HE45" s="130"/>
      <c r="HF45" s="130"/>
      <c r="HG45" s="130"/>
      <c r="HH45" s="130"/>
      <c r="HI45" s="130"/>
      <c r="HJ45" s="130"/>
      <c r="HK45" s="130"/>
      <c r="HL45" s="130"/>
      <c r="HM45" s="130"/>
      <c r="HN45" s="130"/>
      <c r="HO45" s="130"/>
      <c r="HP45" s="130"/>
      <c r="HQ45" s="130"/>
      <c r="HR45" s="130"/>
      <c r="HS45" s="130"/>
      <c r="HT45" s="130"/>
      <c r="HU45" s="130"/>
      <c r="HV45" s="130"/>
      <c r="HW45" s="130"/>
      <c r="HX45" s="130"/>
      <c r="HY45" s="130"/>
      <c r="HZ45" s="130"/>
      <c r="IA45" s="130"/>
      <c r="IB45" s="130"/>
      <c r="IC45" s="130"/>
      <c r="ID45" s="130"/>
      <c r="IE45" s="130"/>
      <c r="IF45" s="130"/>
      <c r="IG45" s="130"/>
      <c r="IH45" s="130"/>
      <c r="II45" s="130"/>
      <c r="IJ45" s="130"/>
      <c r="IK45" s="130"/>
      <c r="IL45" s="130"/>
      <c r="IM45" s="130"/>
      <c r="IN45" s="130"/>
      <c r="IO45" s="130"/>
      <c r="IP45" s="130"/>
      <c r="IQ45" s="130"/>
      <c r="IR45" s="130"/>
      <c r="IS45" s="130"/>
      <c r="IT45" s="130"/>
      <c r="IU45" s="130"/>
    </row>
    <row r="46" spans="1:255" x14ac:dyDescent="0.25">
      <c r="A46" s="130"/>
      <c r="B46" s="130"/>
      <c r="D46" s="127"/>
      <c r="E46" s="127"/>
      <c r="F46" s="104"/>
      <c r="G46" s="105"/>
      <c r="H46" s="105"/>
      <c r="I46" s="105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0"/>
      <c r="AX46" s="130"/>
      <c r="AY46" s="130"/>
      <c r="AZ46" s="130"/>
      <c r="BA46" s="130"/>
      <c r="BB46" s="130"/>
      <c r="BC46" s="130"/>
      <c r="BD46" s="130"/>
      <c r="BE46" s="130"/>
      <c r="BF46" s="130"/>
      <c r="BG46" s="130"/>
      <c r="BH46" s="130"/>
      <c r="BI46" s="130"/>
      <c r="BJ46" s="130"/>
      <c r="BK46" s="130"/>
      <c r="BL46" s="130"/>
      <c r="BM46" s="130"/>
      <c r="BN46" s="130"/>
      <c r="BO46" s="130"/>
      <c r="BP46" s="130"/>
      <c r="BQ46" s="130"/>
      <c r="BR46" s="130"/>
      <c r="BS46" s="130"/>
      <c r="BT46" s="130"/>
      <c r="BU46" s="130"/>
      <c r="BV46" s="130"/>
      <c r="BW46" s="130"/>
      <c r="BX46" s="130"/>
      <c r="BY46" s="130"/>
      <c r="BZ46" s="130"/>
      <c r="CA46" s="130"/>
      <c r="CB46" s="130"/>
      <c r="CC46" s="130"/>
      <c r="CD46" s="130"/>
      <c r="CE46" s="130"/>
      <c r="CF46" s="130"/>
      <c r="CG46" s="130"/>
      <c r="CH46" s="130"/>
      <c r="CI46" s="130"/>
      <c r="CJ46" s="130"/>
      <c r="CK46" s="130"/>
      <c r="CL46" s="130"/>
      <c r="CM46" s="130"/>
      <c r="CN46" s="130"/>
      <c r="CO46" s="130"/>
      <c r="CP46" s="130"/>
      <c r="CQ46" s="130"/>
      <c r="CR46" s="130"/>
      <c r="CS46" s="130"/>
      <c r="CT46" s="130"/>
      <c r="CU46" s="130"/>
      <c r="CV46" s="130"/>
      <c r="CW46" s="130"/>
      <c r="CX46" s="130"/>
      <c r="CY46" s="130"/>
      <c r="CZ46" s="130"/>
      <c r="DA46" s="130"/>
      <c r="DB46" s="130"/>
      <c r="DC46" s="130"/>
      <c r="DD46" s="130"/>
      <c r="DE46" s="130"/>
      <c r="DF46" s="130"/>
      <c r="DG46" s="130"/>
      <c r="DH46" s="130"/>
      <c r="DI46" s="130"/>
      <c r="DJ46" s="130"/>
      <c r="DK46" s="130"/>
      <c r="DL46" s="130"/>
      <c r="DM46" s="130"/>
      <c r="DN46" s="130"/>
      <c r="DO46" s="130"/>
      <c r="DP46" s="130"/>
      <c r="DQ46" s="130"/>
      <c r="DR46" s="130"/>
      <c r="DS46" s="130"/>
      <c r="DT46" s="130"/>
      <c r="DU46" s="130"/>
      <c r="DV46" s="130"/>
      <c r="DW46" s="130"/>
      <c r="DX46" s="130"/>
      <c r="DY46" s="130"/>
      <c r="DZ46" s="130"/>
      <c r="EA46" s="130"/>
      <c r="EB46" s="130"/>
      <c r="EC46" s="130"/>
      <c r="ED46" s="130"/>
      <c r="EE46" s="130"/>
      <c r="EF46" s="130"/>
      <c r="EG46" s="130"/>
      <c r="EH46" s="130"/>
      <c r="EI46" s="130"/>
      <c r="EJ46" s="130"/>
      <c r="EK46" s="130"/>
      <c r="EL46" s="130"/>
      <c r="EM46" s="130"/>
      <c r="EN46" s="130"/>
      <c r="EO46" s="130"/>
      <c r="EP46" s="130"/>
      <c r="EQ46" s="130"/>
      <c r="ER46" s="130"/>
      <c r="ES46" s="130"/>
      <c r="ET46" s="130"/>
      <c r="EU46" s="130"/>
      <c r="EV46" s="130"/>
      <c r="EW46" s="130"/>
      <c r="EX46" s="130"/>
      <c r="EY46" s="130"/>
      <c r="EZ46" s="130"/>
      <c r="FA46" s="130"/>
      <c r="FB46" s="130"/>
      <c r="FC46" s="130"/>
      <c r="FD46" s="130"/>
      <c r="FE46" s="130"/>
      <c r="FF46" s="130"/>
      <c r="FG46" s="130"/>
      <c r="FH46" s="130"/>
      <c r="FI46" s="130"/>
      <c r="FJ46" s="130"/>
      <c r="FK46" s="130"/>
      <c r="FL46" s="130"/>
      <c r="FM46" s="130"/>
      <c r="FN46" s="130"/>
      <c r="FO46" s="130"/>
      <c r="FP46" s="130"/>
      <c r="FQ46" s="130"/>
      <c r="FR46" s="130"/>
      <c r="FS46" s="130"/>
      <c r="FT46" s="130"/>
      <c r="FU46" s="130"/>
      <c r="FV46" s="130"/>
      <c r="FW46" s="130"/>
      <c r="FX46" s="130"/>
      <c r="FY46" s="130"/>
      <c r="FZ46" s="130"/>
      <c r="GA46" s="130"/>
      <c r="GB46" s="130"/>
      <c r="GC46" s="130"/>
      <c r="GD46" s="130"/>
      <c r="GE46" s="130"/>
      <c r="GF46" s="130"/>
      <c r="GG46" s="130"/>
      <c r="GH46" s="130"/>
      <c r="GI46" s="130"/>
      <c r="GJ46" s="130"/>
      <c r="GK46" s="130"/>
      <c r="GL46" s="130"/>
      <c r="GM46" s="130"/>
      <c r="GN46" s="130"/>
      <c r="GO46" s="130"/>
      <c r="GP46" s="130"/>
      <c r="GQ46" s="130"/>
      <c r="GR46" s="130"/>
      <c r="GS46" s="130"/>
      <c r="GT46" s="130"/>
      <c r="GU46" s="130"/>
      <c r="GV46" s="130"/>
      <c r="GW46" s="130"/>
      <c r="GX46" s="130"/>
      <c r="GY46" s="130"/>
      <c r="GZ46" s="130"/>
      <c r="HA46" s="130"/>
      <c r="HB46" s="130"/>
      <c r="HC46" s="130"/>
      <c r="HD46" s="130"/>
      <c r="HE46" s="130"/>
      <c r="HF46" s="130"/>
      <c r="HG46" s="130"/>
      <c r="HH46" s="130"/>
      <c r="HI46" s="130"/>
      <c r="HJ46" s="130"/>
      <c r="HK46" s="130"/>
      <c r="HL46" s="130"/>
      <c r="HM46" s="130"/>
      <c r="HN46" s="130"/>
      <c r="HO46" s="130"/>
      <c r="HP46" s="130"/>
      <c r="HQ46" s="130"/>
      <c r="HR46" s="130"/>
      <c r="HS46" s="130"/>
      <c r="HT46" s="130"/>
      <c r="HU46" s="130"/>
      <c r="HV46" s="130"/>
      <c r="HW46" s="130"/>
      <c r="HX46" s="130"/>
      <c r="HY46" s="130"/>
      <c r="HZ46" s="130"/>
      <c r="IA46" s="130"/>
      <c r="IB46" s="130"/>
      <c r="IC46" s="130"/>
      <c r="ID46" s="130"/>
      <c r="IE46" s="130"/>
      <c r="IF46" s="130"/>
      <c r="IG46" s="130"/>
      <c r="IH46" s="130"/>
      <c r="II46" s="130"/>
      <c r="IJ46" s="130"/>
      <c r="IK46" s="130"/>
      <c r="IL46" s="130"/>
      <c r="IM46" s="130"/>
      <c r="IN46" s="130"/>
      <c r="IO46" s="130"/>
      <c r="IP46" s="130"/>
      <c r="IQ46" s="130"/>
      <c r="IR46" s="130"/>
      <c r="IS46" s="130"/>
      <c r="IT46" s="130"/>
      <c r="IU46" s="130"/>
    </row>
    <row r="47" spans="1:255" x14ac:dyDescent="0.25">
      <c r="A47" s="130"/>
      <c r="B47" s="130"/>
      <c r="D47" s="127"/>
      <c r="E47" s="127"/>
      <c r="F47" s="104"/>
      <c r="G47" s="105"/>
      <c r="H47" s="105"/>
      <c r="I47" s="105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  <c r="AG47" s="130"/>
      <c r="AH47" s="130"/>
      <c r="AI47" s="130"/>
      <c r="AJ47" s="130"/>
      <c r="AK47" s="130"/>
      <c r="AL47" s="130"/>
      <c r="AM47" s="130"/>
      <c r="AN47" s="130"/>
      <c r="AO47" s="130"/>
      <c r="AP47" s="130"/>
      <c r="AQ47" s="130"/>
      <c r="AR47" s="130"/>
      <c r="AS47" s="130"/>
      <c r="AT47" s="130"/>
      <c r="AU47" s="130"/>
      <c r="AV47" s="130"/>
      <c r="AW47" s="130"/>
      <c r="AX47" s="130"/>
      <c r="AY47" s="130"/>
      <c r="AZ47" s="130"/>
      <c r="BA47" s="130"/>
      <c r="BB47" s="130"/>
      <c r="BC47" s="130"/>
      <c r="BD47" s="130"/>
      <c r="BE47" s="130"/>
      <c r="BF47" s="130"/>
      <c r="BG47" s="130"/>
      <c r="BH47" s="130"/>
      <c r="BI47" s="130"/>
      <c r="BJ47" s="130"/>
      <c r="BK47" s="130"/>
      <c r="BL47" s="130"/>
      <c r="BM47" s="130"/>
      <c r="BN47" s="130"/>
      <c r="BO47" s="130"/>
      <c r="BP47" s="130"/>
      <c r="BQ47" s="130"/>
      <c r="BR47" s="130"/>
      <c r="BS47" s="130"/>
      <c r="BT47" s="130"/>
      <c r="BU47" s="130"/>
      <c r="BV47" s="130"/>
      <c r="BW47" s="130"/>
      <c r="BX47" s="130"/>
      <c r="BY47" s="130"/>
      <c r="BZ47" s="130"/>
      <c r="CA47" s="130"/>
      <c r="CB47" s="130"/>
      <c r="CC47" s="130"/>
      <c r="CD47" s="130"/>
      <c r="CE47" s="130"/>
      <c r="CF47" s="130"/>
      <c r="CG47" s="130"/>
      <c r="CH47" s="130"/>
      <c r="CI47" s="130"/>
      <c r="CJ47" s="130"/>
      <c r="CK47" s="130"/>
      <c r="CL47" s="130"/>
      <c r="CM47" s="130"/>
      <c r="CN47" s="130"/>
      <c r="CO47" s="130"/>
      <c r="CP47" s="130"/>
      <c r="CQ47" s="130"/>
      <c r="CR47" s="130"/>
      <c r="CS47" s="130"/>
      <c r="CT47" s="130"/>
      <c r="CU47" s="130"/>
      <c r="CV47" s="130"/>
      <c r="CW47" s="130"/>
      <c r="CX47" s="130"/>
      <c r="CY47" s="130"/>
      <c r="CZ47" s="130"/>
      <c r="DA47" s="130"/>
      <c r="DB47" s="130"/>
      <c r="DC47" s="130"/>
      <c r="DD47" s="130"/>
      <c r="DE47" s="130"/>
      <c r="DF47" s="130"/>
      <c r="DG47" s="130"/>
      <c r="DH47" s="130"/>
      <c r="DI47" s="130"/>
      <c r="DJ47" s="130"/>
      <c r="DK47" s="130"/>
      <c r="DL47" s="130"/>
      <c r="DM47" s="130"/>
      <c r="DN47" s="130"/>
      <c r="DO47" s="130"/>
      <c r="DP47" s="130"/>
      <c r="DQ47" s="130"/>
      <c r="DR47" s="130"/>
      <c r="DS47" s="130"/>
      <c r="DT47" s="130"/>
      <c r="DU47" s="130"/>
      <c r="DV47" s="130"/>
      <c r="DW47" s="130"/>
      <c r="DX47" s="130"/>
      <c r="DY47" s="130"/>
      <c r="DZ47" s="130"/>
      <c r="EA47" s="130"/>
      <c r="EB47" s="130"/>
      <c r="EC47" s="130"/>
      <c r="ED47" s="130"/>
      <c r="EE47" s="130"/>
      <c r="EF47" s="130"/>
      <c r="EG47" s="130"/>
      <c r="EH47" s="130"/>
      <c r="EI47" s="130"/>
      <c r="EJ47" s="130"/>
      <c r="EK47" s="130"/>
      <c r="EL47" s="130"/>
      <c r="EM47" s="130"/>
      <c r="EN47" s="130"/>
      <c r="EO47" s="130"/>
      <c r="EP47" s="130"/>
      <c r="EQ47" s="130"/>
      <c r="ER47" s="130"/>
      <c r="ES47" s="130"/>
      <c r="ET47" s="130"/>
      <c r="EU47" s="130"/>
      <c r="EV47" s="130"/>
      <c r="EW47" s="130"/>
      <c r="EX47" s="130"/>
      <c r="EY47" s="130"/>
      <c r="EZ47" s="130"/>
      <c r="FA47" s="130"/>
      <c r="FB47" s="130"/>
      <c r="FC47" s="130"/>
      <c r="FD47" s="130"/>
      <c r="FE47" s="130"/>
      <c r="FF47" s="130"/>
      <c r="FG47" s="130"/>
      <c r="FH47" s="130"/>
      <c r="FI47" s="130"/>
      <c r="FJ47" s="130"/>
      <c r="FK47" s="130"/>
      <c r="FL47" s="130"/>
      <c r="FM47" s="130"/>
      <c r="FN47" s="130"/>
      <c r="FO47" s="130"/>
      <c r="FP47" s="130"/>
      <c r="FQ47" s="130"/>
      <c r="FR47" s="130"/>
      <c r="FS47" s="130"/>
      <c r="FT47" s="130"/>
      <c r="FU47" s="130"/>
      <c r="FV47" s="130"/>
      <c r="FW47" s="130"/>
      <c r="FX47" s="130"/>
      <c r="FY47" s="130"/>
      <c r="FZ47" s="130"/>
      <c r="GA47" s="130"/>
      <c r="GB47" s="130"/>
      <c r="GC47" s="130"/>
      <c r="GD47" s="130"/>
      <c r="GE47" s="130"/>
      <c r="GF47" s="130"/>
      <c r="GG47" s="130"/>
      <c r="GH47" s="130"/>
      <c r="GI47" s="130"/>
      <c r="GJ47" s="130"/>
      <c r="GK47" s="130"/>
      <c r="GL47" s="130"/>
      <c r="GM47" s="130"/>
      <c r="GN47" s="130"/>
      <c r="GO47" s="130"/>
      <c r="GP47" s="130"/>
      <c r="GQ47" s="130"/>
      <c r="GR47" s="130"/>
      <c r="GS47" s="130"/>
      <c r="GT47" s="130"/>
      <c r="GU47" s="130"/>
      <c r="GV47" s="130"/>
      <c r="GW47" s="130"/>
      <c r="GX47" s="130"/>
      <c r="GY47" s="130"/>
      <c r="GZ47" s="130"/>
      <c r="HA47" s="130"/>
      <c r="HB47" s="130"/>
      <c r="HC47" s="130"/>
      <c r="HD47" s="130"/>
      <c r="HE47" s="130"/>
      <c r="HF47" s="130"/>
      <c r="HG47" s="130"/>
      <c r="HH47" s="130"/>
      <c r="HI47" s="130"/>
      <c r="HJ47" s="130"/>
      <c r="HK47" s="130"/>
      <c r="HL47" s="130"/>
      <c r="HM47" s="130"/>
      <c r="HN47" s="130"/>
      <c r="HO47" s="130"/>
      <c r="HP47" s="130"/>
      <c r="HQ47" s="130"/>
      <c r="HR47" s="130"/>
      <c r="HS47" s="130"/>
      <c r="HT47" s="130"/>
      <c r="HU47" s="130"/>
      <c r="HV47" s="130"/>
      <c r="HW47" s="130"/>
      <c r="HX47" s="130"/>
      <c r="HY47" s="130"/>
      <c r="HZ47" s="130"/>
      <c r="IA47" s="130"/>
      <c r="IB47" s="130"/>
      <c r="IC47" s="130"/>
      <c r="ID47" s="130"/>
      <c r="IE47" s="130"/>
      <c r="IF47" s="130"/>
      <c r="IG47" s="130"/>
      <c r="IH47" s="130"/>
      <c r="II47" s="130"/>
      <c r="IJ47" s="130"/>
      <c r="IK47" s="130"/>
      <c r="IL47" s="130"/>
      <c r="IM47" s="130"/>
      <c r="IN47" s="130"/>
      <c r="IO47" s="130"/>
      <c r="IP47" s="130"/>
      <c r="IQ47" s="130"/>
      <c r="IR47" s="130"/>
      <c r="IS47" s="130"/>
      <c r="IT47" s="130"/>
      <c r="IU47" s="130"/>
    </row>
    <row r="48" spans="1:255" x14ac:dyDescent="0.25">
      <c r="A48" s="130"/>
      <c r="B48" s="130"/>
      <c r="D48" s="127"/>
      <c r="E48" s="127"/>
      <c r="F48" s="104"/>
      <c r="G48" s="105"/>
      <c r="H48" s="105"/>
      <c r="I48" s="105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0"/>
      <c r="AX48" s="130"/>
      <c r="AY48" s="130"/>
      <c r="AZ48" s="130"/>
      <c r="BA48" s="130"/>
      <c r="BB48" s="130"/>
      <c r="BC48" s="130"/>
      <c r="BD48" s="130"/>
      <c r="BE48" s="130"/>
      <c r="BF48" s="130"/>
      <c r="BG48" s="130"/>
      <c r="BH48" s="130"/>
      <c r="BI48" s="130"/>
      <c r="BJ48" s="130"/>
      <c r="BK48" s="130"/>
      <c r="BL48" s="130"/>
      <c r="BM48" s="130"/>
      <c r="BN48" s="130"/>
      <c r="BO48" s="130"/>
      <c r="BP48" s="130"/>
      <c r="BQ48" s="130"/>
      <c r="BR48" s="130"/>
      <c r="BS48" s="130"/>
      <c r="BT48" s="130"/>
      <c r="BU48" s="130"/>
      <c r="BV48" s="130"/>
      <c r="BW48" s="130"/>
      <c r="BX48" s="130"/>
      <c r="BY48" s="130"/>
      <c r="BZ48" s="130"/>
      <c r="CA48" s="130"/>
      <c r="CB48" s="130"/>
      <c r="CC48" s="130"/>
      <c r="CD48" s="130"/>
      <c r="CE48" s="130"/>
      <c r="CF48" s="130"/>
      <c r="CG48" s="130"/>
      <c r="CH48" s="130"/>
      <c r="CI48" s="130"/>
      <c r="CJ48" s="130"/>
      <c r="CK48" s="130"/>
      <c r="CL48" s="130"/>
      <c r="CM48" s="130"/>
      <c r="CN48" s="130"/>
      <c r="CO48" s="130"/>
      <c r="CP48" s="130"/>
      <c r="CQ48" s="130"/>
      <c r="CR48" s="130"/>
      <c r="CS48" s="130"/>
      <c r="CT48" s="130"/>
      <c r="CU48" s="130"/>
      <c r="CV48" s="130"/>
      <c r="CW48" s="130"/>
      <c r="CX48" s="130"/>
      <c r="CY48" s="130"/>
      <c r="CZ48" s="130"/>
      <c r="DA48" s="130"/>
      <c r="DB48" s="130"/>
      <c r="DC48" s="130"/>
      <c r="DD48" s="130"/>
      <c r="DE48" s="130"/>
      <c r="DF48" s="130"/>
      <c r="DG48" s="130"/>
      <c r="DH48" s="130"/>
      <c r="DI48" s="130"/>
      <c r="DJ48" s="130"/>
      <c r="DK48" s="130"/>
      <c r="DL48" s="130"/>
      <c r="DM48" s="130"/>
      <c r="DN48" s="130"/>
      <c r="DO48" s="130"/>
      <c r="DP48" s="130"/>
      <c r="DQ48" s="130"/>
      <c r="DR48" s="130"/>
      <c r="DS48" s="130"/>
      <c r="DT48" s="130"/>
      <c r="DU48" s="130"/>
      <c r="DV48" s="130"/>
      <c r="DW48" s="130"/>
      <c r="DX48" s="130"/>
      <c r="DY48" s="130"/>
      <c r="DZ48" s="130"/>
      <c r="EA48" s="130"/>
      <c r="EB48" s="130"/>
      <c r="EC48" s="130"/>
      <c r="ED48" s="130"/>
      <c r="EE48" s="130"/>
      <c r="EF48" s="130"/>
      <c r="EG48" s="130"/>
      <c r="EH48" s="130"/>
      <c r="EI48" s="130"/>
      <c r="EJ48" s="130"/>
      <c r="EK48" s="130"/>
      <c r="EL48" s="130"/>
      <c r="EM48" s="130"/>
      <c r="EN48" s="130"/>
      <c r="EO48" s="130"/>
      <c r="EP48" s="130"/>
      <c r="EQ48" s="130"/>
      <c r="ER48" s="130"/>
      <c r="ES48" s="130"/>
      <c r="ET48" s="130"/>
      <c r="EU48" s="130"/>
      <c r="EV48" s="130"/>
      <c r="EW48" s="130"/>
      <c r="EX48" s="130"/>
      <c r="EY48" s="130"/>
      <c r="EZ48" s="130"/>
      <c r="FA48" s="130"/>
      <c r="FB48" s="130"/>
      <c r="FC48" s="130"/>
      <c r="FD48" s="130"/>
      <c r="FE48" s="130"/>
      <c r="FF48" s="130"/>
      <c r="FG48" s="130"/>
      <c r="FH48" s="130"/>
      <c r="FI48" s="130"/>
      <c r="FJ48" s="130"/>
      <c r="FK48" s="130"/>
      <c r="FL48" s="130"/>
      <c r="FM48" s="130"/>
      <c r="FN48" s="130"/>
      <c r="FO48" s="130"/>
      <c r="FP48" s="130"/>
      <c r="FQ48" s="130"/>
      <c r="FR48" s="130"/>
      <c r="FS48" s="130"/>
      <c r="FT48" s="130"/>
      <c r="FU48" s="130"/>
      <c r="FV48" s="130"/>
      <c r="FW48" s="130"/>
      <c r="FX48" s="130"/>
      <c r="FY48" s="130"/>
      <c r="FZ48" s="130"/>
      <c r="GA48" s="130"/>
      <c r="GB48" s="130"/>
      <c r="GC48" s="130"/>
      <c r="GD48" s="130"/>
      <c r="GE48" s="130"/>
      <c r="GF48" s="130"/>
      <c r="GG48" s="130"/>
      <c r="GH48" s="130"/>
      <c r="GI48" s="130"/>
      <c r="GJ48" s="130"/>
      <c r="GK48" s="130"/>
      <c r="GL48" s="130"/>
      <c r="GM48" s="130"/>
      <c r="GN48" s="130"/>
      <c r="GO48" s="130"/>
      <c r="GP48" s="130"/>
      <c r="GQ48" s="130"/>
      <c r="GR48" s="130"/>
      <c r="GS48" s="130"/>
      <c r="GT48" s="130"/>
      <c r="GU48" s="130"/>
      <c r="GV48" s="130"/>
      <c r="GW48" s="130"/>
      <c r="GX48" s="130"/>
      <c r="GY48" s="130"/>
      <c r="GZ48" s="130"/>
      <c r="HA48" s="130"/>
      <c r="HB48" s="130"/>
      <c r="HC48" s="130"/>
      <c r="HD48" s="130"/>
      <c r="HE48" s="130"/>
      <c r="HF48" s="130"/>
      <c r="HG48" s="130"/>
      <c r="HH48" s="130"/>
      <c r="HI48" s="130"/>
      <c r="HJ48" s="130"/>
      <c r="HK48" s="130"/>
      <c r="HL48" s="130"/>
      <c r="HM48" s="130"/>
      <c r="HN48" s="130"/>
      <c r="HO48" s="130"/>
      <c r="HP48" s="130"/>
      <c r="HQ48" s="130"/>
      <c r="HR48" s="130"/>
      <c r="HS48" s="130"/>
      <c r="HT48" s="130"/>
      <c r="HU48" s="130"/>
      <c r="HV48" s="130"/>
      <c r="HW48" s="130"/>
      <c r="HX48" s="130"/>
      <c r="HY48" s="130"/>
      <c r="HZ48" s="130"/>
      <c r="IA48" s="130"/>
      <c r="IB48" s="130"/>
      <c r="IC48" s="130"/>
      <c r="ID48" s="130"/>
      <c r="IE48" s="130"/>
      <c r="IF48" s="130"/>
      <c r="IG48" s="130"/>
      <c r="IH48" s="130"/>
      <c r="II48" s="130"/>
      <c r="IJ48" s="130"/>
      <c r="IK48" s="130"/>
      <c r="IL48" s="130"/>
      <c r="IM48" s="130"/>
      <c r="IN48" s="130"/>
      <c r="IO48" s="130"/>
      <c r="IP48" s="130"/>
      <c r="IQ48" s="130"/>
      <c r="IR48" s="130"/>
      <c r="IS48" s="130"/>
      <c r="IT48" s="130"/>
      <c r="IU48" s="130"/>
    </row>
  </sheetData>
  <mergeCells count="17">
    <mergeCell ref="E34:F34"/>
    <mergeCell ref="B28:C28"/>
    <mergeCell ref="D28:E28"/>
    <mergeCell ref="G28:H28"/>
    <mergeCell ref="I28:J28"/>
    <mergeCell ref="B32:C32"/>
    <mergeCell ref="D32:E33"/>
    <mergeCell ref="B33:C33"/>
    <mergeCell ref="G33:H33"/>
    <mergeCell ref="I33:J33"/>
    <mergeCell ref="A27:F27"/>
    <mergeCell ref="G27:J27"/>
    <mergeCell ref="A4:J4"/>
    <mergeCell ref="A5:J5"/>
    <mergeCell ref="A24:B24"/>
    <mergeCell ref="A25:J25"/>
    <mergeCell ref="G26:J26"/>
  </mergeCells>
  <pageMargins left="0.7" right="0.7" top="0.75" bottom="0.75" header="0.3" footer="0.3"/>
  <pageSetup paperSize="9" scale="85" orientation="landscape" verticalDpi="0" r:id="rId1"/>
  <colBreaks count="1" manualBreakCount="1">
    <brk id="1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C2A6-5B9E-4FAC-A140-D4727A45352D}">
  <sheetPr>
    <pageSetUpPr fitToPage="1"/>
  </sheetPr>
  <dimension ref="A1:AB14"/>
  <sheetViews>
    <sheetView topLeftCell="K1" zoomScale="85" zoomScaleNormal="85" workbookViewId="0">
      <selection activeCell="Q6" sqref="Q6"/>
    </sheetView>
  </sheetViews>
  <sheetFormatPr defaultRowHeight="18.75" x14ac:dyDescent="0.3"/>
  <cols>
    <col min="1" max="1" width="5.77734375" style="197" customWidth="1"/>
    <col min="2" max="2" width="9.33203125" style="197" customWidth="1"/>
    <col min="3" max="3" width="22.77734375" style="197" customWidth="1"/>
    <col min="4" max="4" width="8.109375" style="198" customWidth="1"/>
    <col min="5" max="5" width="10.77734375" style="199" customWidth="1"/>
    <col min="6" max="6" width="10.88671875" style="200" customWidth="1"/>
    <col min="7" max="7" width="10.5546875" style="197" customWidth="1"/>
    <col min="8" max="8" width="9.21875" style="200" customWidth="1"/>
    <col min="9" max="9" width="11.77734375" style="200" customWidth="1"/>
    <col min="10" max="10" width="9.44140625" style="200" customWidth="1"/>
    <col min="11" max="11" width="11.88671875" style="200" customWidth="1"/>
    <col min="12" max="12" width="15.109375" style="200" customWidth="1"/>
    <col min="13" max="13" width="10.5546875" style="200" customWidth="1"/>
    <col min="14" max="14" width="10.77734375" style="200" customWidth="1"/>
    <col min="15" max="15" width="11.21875" style="200" customWidth="1"/>
    <col min="16" max="16" width="10.33203125" style="200" customWidth="1"/>
    <col min="17" max="17" width="13.6640625" style="200" customWidth="1"/>
    <col min="18" max="18" width="15.33203125" style="200" bestFit="1" customWidth="1"/>
    <col min="19" max="19" width="8.88671875" style="200" customWidth="1"/>
    <col min="20" max="20" width="9.88671875" style="200" customWidth="1"/>
    <col min="21" max="24" width="9.88671875" style="201" customWidth="1"/>
    <col min="25" max="25" width="11.44140625" style="201" customWidth="1"/>
    <col min="26" max="26" width="10.33203125" style="201" customWidth="1"/>
    <col min="27" max="27" width="18.33203125" style="198" bestFit="1" customWidth="1"/>
    <col min="28" max="28" width="19.77734375" style="199" bestFit="1" customWidth="1"/>
    <col min="29" max="29" width="15.77734375" style="197" customWidth="1"/>
    <col min="30" max="30" width="13.88671875" style="197" bestFit="1" customWidth="1"/>
    <col min="31" max="31" width="16.33203125" style="197" bestFit="1" customWidth="1"/>
    <col min="32" max="32" width="20.109375" style="197" bestFit="1" customWidth="1"/>
    <col min="33" max="33" width="9.5546875" style="197" bestFit="1" customWidth="1"/>
    <col min="34" max="34" width="20.6640625" style="197" bestFit="1" customWidth="1"/>
    <col min="35" max="35" width="19.6640625" style="197" bestFit="1" customWidth="1"/>
    <col min="36" max="36" width="9.5546875" style="197" bestFit="1" customWidth="1"/>
    <col min="37" max="37" width="15.6640625" style="197" bestFit="1" customWidth="1"/>
    <col min="38" max="16384" width="8.88671875" style="197"/>
  </cols>
  <sheetData>
    <row r="1" spans="1:28" x14ac:dyDescent="0.3">
      <c r="A1" s="4" t="s">
        <v>333</v>
      </c>
    </row>
    <row r="3" spans="1:28" x14ac:dyDescent="0.3">
      <c r="A3" s="4" t="s">
        <v>32</v>
      </c>
    </row>
    <row r="4" spans="1:28" ht="24.6" customHeight="1" x14ac:dyDescent="0.3"/>
    <row r="5" spans="1:28" ht="119.1" customHeight="1" x14ac:dyDescent="0.3">
      <c r="A5" s="202" t="s">
        <v>34</v>
      </c>
      <c r="B5" s="203" t="s">
        <v>41</v>
      </c>
      <c r="C5" s="203" t="s">
        <v>33</v>
      </c>
      <c r="D5" s="204" t="s">
        <v>35</v>
      </c>
      <c r="E5" s="204" t="s">
        <v>25</v>
      </c>
      <c r="F5" s="204" t="s">
        <v>26</v>
      </c>
      <c r="G5" s="204" t="s">
        <v>36</v>
      </c>
      <c r="H5" s="205" t="s">
        <v>27</v>
      </c>
      <c r="I5" s="204" t="s">
        <v>37</v>
      </c>
      <c r="J5" s="203" t="s">
        <v>28</v>
      </c>
      <c r="K5" s="204" t="s">
        <v>38</v>
      </c>
      <c r="L5" s="204" t="s">
        <v>39</v>
      </c>
      <c r="M5" s="203" t="s">
        <v>29</v>
      </c>
      <c r="N5" s="204" t="s">
        <v>19</v>
      </c>
      <c r="O5" s="204" t="s">
        <v>40</v>
      </c>
      <c r="P5" s="203" t="s">
        <v>30</v>
      </c>
      <c r="Q5" s="206" t="s">
        <v>31</v>
      </c>
      <c r="R5" s="197"/>
      <c r="S5" s="197"/>
      <c r="T5" s="197"/>
      <c r="U5" s="197"/>
      <c r="V5" s="197"/>
      <c r="W5" s="197"/>
      <c r="X5" s="197"/>
      <c r="Y5" s="197"/>
      <c r="Z5" s="197"/>
      <c r="AA5" s="197"/>
      <c r="AB5" s="197"/>
    </row>
    <row r="6" spans="1:28" s="216" customFormat="1" ht="47.25" customHeight="1" x14ac:dyDescent="0.3">
      <c r="A6" s="207">
        <v>1</v>
      </c>
      <c r="B6" s="268" t="s">
        <v>5241</v>
      </c>
      <c r="C6" s="208" t="s">
        <v>5242</v>
      </c>
      <c r="D6" s="208">
        <v>144</v>
      </c>
      <c r="E6" s="209">
        <v>46283</v>
      </c>
      <c r="F6" s="209">
        <v>46288</v>
      </c>
      <c r="G6" s="210">
        <v>115000</v>
      </c>
      <c r="H6" s="211">
        <v>326</v>
      </c>
      <c r="I6" s="208">
        <v>6143.68</v>
      </c>
      <c r="J6" s="212">
        <v>5853</v>
      </c>
      <c r="K6" s="208">
        <v>0.4</v>
      </c>
      <c r="L6" s="208">
        <v>18777.600000000002</v>
      </c>
      <c r="M6" s="213">
        <v>12924.600000000002</v>
      </c>
      <c r="N6" s="210">
        <v>29940</v>
      </c>
      <c r="O6" s="209">
        <v>46287</v>
      </c>
      <c r="P6" s="214">
        <v>62985.46213344446</v>
      </c>
      <c r="Q6" s="215">
        <v>178000</v>
      </c>
    </row>
    <row r="10" spans="1:28" x14ac:dyDescent="0.3">
      <c r="A10" s="4"/>
      <c r="B10" s="4"/>
      <c r="C10" s="4" t="s">
        <v>333</v>
      </c>
      <c r="D10" s="8"/>
      <c r="E10" s="5"/>
      <c r="F10" s="6"/>
      <c r="G10" s="4"/>
      <c r="H10" s="6"/>
      <c r="I10" s="6"/>
      <c r="J10" s="6"/>
      <c r="K10" s="6"/>
      <c r="L10" s="6" t="s">
        <v>45</v>
      </c>
      <c r="M10" s="6"/>
      <c r="N10" s="6"/>
      <c r="O10" s="6"/>
      <c r="P10" s="6"/>
      <c r="Q10" s="6"/>
      <c r="R10" s="6"/>
      <c r="S10" s="6"/>
      <c r="T10" s="6"/>
      <c r="U10" s="7"/>
      <c r="V10" s="7"/>
    </row>
    <row r="11" spans="1:28" x14ac:dyDescent="0.3">
      <c r="C11" s="323" t="s">
        <v>326</v>
      </c>
      <c r="D11" s="323"/>
      <c r="E11" s="323"/>
      <c r="L11" s="323" t="s">
        <v>326</v>
      </c>
      <c r="M11" s="323"/>
      <c r="N11" s="323"/>
    </row>
    <row r="12" spans="1:28" ht="37.5" customHeight="1" x14ac:dyDescent="0.3"/>
    <row r="13" spans="1:28" ht="37.5" customHeight="1" x14ac:dyDescent="0.3"/>
    <row r="14" spans="1:28" x14ac:dyDescent="0.3">
      <c r="C14" s="324" t="s">
        <v>833</v>
      </c>
      <c r="D14" s="324"/>
      <c r="E14" s="324"/>
      <c r="L14" s="324" t="s">
        <v>834</v>
      </c>
      <c r="M14" s="324"/>
      <c r="N14" s="324"/>
    </row>
  </sheetData>
  <mergeCells count="4">
    <mergeCell ref="C11:E11"/>
    <mergeCell ref="L11:N11"/>
    <mergeCell ref="C14:E14"/>
    <mergeCell ref="L14:N14"/>
  </mergeCells>
  <pageMargins left="0.7" right="0.7" top="0.75" bottom="0.75" header="0.3" footer="0.3"/>
  <pageSetup paperSize="9" scale="54" fitToHeight="0" orientation="landscape" verticalDpi="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61"/>
  <sheetViews>
    <sheetView topLeftCell="F313" zoomScale="95" zoomScaleNormal="95" workbookViewId="0">
      <selection activeCell="L329" sqref="L329:L345"/>
    </sheetView>
  </sheetViews>
  <sheetFormatPr defaultRowHeight="15.75" x14ac:dyDescent="0.25"/>
  <cols>
    <col min="1" max="1" width="7.109375" style="10" customWidth="1"/>
    <col min="2" max="2" width="9.109375" style="10" customWidth="1"/>
    <col min="3" max="3" width="13.5546875" style="9" bestFit="1" customWidth="1"/>
    <col min="4" max="4" width="9.77734375" style="9" customWidth="1"/>
    <col min="5" max="5" width="11.6640625" style="9" customWidth="1"/>
    <col min="6" max="6" width="10.44140625" style="9" customWidth="1"/>
    <col min="7" max="7" width="14" style="9" customWidth="1"/>
    <col min="8" max="9" width="10.44140625" style="9" customWidth="1"/>
    <col min="10" max="10" width="12.33203125" style="9" bestFit="1" customWidth="1"/>
    <col min="11" max="11" width="13.5546875" style="9" bestFit="1" customWidth="1"/>
    <col min="12" max="12" width="21.77734375" style="9" bestFit="1" customWidth="1"/>
    <col min="13" max="15" width="11" style="9" bestFit="1" customWidth="1"/>
    <col min="16" max="16" width="17.6640625" style="9" customWidth="1"/>
    <col min="17" max="25" width="11" style="9" bestFit="1" customWidth="1"/>
    <col min="26" max="26" width="21.77734375" style="9" bestFit="1" customWidth="1"/>
    <col min="27" max="41" width="11" style="9" bestFit="1" customWidth="1"/>
    <col min="42" max="42" width="23.88671875" style="9" bestFit="1" customWidth="1"/>
    <col min="43" max="43" width="27.33203125" style="9" bestFit="1" customWidth="1"/>
    <col min="44" max="16384" width="8.88671875" style="9"/>
  </cols>
  <sheetData>
    <row r="1" spans="1:16" x14ac:dyDescent="0.25">
      <c r="A1" s="10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21</v>
      </c>
      <c r="P1" s="9" t="s">
        <v>23</v>
      </c>
    </row>
    <row r="2" spans="1:16" ht="18.75" x14ac:dyDescent="0.3">
      <c r="A2" s="189" t="s">
        <v>51</v>
      </c>
      <c r="B2" s="189">
        <v>573</v>
      </c>
      <c r="C2" s="1">
        <v>46283</v>
      </c>
      <c r="D2" t="s">
        <v>5279</v>
      </c>
      <c r="E2" s="1">
        <v>46283</v>
      </c>
      <c r="F2" t="s">
        <v>1468</v>
      </c>
      <c r="G2" t="s">
        <v>336</v>
      </c>
      <c r="H2">
        <v>13810</v>
      </c>
      <c r="I2">
        <v>31280</v>
      </c>
      <c r="J2">
        <v>17470</v>
      </c>
      <c r="K2" t="s">
        <v>14</v>
      </c>
      <c r="L2"/>
      <c r="M2" t="s">
        <v>5905</v>
      </c>
      <c r="N2" t="s">
        <v>4045</v>
      </c>
      <c r="O2" s="228" t="s">
        <v>5241</v>
      </c>
      <c r="P2" s="99" t="s">
        <v>111</v>
      </c>
    </row>
    <row r="3" spans="1:16" ht="18.75" x14ac:dyDescent="0.3">
      <c r="A3" s="189" t="s">
        <v>61</v>
      </c>
      <c r="B3" s="189">
        <v>574</v>
      </c>
      <c r="C3" s="1">
        <v>46283</v>
      </c>
      <c r="D3" t="s">
        <v>5280</v>
      </c>
      <c r="E3" s="1">
        <v>46283</v>
      </c>
      <c r="F3" t="s">
        <v>5281</v>
      </c>
      <c r="G3" t="s">
        <v>71</v>
      </c>
      <c r="H3">
        <v>14030</v>
      </c>
      <c r="I3">
        <v>32870</v>
      </c>
      <c r="J3">
        <v>18840</v>
      </c>
      <c r="K3" t="s">
        <v>14</v>
      </c>
      <c r="L3"/>
      <c r="M3" t="s">
        <v>5905</v>
      </c>
      <c r="N3" t="s">
        <v>4045</v>
      </c>
      <c r="O3" s="228" t="s">
        <v>5241</v>
      </c>
      <c r="P3" s="99" t="s">
        <v>59</v>
      </c>
    </row>
    <row r="4" spans="1:16" ht="18.75" x14ac:dyDescent="0.3">
      <c r="A4" s="189" t="s">
        <v>68</v>
      </c>
      <c r="B4" s="189">
        <v>575</v>
      </c>
      <c r="C4" s="1">
        <v>46283</v>
      </c>
      <c r="D4" t="s">
        <v>5282</v>
      </c>
      <c r="E4" s="1">
        <v>46283</v>
      </c>
      <c r="F4" t="s">
        <v>5283</v>
      </c>
      <c r="G4" t="s">
        <v>337</v>
      </c>
      <c r="H4">
        <v>14040</v>
      </c>
      <c r="I4">
        <v>30750</v>
      </c>
      <c r="J4">
        <v>16710</v>
      </c>
      <c r="K4" t="s">
        <v>14</v>
      </c>
      <c r="L4"/>
      <c r="M4" t="s">
        <v>5905</v>
      </c>
      <c r="N4" t="s">
        <v>4045</v>
      </c>
      <c r="O4" s="228" t="s">
        <v>5241</v>
      </c>
      <c r="P4" s="99" t="s">
        <v>111</v>
      </c>
    </row>
    <row r="5" spans="1:16" ht="18.75" x14ac:dyDescent="0.3">
      <c r="A5" s="189" t="s">
        <v>73</v>
      </c>
      <c r="B5" s="189">
        <v>576</v>
      </c>
      <c r="C5" s="1">
        <v>46283</v>
      </c>
      <c r="D5" t="s">
        <v>5284</v>
      </c>
      <c r="E5" s="1">
        <v>46283</v>
      </c>
      <c r="F5" t="s">
        <v>5285</v>
      </c>
      <c r="G5" t="s">
        <v>64</v>
      </c>
      <c r="H5">
        <v>14060</v>
      </c>
      <c r="I5">
        <v>30780</v>
      </c>
      <c r="J5">
        <v>16720</v>
      </c>
      <c r="K5" t="s">
        <v>14</v>
      </c>
      <c r="L5"/>
      <c r="M5" t="s">
        <v>5905</v>
      </c>
      <c r="N5" t="s">
        <v>4045</v>
      </c>
      <c r="O5" s="228" t="s">
        <v>5241</v>
      </c>
      <c r="P5" s="99" t="s">
        <v>66</v>
      </c>
    </row>
    <row r="6" spans="1:16" ht="18.75" x14ac:dyDescent="0.3">
      <c r="A6" s="189" t="s">
        <v>42</v>
      </c>
      <c r="B6" s="189">
        <v>577</v>
      </c>
      <c r="C6" s="1">
        <v>46283</v>
      </c>
      <c r="D6" t="s">
        <v>5286</v>
      </c>
      <c r="E6" s="1">
        <v>46283</v>
      </c>
      <c r="F6" t="s">
        <v>5287</v>
      </c>
      <c r="G6" t="s">
        <v>143</v>
      </c>
      <c r="H6">
        <v>13810</v>
      </c>
      <c r="I6">
        <v>30890</v>
      </c>
      <c r="J6">
        <v>17080</v>
      </c>
      <c r="K6" t="s">
        <v>14</v>
      </c>
      <c r="L6"/>
      <c r="M6" t="s">
        <v>5905</v>
      </c>
      <c r="N6" t="s">
        <v>4045</v>
      </c>
      <c r="O6" s="228" t="s">
        <v>5241</v>
      </c>
      <c r="P6" s="99" t="s">
        <v>59</v>
      </c>
    </row>
    <row r="7" spans="1:16" ht="18.75" x14ac:dyDescent="0.3">
      <c r="A7" s="189" t="s">
        <v>82</v>
      </c>
      <c r="B7" s="189">
        <v>578</v>
      </c>
      <c r="C7" s="1">
        <v>46283</v>
      </c>
      <c r="D7" t="s">
        <v>5288</v>
      </c>
      <c r="E7" s="1">
        <v>46283</v>
      </c>
      <c r="F7" t="s">
        <v>3745</v>
      </c>
      <c r="G7" t="s">
        <v>55</v>
      </c>
      <c r="H7">
        <v>13970</v>
      </c>
      <c r="I7">
        <v>30880</v>
      </c>
      <c r="J7">
        <v>16910</v>
      </c>
      <c r="K7" t="s">
        <v>14</v>
      </c>
      <c r="L7"/>
      <c r="M7" t="s">
        <v>5905</v>
      </c>
      <c r="N7" t="s">
        <v>4045</v>
      </c>
      <c r="O7" s="228" t="s">
        <v>5241</v>
      </c>
      <c r="P7" s="99" t="s">
        <v>59</v>
      </c>
    </row>
    <row r="8" spans="1:16" ht="18.75" x14ac:dyDescent="0.3">
      <c r="A8" s="189" t="s">
        <v>87</v>
      </c>
      <c r="B8" s="189">
        <v>579</v>
      </c>
      <c r="C8" s="1">
        <v>46283</v>
      </c>
      <c r="D8" t="s">
        <v>5289</v>
      </c>
      <c r="E8" s="1">
        <v>46283</v>
      </c>
      <c r="F8" t="s">
        <v>5290</v>
      </c>
      <c r="G8" t="s">
        <v>43</v>
      </c>
      <c r="H8">
        <v>14050</v>
      </c>
      <c r="I8">
        <v>30570</v>
      </c>
      <c r="J8">
        <v>16520</v>
      </c>
      <c r="K8" t="s">
        <v>14</v>
      </c>
      <c r="L8"/>
      <c r="M8" t="s">
        <v>5905</v>
      </c>
      <c r="N8" t="s">
        <v>4045</v>
      </c>
      <c r="O8" s="228" t="s">
        <v>5241</v>
      </c>
      <c r="P8" s="99" t="s">
        <v>111</v>
      </c>
    </row>
    <row r="9" spans="1:16" ht="18.75" x14ac:dyDescent="0.3">
      <c r="A9" s="189" t="s">
        <v>92</v>
      </c>
      <c r="B9" s="189">
        <v>580</v>
      </c>
      <c r="C9" s="1">
        <v>46283</v>
      </c>
      <c r="D9" t="s">
        <v>5291</v>
      </c>
      <c r="E9" s="1">
        <v>46283</v>
      </c>
      <c r="F9" t="s">
        <v>5292</v>
      </c>
      <c r="G9" t="s">
        <v>540</v>
      </c>
      <c r="H9">
        <v>13870</v>
      </c>
      <c r="I9">
        <v>31440</v>
      </c>
      <c r="J9">
        <v>17570</v>
      </c>
      <c r="K9" t="s">
        <v>14</v>
      </c>
      <c r="L9"/>
      <c r="M9" t="s">
        <v>5905</v>
      </c>
      <c r="N9" t="s">
        <v>4045</v>
      </c>
      <c r="O9" s="228" t="s">
        <v>5241</v>
      </c>
      <c r="P9" s="99" t="s">
        <v>59</v>
      </c>
    </row>
    <row r="10" spans="1:16" ht="18.75" x14ac:dyDescent="0.3">
      <c r="A10" s="189" t="s">
        <v>95</v>
      </c>
      <c r="B10" s="189">
        <v>581</v>
      </c>
      <c r="C10" s="1">
        <v>46283</v>
      </c>
      <c r="D10" t="s">
        <v>5293</v>
      </c>
      <c r="E10" s="1">
        <v>46283</v>
      </c>
      <c r="F10" t="s">
        <v>5294</v>
      </c>
      <c r="G10" t="s">
        <v>537</v>
      </c>
      <c r="H10">
        <v>13940</v>
      </c>
      <c r="I10">
        <v>31000</v>
      </c>
      <c r="J10">
        <v>17060</v>
      </c>
      <c r="K10" t="s">
        <v>14</v>
      </c>
      <c r="L10"/>
      <c r="M10" t="s">
        <v>5905</v>
      </c>
      <c r="N10" t="s">
        <v>4045</v>
      </c>
      <c r="O10" s="228" t="s">
        <v>5241</v>
      </c>
      <c r="P10" s="99" t="s">
        <v>59</v>
      </c>
    </row>
    <row r="11" spans="1:16" ht="18.75" x14ac:dyDescent="0.3">
      <c r="A11" s="189" t="s">
        <v>98</v>
      </c>
      <c r="B11" s="189">
        <v>582</v>
      </c>
      <c r="C11" s="1">
        <v>46283</v>
      </c>
      <c r="D11" t="s">
        <v>5295</v>
      </c>
      <c r="E11" s="1">
        <v>46283</v>
      </c>
      <c r="F11" t="s">
        <v>2318</v>
      </c>
      <c r="G11" t="s">
        <v>842</v>
      </c>
      <c r="H11">
        <v>14070</v>
      </c>
      <c r="I11">
        <v>31580</v>
      </c>
      <c r="J11">
        <v>17510</v>
      </c>
      <c r="K11" t="s">
        <v>14</v>
      </c>
      <c r="L11"/>
      <c r="M11" t="s">
        <v>5905</v>
      </c>
      <c r="N11" t="s">
        <v>4045</v>
      </c>
      <c r="O11" s="228" t="s">
        <v>5241</v>
      </c>
      <c r="P11" s="99" t="s">
        <v>59</v>
      </c>
    </row>
    <row r="12" spans="1:16" ht="18.75" x14ac:dyDescent="0.3">
      <c r="A12" s="189" t="s">
        <v>101</v>
      </c>
      <c r="B12" s="189">
        <v>583</v>
      </c>
      <c r="C12" s="1">
        <v>46283</v>
      </c>
      <c r="D12" t="s">
        <v>5296</v>
      </c>
      <c r="E12" s="1">
        <v>46283</v>
      </c>
      <c r="F12" t="s">
        <v>5297</v>
      </c>
      <c r="G12" t="s">
        <v>843</v>
      </c>
      <c r="H12">
        <v>14080</v>
      </c>
      <c r="I12">
        <v>31110</v>
      </c>
      <c r="J12">
        <v>17030</v>
      </c>
      <c r="K12" t="s">
        <v>14</v>
      </c>
      <c r="L12"/>
      <c r="M12" t="s">
        <v>5905</v>
      </c>
      <c r="N12" t="s">
        <v>4045</v>
      </c>
      <c r="O12" s="228" t="s">
        <v>5241</v>
      </c>
      <c r="P12" s="99" t="s">
        <v>111</v>
      </c>
    </row>
    <row r="13" spans="1:16" ht="18.75" x14ac:dyDescent="0.3">
      <c r="A13" s="189" t="s">
        <v>104</v>
      </c>
      <c r="B13" s="189">
        <v>584</v>
      </c>
      <c r="C13" s="1">
        <v>46283</v>
      </c>
      <c r="D13" t="s">
        <v>5298</v>
      </c>
      <c r="E13" s="1">
        <v>46283</v>
      </c>
      <c r="F13" t="s">
        <v>5299</v>
      </c>
      <c r="G13" t="s">
        <v>335</v>
      </c>
      <c r="H13">
        <v>13840</v>
      </c>
      <c r="I13">
        <v>31040</v>
      </c>
      <c r="J13">
        <v>17200</v>
      </c>
      <c r="K13" t="s">
        <v>14</v>
      </c>
      <c r="L13"/>
      <c r="M13" t="s">
        <v>5905</v>
      </c>
      <c r="N13" t="s">
        <v>4045</v>
      </c>
      <c r="O13" s="228" t="s">
        <v>5241</v>
      </c>
      <c r="P13" s="99" t="s">
        <v>111</v>
      </c>
    </row>
    <row r="14" spans="1:16" ht="18.75" x14ac:dyDescent="0.3">
      <c r="A14" s="189" t="s">
        <v>107</v>
      </c>
      <c r="B14" s="189">
        <v>585</v>
      </c>
      <c r="C14" s="1">
        <v>46283</v>
      </c>
      <c r="D14" t="s">
        <v>5300</v>
      </c>
      <c r="E14" s="1">
        <v>46283</v>
      </c>
      <c r="F14" t="s">
        <v>5301</v>
      </c>
      <c r="G14" t="s">
        <v>840</v>
      </c>
      <c r="H14">
        <v>14170</v>
      </c>
      <c r="I14">
        <v>31790</v>
      </c>
      <c r="J14">
        <v>17620</v>
      </c>
      <c r="K14" t="s">
        <v>14</v>
      </c>
      <c r="L14"/>
      <c r="M14" t="s">
        <v>5905</v>
      </c>
      <c r="N14" t="s">
        <v>4045</v>
      </c>
      <c r="O14" s="228" t="s">
        <v>5241</v>
      </c>
      <c r="P14" s="99" t="s">
        <v>59</v>
      </c>
    </row>
    <row r="15" spans="1:16" ht="18.75" x14ac:dyDescent="0.3">
      <c r="A15" s="189" t="s">
        <v>113</v>
      </c>
      <c r="B15" s="189">
        <v>586</v>
      </c>
      <c r="C15" s="1">
        <v>46283</v>
      </c>
      <c r="D15" t="s">
        <v>5302</v>
      </c>
      <c r="E15" s="1">
        <v>46283</v>
      </c>
      <c r="F15" t="s">
        <v>5303</v>
      </c>
      <c r="G15" t="s">
        <v>71</v>
      </c>
      <c r="H15">
        <v>14050</v>
      </c>
      <c r="I15">
        <v>31440</v>
      </c>
      <c r="J15">
        <v>17390</v>
      </c>
      <c r="K15" t="s">
        <v>14</v>
      </c>
      <c r="L15"/>
      <c r="M15" t="s">
        <v>5905</v>
      </c>
      <c r="N15" t="s">
        <v>4045</v>
      </c>
      <c r="O15" s="228" t="s">
        <v>5241</v>
      </c>
      <c r="P15" s="99" t="s">
        <v>59</v>
      </c>
    </row>
    <row r="16" spans="1:16" ht="18.75" x14ac:dyDescent="0.3">
      <c r="A16" s="189" t="s">
        <v>116</v>
      </c>
      <c r="B16" s="189">
        <v>587</v>
      </c>
      <c r="C16" s="1">
        <v>46283</v>
      </c>
      <c r="D16" t="s">
        <v>5304</v>
      </c>
      <c r="E16" s="1">
        <v>46283</v>
      </c>
      <c r="F16" t="s">
        <v>5305</v>
      </c>
      <c r="G16" t="s">
        <v>337</v>
      </c>
      <c r="H16">
        <v>14070</v>
      </c>
      <c r="I16">
        <v>30980</v>
      </c>
      <c r="J16">
        <v>16910</v>
      </c>
      <c r="K16" t="s">
        <v>14</v>
      </c>
      <c r="L16"/>
      <c r="M16" t="s">
        <v>5905</v>
      </c>
      <c r="N16" t="s">
        <v>4045</v>
      </c>
      <c r="O16" s="228" t="s">
        <v>5241</v>
      </c>
      <c r="P16" s="99" t="s">
        <v>111</v>
      </c>
    </row>
    <row r="17" spans="1:16" ht="18.75" x14ac:dyDescent="0.3">
      <c r="A17" s="189" t="s">
        <v>119</v>
      </c>
      <c r="B17" s="189">
        <v>588</v>
      </c>
      <c r="C17" s="1">
        <v>46283</v>
      </c>
      <c r="D17" t="s">
        <v>5306</v>
      </c>
      <c r="E17" s="1">
        <v>46283</v>
      </c>
      <c r="F17" t="s">
        <v>5307</v>
      </c>
      <c r="G17" t="s">
        <v>336</v>
      </c>
      <c r="H17">
        <v>13780</v>
      </c>
      <c r="I17">
        <v>30920</v>
      </c>
      <c r="J17">
        <v>17140</v>
      </c>
      <c r="K17" t="s">
        <v>14</v>
      </c>
      <c r="L17"/>
      <c r="M17" t="s">
        <v>5905</v>
      </c>
      <c r="N17" t="s">
        <v>4045</v>
      </c>
      <c r="O17" s="228" t="s">
        <v>5241</v>
      </c>
      <c r="P17" s="99" t="s">
        <v>111</v>
      </c>
    </row>
    <row r="18" spans="1:16" ht="18.75" x14ac:dyDescent="0.3">
      <c r="A18" s="189" t="s">
        <v>122</v>
      </c>
      <c r="B18" s="189">
        <v>589</v>
      </c>
      <c r="C18" s="1">
        <v>46283</v>
      </c>
      <c r="D18" t="s">
        <v>179</v>
      </c>
      <c r="E18" s="1">
        <v>46283</v>
      </c>
      <c r="F18" t="s">
        <v>5308</v>
      </c>
      <c r="G18" t="s">
        <v>43</v>
      </c>
      <c r="H18">
        <v>14010</v>
      </c>
      <c r="I18">
        <v>31060</v>
      </c>
      <c r="J18">
        <v>17050</v>
      </c>
      <c r="K18" t="s">
        <v>14</v>
      </c>
      <c r="L18"/>
      <c r="M18" t="s">
        <v>5905</v>
      </c>
      <c r="N18" t="s">
        <v>4045</v>
      </c>
      <c r="O18" s="228" t="s">
        <v>5241</v>
      </c>
      <c r="P18" s="99" t="s">
        <v>111</v>
      </c>
    </row>
    <row r="19" spans="1:16" ht="18.75" x14ac:dyDescent="0.3">
      <c r="A19" s="189" t="s">
        <v>125</v>
      </c>
      <c r="B19" s="189">
        <v>590</v>
      </c>
      <c r="C19" s="1">
        <v>46283</v>
      </c>
      <c r="D19" t="s">
        <v>5309</v>
      </c>
      <c r="E19" s="1">
        <v>46283</v>
      </c>
      <c r="F19" t="s">
        <v>5310</v>
      </c>
      <c r="G19" t="s">
        <v>540</v>
      </c>
      <c r="H19">
        <v>13830</v>
      </c>
      <c r="I19">
        <v>31000</v>
      </c>
      <c r="J19">
        <v>17170</v>
      </c>
      <c r="K19" t="s">
        <v>14</v>
      </c>
      <c r="L19"/>
      <c r="M19" t="s">
        <v>5905</v>
      </c>
      <c r="N19" t="s">
        <v>4045</v>
      </c>
      <c r="O19" s="228" t="s">
        <v>5241</v>
      </c>
      <c r="P19" s="99" t="s">
        <v>59</v>
      </c>
    </row>
    <row r="20" spans="1:16" ht="18.75" x14ac:dyDescent="0.3">
      <c r="A20" s="189" t="s">
        <v>128</v>
      </c>
      <c r="B20" s="189">
        <v>591</v>
      </c>
      <c r="C20" s="1">
        <v>46283</v>
      </c>
      <c r="D20" t="s">
        <v>5311</v>
      </c>
      <c r="E20" s="1">
        <v>46283</v>
      </c>
      <c r="F20" t="s">
        <v>5312</v>
      </c>
      <c r="G20" t="s">
        <v>55</v>
      </c>
      <c r="H20">
        <v>13930</v>
      </c>
      <c r="I20">
        <v>31450</v>
      </c>
      <c r="J20">
        <v>17520</v>
      </c>
      <c r="K20" t="s">
        <v>14</v>
      </c>
      <c r="L20"/>
      <c r="M20" t="s">
        <v>5905</v>
      </c>
      <c r="N20" t="s">
        <v>4045</v>
      </c>
      <c r="O20" s="228" t="s">
        <v>5241</v>
      </c>
      <c r="P20" s="99" t="s">
        <v>59</v>
      </c>
    </row>
    <row r="21" spans="1:16" ht="18.75" x14ac:dyDescent="0.3">
      <c r="A21" s="189" t="s">
        <v>131</v>
      </c>
      <c r="B21" s="189">
        <v>592</v>
      </c>
      <c r="C21" s="1">
        <v>46283</v>
      </c>
      <c r="D21" t="s">
        <v>5313</v>
      </c>
      <c r="E21" s="1">
        <v>46283</v>
      </c>
      <c r="F21" t="s">
        <v>5314</v>
      </c>
      <c r="G21" t="s">
        <v>537</v>
      </c>
      <c r="H21">
        <v>13900</v>
      </c>
      <c r="I21">
        <v>30100</v>
      </c>
      <c r="J21">
        <v>16200</v>
      </c>
      <c r="K21" t="s">
        <v>14</v>
      </c>
      <c r="L21"/>
      <c r="M21" t="s">
        <v>5905</v>
      </c>
      <c r="N21" t="s">
        <v>4045</v>
      </c>
      <c r="O21" s="228" t="s">
        <v>5241</v>
      </c>
      <c r="P21" s="99" t="s">
        <v>59</v>
      </c>
    </row>
    <row r="22" spans="1:16" ht="18.75" x14ac:dyDescent="0.3">
      <c r="A22" s="189" t="s">
        <v>134</v>
      </c>
      <c r="B22" s="189">
        <v>593</v>
      </c>
      <c r="C22" s="1">
        <v>46283</v>
      </c>
      <c r="D22" t="s">
        <v>5315</v>
      </c>
      <c r="E22" s="1">
        <v>46283</v>
      </c>
      <c r="F22" t="s">
        <v>5316</v>
      </c>
      <c r="G22" t="s">
        <v>842</v>
      </c>
      <c r="H22">
        <v>14030</v>
      </c>
      <c r="I22">
        <v>31240</v>
      </c>
      <c r="J22">
        <v>17210</v>
      </c>
      <c r="K22" t="s">
        <v>14</v>
      </c>
      <c r="L22"/>
      <c r="M22" t="s">
        <v>5905</v>
      </c>
      <c r="N22" t="s">
        <v>4045</v>
      </c>
      <c r="O22" s="228" t="s">
        <v>5241</v>
      </c>
      <c r="P22" s="99" t="s">
        <v>59</v>
      </c>
    </row>
    <row r="23" spans="1:16" ht="18.75" x14ac:dyDescent="0.3">
      <c r="A23" s="189" t="s">
        <v>137</v>
      </c>
      <c r="B23" s="189">
        <v>594</v>
      </c>
      <c r="C23" s="1">
        <v>46283</v>
      </c>
      <c r="D23" t="s">
        <v>5317</v>
      </c>
      <c r="E23" s="1">
        <v>46283</v>
      </c>
      <c r="F23" t="s">
        <v>5318</v>
      </c>
      <c r="G23" t="s">
        <v>143</v>
      </c>
      <c r="H23">
        <v>14030</v>
      </c>
      <c r="I23">
        <v>30930</v>
      </c>
      <c r="J23">
        <v>16900</v>
      </c>
      <c r="K23" t="s">
        <v>14</v>
      </c>
      <c r="L23"/>
      <c r="M23" t="s">
        <v>5905</v>
      </c>
      <c r="N23" t="s">
        <v>4045</v>
      </c>
      <c r="O23" s="228" t="s">
        <v>5241</v>
      </c>
      <c r="P23" s="99" t="s">
        <v>59</v>
      </c>
    </row>
    <row r="24" spans="1:16" ht="18.75" x14ac:dyDescent="0.3">
      <c r="A24" s="189" t="s">
        <v>140</v>
      </c>
      <c r="B24" s="189">
        <v>595</v>
      </c>
      <c r="C24" s="1">
        <v>46283</v>
      </c>
      <c r="D24" t="s">
        <v>5319</v>
      </c>
      <c r="E24" s="1">
        <v>46283</v>
      </c>
      <c r="F24" t="s">
        <v>5320</v>
      </c>
      <c r="G24" t="s">
        <v>843</v>
      </c>
      <c r="H24">
        <v>14050</v>
      </c>
      <c r="I24">
        <v>31100</v>
      </c>
      <c r="J24">
        <v>17050</v>
      </c>
      <c r="K24" t="s">
        <v>14</v>
      </c>
      <c r="L24"/>
      <c r="M24" t="s">
        <v>5905</v>
      </c>
      <c r="N24" t="s">
        <v>4045</v>
      </c>
      <c r="O24" s="228" t="s">
        <v>5241</v>
      </c>
      <c r="P24" s="99" t="s">
        <v>111</v>
      </c>
    </row>
    <row r="25" spans="1:16" ht="18.75" x14ac:dyDescent="0.3">
      <c r="A25" s="189" t="s">
        <v>145</v>
      </c>
      <c r="B25" s="189">
        <v>596</v>
      </c>
      <c r="C25" s="1">
        <v>46283</v>
      </c>
      <c r="D25" t="s">
        <v>5321</v>
      </c>
      <c r="E25" s="1">
        <v>46283</v>
      </c>
      <c r="F25" t="s">
        <v>5322</v>
      </c>
      <c r="G25" t="s">
        <v>335</v>
      </c>
      <c r="H25">
        <v>14040</v>
      </c>
      <c r="I25">
        <v>31010</v>
      </c>
      <c r="J25">
        <v>16970</v>
      </c>
      <c r="K25" t="s">
        <v>14</v>
      </c>
      <c r="L25"/>
      <c r="M25" t="s">
        <v>5905</v>
      </c>
      <c r="N25" t="s">
        <v>4045</v>
      </c>
      <c r="O25" s="228" t="s">
        <v>5241</v>
      </c>
      <c r="P25" s="99" t="s">
        <v>111</v>
      </c>
    </row>
    <row r="26" spans="1:16" ht="18.75" x14ac:dyDescent="0.3">
      <c r="A26" s="189" t="s">
        <v>148</v>
      </c>
      <c r="B26" s="189">
        <v>597</v>
      </c>
      <c r="C26" s="1">
        <v>46283</v>
      </c>
      <c r="D26" t="s">
        <v>5323</v>
      </c>
      <c r="E26" s="1">
        <v>46283</v>
      </c>
      <c r="F26" t="s">
        <v>5324</v>
      </c>
      <c r="G26" t="s">
        <v>840</v>
      </c>
      <c r="H26">
        <v>14010</v>
      </c>
      <c r="I26">
        <v>31970</v>
      </c>
      <c r="J26">
        <v>17960</v>
      </c>
      <c r="K26" t="s">
        <v>14</v>
      </c>
      <c r="L26"/>
      <c r="M26" t="s">
        <v>5905</v>
      </c>
      <c r="N26" t="s">
        <v>4045</v>
      </c>
      <c r="O26" s="228" t="s">
        <v>5241</v>
      </c>
      <c r="P26" s="99" t="s">
        <v>59</v>
      </c>
    </row>
    <row r="27" spans="1:16" ht="18.75" x14ac:dyDescent="0.3">
      <c r="A27" s="189" t="s">
        <v>151</v>
      </c>
      <c r="B27" s="189">
        <v>598</v>
      </c>
      <c r="C27" s="1">
        <v>46283</v>
      </c>
      <c r="D27" t="s">
        <v>5325</v>
      </c>
      <c r="E27" s="1">
        <v>46283</v>
      </c>
      <c r="F27" t="s">
        <v>1584</v>
      </c>
      <c r="G27" t="s">
        <v>71</v>
      </c>
      <c r="H27">
        <v>13890</v>
      </c>
      <c r="I27">
        <v>31620</v>
      </c>
      <c r="J27">
        <v>17730</v>
      </c>
      <c r="K27" t="s">
        <v>14</v>
      </c>
      <c r="L27"/>
      <c r="M27" t="s">
        <v>5905</v>
      </c>
      <c r="N27" t="s">
        <v>4045</v>
      </c>
      <c r="O27" s="228" t="s">
        <v>5241</v>
      </c>
      <c r="P27" s="99" t="s">
        <v>59</v>
      </c>
    </row>
    <row r="28" spans="1:16" ht="18.75" x14ac:dyDescent="0.3">
      <c r="A28" s="189" t="s">
        <v>154</v>
      </c>
      <c r="B28" s="189">
        <v>599</v>
      </c>
      <c r="C28" s="1">
        <v>46283</v>
      </c>
      <c r="D28" t="s">
        <v>5326</v>
      </c>
      <c r="E28" s="1">
        <v>46283</v>
      </c>
      <c r="F28" t="s">
        <v>5327</v>
      </c>
      <c r="G28" t="s">
        <v>64</v>
      </c>
      <c r="H28">
        <v>14040</v>
      </c>
      <c r="I28">
        <v>31330</v>
      </c>
      <c r="J28">
        <v>17290</v>
      </c>
      <c r="K28" t="s">
        <v>14</v>
      </c>
      <c r="L28"/>
      <c r="M28" t="s">
        <v>5905</v>
      </c>
      <c r="N28" t="s">
        <v>4045</v>
      </c>
      <c r="O28" s="228" t="s">
        <v>5241</v>
      </c>
      <c r="P28" s="99" t="s">
        <v>66</v>
      </c>
    </row>
    <row r="29" spans="1:16" ht="18.75" x14ac:dyDescent="0.3">
      <c r="A29" s="189" t="s">
        <v>157</v>
      </c>
      <c r="B29" s="189">
        <v>600</v>
      </c>
      <c r="C29" s="1">
        <v>46283</v>
      </c>
      <c r="D29" t="s">
        <v>5328</v>
      </c>
      <c r="E29" s="1">
        <v>46283</v>
      </c>
      <c r="F29" t="s">
        <v>5329</v>
      </c>
      <c r="G29" t="s">
        <v>336</v>
      </c>
      <c r="H29">
        <v>13770</v>
      </c>
      <c r="I29">
        <v>31390</v>
      </c>
      <c r="J29">
        <v>17620</v>
      </c>
      <c r="K29" t="s">
        <v>14</v>
      </c>
      <c r="L29"/>
      <c r="M29" t="s">
        <v>5905</v>
      </c>
      <c r="N29" t="s">
        <v>4045</v>
      </c>
      <c r="O29" s="228" t="s">
        <v>5241</v>
      </c>
      <c r="P29" s="99" t="s">
        <v>111</v>
      </c>
    </row>
    <row r="30" spans="1:16" ht="18.75" x14ac:dyDescent="0.3">
      <c r="A30" s="189" t="s">
        <v>160</v>
      </c>
      <c r="B30" s="189">
        <v>601</v>
      </c>
      <c r="C30" s="1">
        <v>46283</v>
      </c>
      <c r="D30" t="s">
        <v>5330</v>
      </c>
      <c r="E30" s="1">
        <v>46283</v>
      </c>
      <c r="F30" t="s">
        <v>5331</v>
      </c>
      <c r="G30" t="s">
        <v>43</v>
      </c>
      <c r="H30">
        <v>14000</v>
      </c>
      <c r="I30">
        <v>31460</v>
      </c>
      <c r="J30">
        <v>17460</v>
      </c>
      <c r="K30" t="s">
        <v>14</v>
      </c>
      <c r="L30"/>
      <c r="M30" t="s">
        <v>5905</v>
      </c>
      <c r="N30" t="s">
        <v>4045</v>
      </c>
      <c r="O30" s="228" t="s">
        <v>5241</v>
      </c>
      <c r="P30" s="99" t="s">
        <v>111</v>
      </c>
    </row>
    <row r="31" spans="1:16" ht="18.75" x14ac:dyDescent="0.3">
      <c r="A31" s="189" t="s">
        <v>163</v>
      </c>
      <c r="B31" s="189">
        <v>602</v>
      </c>
      <c r="C31" s="1">
        <v>46283</v>
      </c>
      <c r="D31" t="s">
        <v>5332</v>
      </c>
      <c r="E31" s="1">
        <v>46283</v>
      </c>
      <c r="F31" t="s">
        <v>5333</v>
      </c>
      <c r="G31" t="s">
        <v>337</v>
      </c>
      <c r="H31">
        <v>13980</v>
      </c>
      <c r="I31">
        <v>30910</v>
      </c>
      <c r="J31">
        <v>16930</v>
      </c>
      <c r="K31" t="s">
        <v>14</v>
      </c>
      <c r="L31"/>
      <c r="M31" t="s">
        <v>5905</v>
      </c>
      <c r="N31" t="s">
        <v>4045</v>
      </c>
      <c r="O31" s="228" t="s">
        <v>5241</v>
      </c>
      <c r="P31" s="99" t="s">
        <v>111</v>
      </c>
    </row>
    <row r="32" spans="1:16" ht="18.75" x14ac:dyDescent="0.3">
      <c r="A32" s="189" t="s">
        <v>166</v>
      </c>
      <c r="B32" s="189">
        <v>603</v>
      </c>
      <c r="C32" s="1">
        <v>46283</v>
      </c>
      <c r="D32" t="s">
        <v>5334</v>
      </c>
      <c r="E32" s="1">
        <v>46283</v>
      </c>
      <c r="F32" t="s">
        <v>5335</v>
      </c>
      <c r="G32" t="s">
        <v>540</v>
      </c>
      <c r="H32">
        <v>13790</v>
      </c>
      <c r="I32">
        <v>31350</v>
      </c>
      <c r="J32">
        <v>17560</v>
      </c>
      <c r="K32" t="s">
        <v>14</v>
      </c>
      <c r="L32"/>
      <c r="M32" t="s">
        <v>5905</v>
      </c>
      <c r="N32" t="s">
        <v>4045</v>
      </c>
      <c r="O32" s="228" t="s">
        <v>5241</v>
      </c>
      <c r="P32" s="99" t="s">
        <v>59</v>
      </c>
    </row>
    <row r="33" spans="1:16" ht="18.75" x14ac:dyDescent="0.3">
      <c r="A33" s="189" t="s">
        <v>169</v>
      </c>
      <c r="B33" s="189">
        <v>604</v>
      </c>
      <c r="C33" s="1">
        <v>46283</v>
      </c>
      <c r="D33" t="s">
        <v>5336</v>
      </c>
      <c r="E33" s="1">
        <v>46283</v>
      </c>
      <c r="F33" t="s">
        <v>5337</v>
      </c>
      <c r="G33" t="s">
        <v>842</v>
      </c>
      <c r="H33">
        <v>13990</v>
      </c>
      <c r="I33">
        <v>31490</v>
      </c>
      <c r="J33">
        <v>17500</v>
      </c>
      <c r="K33" t="s">
        <v>14</v>
      </c>
      <c r="L33"/>
      <c r="M33" t="s">
        <v>5905</v>
      </c>
      <c r="N33" t="s">
        <v>4045</v>
      </c>
      <c r="O33" s="228" t="s">
        <v>5241</v>
      </c>
      <c r="P33" s="99" t="s">
        <v>59</v>
      </c>
    </row>
    <row r="34" spans="1:16" ht="18.75" x14ac:dyDescent="0.3">
      <c r="A34" s="189" t="s">
        <v>172</v>
      </c>
      <c r="B34" s="189">
        <v>605</v>
      </c>
      <c r="C34" s="1">
        <v>46283</v>
      </c>
      <c r="D34" t="s">
        <v>5338</v>
      </c>
      <c r="E34" s="1">
        <v>46283</v>
      </c>
      <c r="F34" t="s">
        <v>5339</v>
      </c>
      <c r="G34" t="s">
        <v>537</v>
      </c>
      <c r="H34">
        <v>13870</v>
      </c>
      <c r="I34">
        <v>31730</v>
      </c>
      <c r="J34">
        <v>17860</v>
      </c>
      <c r="K34" t="s">
        <v>14</v>
      </c>
      <c r="L34"/>
      <c r="M34" t="s">
        <v>5905</v>
      </c>
      <c r="N34" t="s">
        <v>4045</v>
      </c>
      <c r="O34" s="228" t="s">
        <v>5241</v>
      </c>
      <c r="P34" s="99" t="s">
        <v>59</v>
      </c>
    </row>
    <row r="35" spans="1:16" ht="18.75" x14ac:dyDescent="0.3">
      <c r="A35" s="189" t="s">
        <v>175</v>
      </c>
      <c r="B35" s="189">
        <v>606</v>
      </c>
      <c r="C35" s="1">
        <v>46283</v>
      </c>
      <c r="D35" t="s">
        <v>5340</v>
      </c>
      <c r="E35" s="1">
        <v>46283</v>
      </c>
      <c r="F35" t="s">
        <v>5341</v>
      </c>
      <c r="G35" t="s">
        <v>143</v>
      </c>
      <c r="H35">
        <v>13990</v>
      </c>
      <c r="I35">
        <v>31660</v>
      </c>
      <c r="J35">
        <v>17670</v>
      </c>
      <c r="K35" t="s">
        <v>14</v>
      </c>
      <c r="L35"/>
      <c r="M35" t="s">
        <v>5905</v>
      </c>
      <c r="N35" t="s">
        <v>4045</v>
      </c>
      <c r="O35" s="228" t="s">
        <v>5241</v>
      </c>
      <c r="P35" s="99" t="s">
        <v>59</v>
      </c>
    </row>
    <row r="36" spans="1:16" ht="18.75" x14ac:dyDescent="0.3">
      <c r="A36" s="189" t="s">
        <v>178</v>
      </c>
      <c r="B36" s="189">
        <v>607</v>
      </c>
      <c r="C36" s="1">
        <v>46283</v>
      </c>
      <c r="D36" t="s">
        <v>5342</v>
      </c>
      <c r="E36" s="1">
        <v>46283</v>
      </c>
      <c r="F36" t="s">
        <v>5343</v>
      </c>
      <c r="G36" t="s">
        <v>840</v>
      </c>
      <c r="H36">
        <v>14030</v>
      </c>
      <c r="I36">
        <v>31880</v>
      </c>
      <c r="J36">
        <v>17850</v>
      </c>
      <c r="K36" t="s">
        <v>14</v>
      </c>
      <c r="L36"/>
      <c r="M36" t="s">
        <v>5905</v>
      </c>
      <c r="N36" t="s">
        <v>4045</v>
      </c>
      <c r="O36" s="228" t="s">
        <v>5241</v>
      </c>
      <c r="P36" s="99" t="s">
        <v>59</v>
      </c>
    </row>
    <row r="37" spans="1:16" ht="18.75" x14ac:dyDescent="0.3">
      <c r="A37" s="189" t="s">
        <v>181</v>
      </c>
      <c r="B37" s="189">
        <v>608</v>
      </c>
      <c r="C37" s="1">
        <v>46283</v>
      </c>
      <c r="D37" t="s">
        <v>5344</v>
      </c>
      <c r="E37" s="1">
        <v>46283</v>
      </c>
      <c r="F37" t="s">
        <v>5345</v>
      </c>
      <c r="G37" t="s">
        <v>55</v>
      </c>
      <c r="H37">
        <v>13950</v>
      </c>
      <c r="I37">
        <v>31050</v>
      </c>
      <c r="J37">
        <v>17100</v>
      </c>
      <c r="K37" t="s">
        <v>14</v>
      </c>
      <c r="L37"/>
      <c r="M37" t="s">
        <v>5905</v>
      </c>
      <c r="N37" t="s">
        <v>4045</v>
      </c>
      <c r="O37" s="228" t="s">
        <v>5241</v>
      </c>
      <c r="P37" s="99" t="s">
        <v>59</v>
      </c>
    </row>
    <row r="38" spans="1:16" ht="18.75" x14ac:dyDescent="0.3">
      <c r="A38" s="189" t="s">
        <v>184</v>
      </c>
      <c r="B38" s="189">
        <v>609</v>
      </c>
      <c r="C38" s="1">
        <v>46283</v>
      </c>
      <c r="D38" t="s">
        <v>5346</v>
      </c>
      <c r="E38" s="1">
        <v>46283</v>
      </c>
      <c r="F38" t="s">
        <v>5347</v>
      </c>
      <c r="G38" t="s">
        <v>843</v>
      </c>
      <c r="H38">
        <v>14030</v>
      </c>
      <c r="I38">
        <v>31190</v>
      </c>
      <c r="J38">
        <v>17160</v>
      </c>
      <c r="K38" t="s">
        <v>14</v>
      </c>
      <c r="L38"/>
      <c r="M38" t="s">
        <v>5905</v>
      </c>
      <c r="N38" t="s">
        <v>4045</v>
      </c>
      <c r="O38" s="228" t="s">
        <v>5241</v>
      </c>
      <c r="P38" s="99" t="s">
        <v>111</v>
      </c>
    </row>
    <row r="39" spans="1:16" ht="18.75" x14ac:dyDescent="0.3">
      <c r="A39" s="189" t="s">
        <v>187</v>
      </c>
      <c r="B39" s="189">
        <v>610</v>
      </c>
      <c r="C39" s="1">
        <v>46283</v>
      </c>
      <c r="D39" t="s">
        <v>5348</v>
      </c>
      <c r="E39" s="1">
        <v>46283</v>
      </c>
      <c r="F39" t="s">
        <v>5349</v>
      </c>
      <c r="G39" t="s">
        <v>335</v>
      </c>
      <c r="H39">
        <v>14020</v>
      </c>
      <c r="I39">
        <v>31560</v>
      </c>
      <c r="J39">
        <v>17540</v>
      </c>
      <c r="K39" t="s">
        <v>14</v>
      </c>
      <c r="L39"/>
      <c r="M39" t="s">
        <v>5905</v>
      </c>
      <c r="N39" t="s">
        <v>4045</v>
      </c>
      <c r="O39" s="228" t="s">
        <v>5241</v>
      </c>
      <c r="P39" s="99" t="s">
        <v>111</v>
      </c>
    </row>
    <row r="40" spans="1:16" ht="18.75" x14ac:dyDescent="0.3">
      <c r="A40" s="189" t="s">
        <v>190</v>
      </c>
      <c r="B40" s="189">
        <v>611</v>
      </c>
      <c r="C40" s="1">
        <v>46283</v>
      </c>
      <c r="D40" t="s">
        <v>5350</v>
      </c>
      <c r="E40" s="1">
        <v>46283</v>
      </c>
      <c r="F40" t="s">
        <v>5351</v>
      </c>
      <c r="G40" t="s">
        <v>71</v>
      </c>
      <c r="H40">
        <v>13920</v>
      </c>
      <c r="I40">
        <v>32300</v>
      </c>
      <c r="J40">
        <v>18380</v>
      </c>
      <c r="K40" t="s">
        <v>14</v>
      </c>
      <c r="L40"/>
      <c r="M40" t="s">
        <v>5905</v>
      </c>
      <c r="N40" t="s">
        <v>4045</v>
      </c>
      <c r="O40" s="228" t="s">
        <v>5241</v>
      </c>
      <c r="P40" s="99" t="s">
        <v>59</v>
      </c>
    </row>
    <row r="41" spans="1:16" ht="18.75" x14ac:dyDescent="0.3">
      <c r="A41" s="189" t="s">
        <v>193</v>
      </c>
      <c r="B41" s="189">
        <v>612</v>
      </c>
      <c r="C41" s="1">
        <v>46283</v>
      </c>
      <c r="D41" t="s">
        <v>5352</v>
      </c>
      <c r="E41" s="1">
        <v>46284</v>
      </c>
      <c r="F41" t="s">
        <v>5353</v>
      </c>
      <c r="G41" t="s">
        <v>64</v>
      </c>
      <c r="H41">
        <v>14070</v>
      </c>
      <c r="I41">
        <v>33160</v>
      </c>
      <c r="J41">
        <v>19090</v>
      </c>
      <c r="K41" t="s">
        <v>14</v>
      </c>
      <c r="L41"/>
      <c r="M41" t="s">
        <v>5905</v>
      </c>
      <c r="N41" t="s">
        <v>4045</v>
      </c>
      <c r="O41" s="228" t="s">
        <v>5241</v>
      </c>
      <c r="P41" s="99" t="s">
        <v>66</v>
      </c>
    </row>
    <row r="42" spans="1:16" ht="18.75" x14ac:dyDescent="0.3">
      <c r="A42" s="189" t="s">
        <v>196</v>
      </c>
      <c r="B42" s="189">
        <v>613</v>
      </c>
      <c r="C42" s="1">
        <v>46283</v>
      </c>
      <c r="D42" t="s">
        <v>5354</v>
      </c>
      <c r="E42" s="1">
        <v>46284</v>
      </c>
      <c r="F42" t="s">
        <v>5355</v>
      </c>
      <c r="G42" t="s">
        <v>336</v>
      </c>
      <c r="H42">
        <v>13730</v>
      </c>
      <c r="I42">
        <v>32300</v>
      </c>
      <c r="J42">
        <v>18570</v>
      </c>
      <c r="K42" t="s">
        <v>14</v>
      </c>
      <c r="L42"/>
      <c r="M42" t="s">
        <v>5905</v>
      </c>
      <c r="N42" t="s">
        <v>4045</v>
      </c>
      <c r="O42" s="228" t="s">
        <v>5241</v>
      </c>
      <c r="P42" s="99" t="s">
        <v>111</v>
      </c>
    </row>
    <row r="43" spans="1:16" ht="18.75" x14ac:dyDescent="0.3">
      <c r="A43" s="189" t="s">
        <v>199</v>
      </c>
      <c r="B43" s="189">
        <v>614</v>
      </c>
      <c r="C43" s="1">
        <v>46284</v>
      </c>
      <c r="D43" t="s">
        <v>5356</v>
      </c>
      <c r="E43" s="1">
        <v>46284</v>
      </c>
      <c r="F43" t="s">
        <v>5357</v>
      </c>
      <c r="G43" t="s">
        <v>540</v>
      </c>
      <c r="H43">
        <v>13770</v>
      </c>
      <c r="I43">
        <v>32280</v>
      </c>
      <c r="J43">
        <v>18510</v>
      </c>
      <c r="K43" t="s">
        <v>14</v>
      </c>
      <c r="L43"/>
      <c r="M43" t="s">
        <v>5905</v>
      </c>
      <c r="N43" t="s">
        <v>4045</v>
      </c>
      <c r="O43" s="228" t="s">
        <v>5241</v>
      </c>
      <c r="P43" s="99" t="s">
        <v>59</v>
      </c>
    </row>
    <row r="44" spans="1:16" ht="18.75" x14ac:dyDescent="0.3">
      <c r="A44" s="189" t="s">
        <v>202</v>
      </c>
      <c r="B44" s="189">
        <v>615</v>
      </c>
      <c r="C44" s="1">
        <v>46284</v>
      </c>
      <c r="D44" t="s">
        <v>5358</v>
      </c>
      <c r="E44" s="1">
        <v>46284</v>
      </c>
      <c r="F44" t="s">
        <v>5359</v>
      </c>
      <c r="G44" t="s">
        <v>43</v>
      </c>
      <c r="H44">
        <v>14010</v>
      </c>
      <c r="I44">
        <v>32360</v>
      </c>
      <c r="J44">
        <v>18350</v>
      </c>
      <c r="K44" t="s">
        <v>14</v>
      </c>
      <c r="L44"/>
      <c r="M44" t="s">
        <v>5905</v>
      </c>
      <c r="N44" t="s">
        <v>4045</v>
      </c>
      <c r="O44" s="228" t="s">
        <v>5241</v>
      </c>
      <c r="P44" s="99" t="s">
        <v>111</v>
      </c>
    </row>
    <row r="45" spans="1:16" ht="18.75" x14ac:dyDescent="0.3">
      <c r="A45" s="189" t="s">
        <v>205</v>
      </c>
      <c r="B45" s="189">
        <v>616</v>
      </c>
      <c r="C45" s="1">
        <v>46284</v>
      </c>
      <c r="D45" t="s">
        <v>4153</v>
      </c>
      <c r="E45" s="1">
        <v>46284</v>
      </c>
      <c r="F45" t="s">
        <v>5360</v>
      </c>
      <c r="G45" t="s">
        <v>143</v>
      </c>
      <c r="H45">
        <v>13980</v>
      </c>
      <c r="I45">
        <v>33810</v>
      </c>
      <c r="J45">
        <v>19830</v>
      </c>
      <c r="K45" t="s">
        <v>14</v>
      </c>
      <c r="L45"/>
      <c r="M45" t="s">
        <v>5905</v>
      </c>
      <c r="N45" t="s">
        <v>4045</v>
      </c>
      <c r="O45" s="228" t="s">
        <v>5241</v>
      </c>
      <c r="P45" s="99" t="s">
        <v>59</v>
      </c>
    </row>
    <row r="46" spans="1:16" ht="18.75" x14ac:dyDescent="0.3">
      <c r="A46" s="189" t="s">
        <v>211</v>
      </c>
      <c r="B46" s="189">
        <v>617</v>
      </c>
      <c r="C46" s="1">
        <v>46284</v>
      </c>
      <c r="D46" t="s">
        <v>5361</v>
      </c>
      <c r="E46" s="1">
        <v>46284</v>
      </c>
      <c r="F46" t="s">
        <v>5362</v>
      </c>
      <c r="G46" t="s">
        <v>55</v>
      </c>
      <c r="H46">
        <v>13910</v>
      </c>
      <c r="I46">
        <v>33530</v>
      </c>
      <c r="J46">
        <v>19620</v>
      </c>
      <c r="K46" t="s">
        <v>14</v>
      </c>
      <c r="L46"/>
      <c r="M46" t="s">
        <v>5905</v>
      </c>
      <c r="N46" t="s">
        <v>4045</v>
      </c>
      <c r="O46" s="228" t="s">
        <v>5241</v>
      </c>
      <c r="P46" s="99" t="s">
        <v>59</v>
      </c>
    </row>
    <row r="47" spans="1:16" ht="18.75" x14ac:dyDescent="0.3">
      <c r="A47" s="189" t="s">
        <v>215</v>
      </c>
      <c r="B47" s="189">
        <v>618</v>
      </c>
      <c r="C47" s="1">
        <v>46284</v>
      </c>
      <c r="D47" t="s">
        <v>5363</v>
      </c>
      <c r="E47" s="1">
        <v>46284</v>
      </c>
      <c r="F47" t="s">
        <v>5364</v>
      </c>
      <c r="G47" t="s">
        <v>537</v>
      </c>
      <c r="H47">
        <v>13930</v>
      </c>
      <c r="I47">
        <v>34740</v>
      </c>
      <c r="J47">
        <v>20810</v>
      </c>
      <c r="K47" t="s">
        <v>14</v>
      </c>
      <c r="L47"/>
      <c r="M47" t="s">
        <v>5905</v>
      </c>
      <c r="N47" t="s">
        <v>4045</v>
      </c>
      <c r="O47" s="228" t="s">
        <v>5241</v>
      </c>
      <c r="P47" s="99" t="s">
        <v>59</v>
      </c>
    </row>
    <row r="48" spans="1:16" ht="18.75" x14ac:dyDescent="0.3">
      <c r="A48" s="189" t="s">
        <v>219</v>
      </c>
      <c r="B48" s="189">
        <v>619</v>
      </c>
      <c r="C48" s="1">
        <v>46284</v>
      </c>
      <c r="D48" t="s">
        <v>5365</v>
      </c>
      <c r="E48" s="1">
        <v>46284</v>
      </c>
      <c r="F48" t="s">
        <v>5366</v>
      </c>
      <c r="G48" t="s">
        <v>840</v>
      </c>
      <c r="H48">
        <v>14100</v>
      </c>
      <c r="I48">
        <v>35580</v>
      </c>
      <c r="J48">
        <v>21480</v>
      </c>
      <c r="K48" t="s">
        <v>14</v>
      </c>
      <c r="L48"/>
      <c r="M48" t="s">
        <v>5905</v>
      </c>
      <c r="N48" t="s">
        <v>4045</v>
      </c>
      <c r="O48" s="228" t="s">
        <v>5241</v>
      </c>
      <c r="P48" s="99" t="s">
        <v>59</v>
      </c>
    </row>
    <row r="49" spans="1:16" ht="18.75" x14ac:dyDescent="0.3">
      <c r="A49" s="189" t="s">
        <v>223</v>
      </c>
      <c r="B49" s="189">
        <v>620</v>
      </c>
      <c r="C49" s="1">
        <v>46284</v>
      </c>
      <c r="D49" t="s">
        <v>5367</v>
      </c>
      <c r="E49" s="1">
        <v>46284</v>
      </c>
      <c r="F49" t="s">
        <v>5368</v>
      </c>
      <c r="G49" t="s">
        <v>337</v>
      </c>
      <c r="H49">
        <v>13990</v>
      </c>
      <c r="I49">
        <v>34470</v>
      </c>
      <c r="J49">
        <v>20480</v>
      </c>
      <c r="K49" t="s">
        <v>14</v>
      </c>
      <c r="L49"/>
      <c r="M49" t="s">
        <v>5905</v>
      </c>
      <c r="N49" t="s">
        <v>4045</v>
      </c>
      <c r="O49" s="228" t="s">
        <v>5241</v>
      </c>
      <c r="P49" s="99" t="s">
        <v>111</v>
      </c>
    </row>
    <row r="50" spans="1:16" ht="18.75" x14ac:dyDescent="0.3">
      <c r="A50" s="189" t="s">
        <v>227</v>
      </c>
      <c r="B50" s="189">
        <v>621</v>
      </c>
      <c r="C50" s="1">
        <v>46284</v>
      </c>
      <c r="D50" t="s">
        <v>5369</v>
      </c>
      <c r="E50" s="1">
        <v>46284</v>
      </c>
      <c r="F50" t="s">
        <v>5370</v>
      </c>
      <c r="G50" t="s">
        <v>842</v>
      </c>
      <c r="H50">
        <v>13930</v>
      </c>
      <c r="I50">
        <v>35360</v>
      </c>
      <c r="J50">
        <v>21430</v>
      </c>
      <c r="K50" t="s">
        <v>14</v>
      </c>
      <c r="L50"/>
      <c r="M50" t="s">
        <v>5905</v>
      </c>
      <c r="N50" t="s">
        <v>4045</v>
      </c>
      <c r="O50" s="228" t="s">
        <v>5241</v>
      </c>
      <c r="P50" s="99" t="s">
        <v>59</v>
      </c>
    </row>
    <row r="51" spans="1:16" ht="18.75" x14ac:dyDescent="0.3">
      <c r="A51" s="189" t="s">
        <v>231</v>
      </c>
      <c r="B51" s="189">
        <v>622</v>
      </c>
      <c r="C51" s="1">
        <v>46284</v>
      </c>
      <c r="D51" t="s">
        <v>5371</v>
      </c>
      <c r="E51" s="1">
        <v>46284</v>
      </c>
      <c r="F51" t="s">
        <v>5372</v>
      </c>
      <c r="G51" t="s">
        <v>335</v>
      </c>
      <c r="H51">
        <v>14000</v>
      </c>
      <c r="I51">
        <v>33660</v>
      </c>
      <c r="J51">
        <v>19660</v>
      </c>
      <c r="K51" t="s">
        <v>14</v>
      </c>
      <c r="L51"/>
      <c r="M51" t="s">
        <v>5905</v>
      </c>
      <c r="N51" t="s">
        <v>4045</v>
      </c>
      <c r="O51" s="228" t="s">
        <v>5241</v>
      </c>
      <c r="P51" s="99" t="s">
        <v>111</v>
      </c>
    </row>
    <row r="52" spans="1:16" ht="18.75" x14ac:dyDescent="0.3">
      <c r="A52" s="189" t="s">
        <v>235</v>
      </c>
      <c r="B52" s="189">
        <v>623</v>
      </c>
      <c r="C52" s="1">
        <v>46284</v>
      </c>
      <c r="D52" t="s">
        <v>5373</v>
      </c>
      <c r="E52" s="1">
        <v>46284</v>
      </c>
      <c r="F52" t="s">
        <v>5374</v>
      </c>
      <c r="G52" t="s">
        <v>843</v>
      </c>
      <c r="H52">
        <v>14000</v>
      </c>
      <c r="I52">
        <v>34380</v>
      </c>
      <c r="J52">
        <v>20380</v>
      </c>
      <c r="K52" t="s">
        <v>14</v>
      </c>
      <c r="L52"/>
      <c r="M52" t="s">
        <v>5905</v>
      </c>
      <c r="N52" t="s">
        <v>4045</v>
      </c>
      <c r="O52" s="228" t="s">
        <v>5241</v>
      </c>
      <c r="P52" s="99" t="s">
        <v>111</v>
      </c>
    </row>
    <row r="53" spans="1:16" ht="18.75" x14ac:dyDescent="0.3">
      <c r="A53" s="189" t="s">
        <v>238</v>
      </c>
      <c r="B53" s="189">
        <v>624</v>
      </c>
      <c r="C53" s="1">
        <v>46284</v>
      </c>
      <c r="D53" t="s">
        <v>3499</v>
      </c>
      <c r="E53" s="1">
        <v>46284</v>
      </c>
      <c r="F53" t="s">
        <v>5375</v>
      </c>
      <c r="G53" t="s">
        <v>71</v>
      </c>
      <c r="H53">
        <v>13870</v>
      </c>
      <c r="I53">
        <v>33420</v>
      </c>
      <c r="J53">
        <v>19550</v>
      </c>
      <c r="K53" t="s">
        <v>14</v>
      </c>
      <c r="L53"/>
      <c r="M53" t="s">
        <v>5905</v>
      </c>
      <c r="N53" t="s">
        <v>4045</v>
      </c>
      <c r="O53" s="228" t="s">
        <v>5241</v>
      </c>
      <c r="P53" s="99" t="s">
        <v>59</v>
      </c>
    </row>
    <row r="54" spans="1:16" ht="18.75" x14ac:dyDescent="0.3">
      <c r="A54" s="189" t="s">
        <v>241</v>
      </c>
      <c r="B54" s="189">
        <v>625</v>
      </c>
      <c r="C54" s="1">
        <v>46284</v>
      </c>
      <c r="D54" t="s">
        <v>5376</v>
      </c>
      <c r="E54" s="1">
        <v>46284</v>
      </c>
      <c r="F54" t="s">
        <v>5377</v>
      </c>
      <c r="G54" t="s">
        <v>143</v>
      </c>
      <c r="H54">
        <v>13950</v>
      </c>
      <c r="I54">
        <v>33730</v>
      </c>
      <c r="J54">
        <v>19780</v>
      </c>
      <c r="K54" t="s">
        <v>14</v>
      </c>
      <c r="L54"/>
      <c r="M54" t="s">
        <v>5905</v>
      </c>
      <c r="N54" t="s">
        <v>4045</v>
      </c>
      <c r="O54" s="228" t="s">
        <v>5241</v>
      </c>
      <c r="P54" s="99" t="s">
        <v>59</v>
      </c>
    </row>
    <row r="55" spans="1:16" ht="18.75" x14ac:dyDescent="0.3">
      <c r="A55" s="189" t="s">
        <v>244</v>
      </c>
      <c r="B55" s="189">
        <v>626</v>
      </c>
      <c r="C55" s="1">
        <v>46284</v>
      </c>
      <c r="D55" t="s">
        <v>5378</v>
      </c>
      <c r="E55" s="1">
        <v>46284</v>
      </c>
      <c r="F55" t="s">
        <v>5379</v>
      </c>
      <c r="G55" t="s">
        <v>540</v>
      </c>
      <c r="H55">
        <v>13760</v>
      </c>
      <c r="I55">
        <v>34660</v>
      </c>
      <c r="J55">
        <v>20900</v>
      </c>
      <c r="K55" t="s">
        <v>14</v>
      </c>
      <c r="L55"/>
      <c r="M55" t="s">
        <v>5905</v>
      </c>
      <c r="N55" t="s">
        <v>4045</v>
      </c>
      <c r="O55" s="228" t="s">
        <v>5241</v>
      </c>
      <c r="P55" s="99" t="s">
        <v>59</v>
      </c>
    </row>
    <row r="56" spans="1:16" ht="18.75" x14ac:dyDescent="0.3">
      <c r="A56" s="189" t="s">
        <v>247</v>
      </c>
      <c r="B56" s="189">
        <v>627</v>
      </c>
      <c r="C56" s="1">
        <v>46284</v>
      </c>
      <c r="D56" t="s">
        <v>5380</v>
      </c>
      <c r="E56" s="1">
        <v>46284</v>
      </c>
      <c r="F56" t="s">
        <v>5381</v>
      </c>
      <c r="G56" t="s">
        <v>43</v>
      </c>
      <c r="H56">
        <v>13970</v>
      </c>
      <c r="I56">
        <v>34650</v>
      </c>
      <c r="J56">
        <v>20680</v>
      </c>
      <c r="K56" t="s">
        <v>14</v>
      </c>
      <c r="L56"/>
      <c r="M56" t="s">
        <v>5905</v>
      </c>
      <c r="N56" t="s">
        <v>4045</v>
      </c>
      <c r="O56" s="228" t="s">
        <v>5241</v>
      </c>
      <c r="P56" s="99" t="s">
        <v>111</v>
      </c>
    </row>
    <row r="57" spans="1:16" ht="18.75" x14ac:dyDescent="0.3">
      <c r="A57" s="189" t="s">
        <v>250</v>
      </c>
      <c r="B57" s="189">
        <v>628</v>
      </c>
      <c r="C57" s="1">
        <v>46284</v>
      </c>
      <c r="D57" t="s">
        <v>257</v>
      </c>
      <c r="E57" s="1">
        <v>46284</v>
      </c>
      <c r="F57" t="s">
        <v>5382</v>
      </c>
      <c r="G57" t="s">
        <v>64</v>
      </c>
      <c r="H57">
        <v>14020</v>
      </c>
      <c r="I57">
        <v>34800</v>
      </c>
      <c r="J57">
        <v>20780</v>
      </c>
      <c r="K57" t="s">
        <v>14</v>
      </c>
      <c r="L57"/>
      <c r="M57" t="s">
        <v>5905</v>
      </c>
      <c r="N57" t="s">
        <v>4045</v>
      </c>
      <c r="O57" s="228" t="s">
        <v>5241</v>
      </c>
      <c r="P57" s="99" t="s">
        <v>66</v>
      </c>
    </row>
    <row r="58" spans="1:16" ht="18.75" x14ac:dyDescent="0.3">
      <c r="A58" s="189" t="s">
        <v>253</v>
      </c>
      <c r="B58" s="189">
        <v>629</v>
      </c>
      <c r="C58" s="1">
        <v>46284</v>
      </c>
      <c r="D58" t="s">
        <v>5383</v>
      </c>
      <c r="E58" s="1">
        <v>46284</v>
      </c>
      <c r="F58" t="s">
        <v>5384</v>
      </c>
      <c r="G58" t="s">
        <v>55</v>
      </c>
      <c r="H58">
        <v>13870</v>
      </c>
      <c r="I58">
        <v>35300</v>
      </c>
      <c r="J58">
        <v>21430</v>
      </c>
      <c r="K58" t="s">
        <v>14</v>
      </c>
      <c r="L58"/>
      <c r="M58" t="s">
        <v>5905</v>
      </c>
      <c r="N58" t="s">
        <v>4045</v>
      </c>
      <c r="O58" s="228" t="s">
        <v>5241</v>
      </c>
      <c r="P58" s="99" t="s">
        <v>59</v>
      </c>
    </row>
    <row r="59" spans="1:16" ht="18.75" x14ac:dyDescent="0.3">
      <c r="A59" s="189" t="s">
        <v>256</v>
      </c>
      <c r="B59" s="189">
        <v>630</v>
      </c>
      <c r="C59" s="1">
        <v>46284</v>
      </c>
      <c r="D59" t="s">
        <v>5385</v>
      </c>
      <c r="E59" s="1">
        <v>46284</v>
      </c>
      <c r="F59" t="s">
        <v>5386</v>
      </c>
      <c r="G59" t="s">
        <v>840</v>
      </c>
      <c r="H59">
        <v>13930</v>
      </c>
      <c r="I59">
        <v>35340</v>
      </c>
      <c r="J59">
        <v>21410</v>
      </c>
      <c r="K59" t="s">
        <v>14</v>
      </c>
      <c r="L59"/>
      <c r="M59" t="s">
        <v>5905</v>
      </c>
      <c r="N59" t="s">
        <v>4045</v>
      </c>
      <c r="O59" s="228" t="s">
        <v>5241</v>
      </c>
      <c r="P59" s="99" t="s">
        <v>59</v>
      </c>
    </row>
    <row r="60" spans="1:16" ht="18.75" x14ac:dyDescent="0.3">
      <c r="A60" s="189" t="s">
        <v>259</v>
      </c>
      <c r="B60" s="189">
        <v>631</v>
      </c>
      <c r="C60" s="1">
        <v>46284</v>
      </c>
      <c r="D60" t="s">
        <v>5387</v>
      </c>
      <c r="E60" s="1">
        <v>46284</v>
      </c>
      <c r="F60" t="s">
        <v>5388</v>
      </c>
      <c r="G60" t="s">
        <v>537</v>
      </c>
      <c r="H60">
        <v>13820</v>
      </c>
      <c r="I60">
        <v>35190</v>
      </c>
      <c r="J60">
        <v>21370</v>
      </c>
      <c r="K60" t="s">
        <v>14</v>
      </c>
      <c r="L60"/>
      <c r="M60" t="s">
        <v>5905</v>
      </c>
      <c r="N60" t="s">
        <v>4045</v>
      </c>
      <c r="O60" s="228" t="s">
        <v>5241</v>
      </c>
      <c r="P60" s="99" t="s">
        <v>59</v>
      </c>
    </row>
    <row r="61" spans="1:16" ht="18.75" x14ac:dyDescent="0.3">
      <c r="A61" s="189" t="s">
        <v>262</v>
      </c>
      <c r="B61" s="189">
        <v>632</v>
      </c>
      <c r="C61" s="1">
        <v>46284</v>
      </c>
      <c r="D61" t="s">
        <v>5389</v>
      </c>
      <c r="E61" s="1">
        <v>46284</v>
      </c>
      <c r="F61" t="s">
        <v>5390</v>
      </c>
      <c r="G61" t="s">
        <v>336</v>
      </c>
      <c r="H61">
        <v>14010</v>
      </c>
      <c r="I61">
        <v>34840</v>
      </c>
      <c r="J61">
        <v>20830</v>
      </c>
      <c r="K61" t="s">
        <v>14</v>
      </c>
      <c r="L61"/>
      <c r="M61" t="s">
        <v>5905</v>
      </c>
      <c r="N61" t="s">
        <v>4045</v>
      </c>
      <c r="O61" s="228" t="s">
        <v>5241</v>
      </c>
      <c r="P61" s="99" t="s">
        <v>111</v>
      </c>
    </row>
    <row r="62" spans="1:16" ht="18.75" x14ac:dyDescent="0.3">
      <c r="A62" s="189" t="s">
        <v>265</v>
      </c>
      <c r="B62" s="189">
        <v>633</v>
      </c>
      <c r="C62" s="1">
        <v>46284</v>
      </c>
      <c r="D62" t="s">
        <v>5391</v>
      </c>
      <c r="E62" s="1">
        <v>46284</v>
      </c>
      <c r="F62" t="s">
        <v>5392</v>
      </c>
      <c r="G62" t="s">
        <v>337</v>
      </c>
      <c r="H62">
        <v>13910</v>
      </c>
      <c r="I62">
        <v>34150</v>
      </c>
      <c r="J62">
        <v>20240</v>
      </c>
      <c r="K62" t="s">
        <v>14</v>
      </c>
      <c r="L62"/>
      <c r="M62" t="s">
        <v>5905</v>
      </c>
      <c r="N62" t="s">
        <v>4045</v>
      </c>
      <c r="O62" s="228" t="s">
        <v>5241</v>
      </c>
      <c r="P62" s="99" t="s">
        <v>111</v>
      </c>
    </row>
    <row r="63" spans="1:16" ht="18.75" x14ac:dyDescent="0.3">
      <c r="A63" s="189" t="s">
        <v>268</v>
      </c>
      <c r="B63" s="189">
        <v>634</v>
      </c>
      <c r="C63" s="1">
        <v>46284</v>
      </c>
      <c r="D63" t="s">
        <v>5393</v>
      </c>
      <c r="E63" s="1">
        <v>46284</v>
      </c>
      <c r="F63" t="s">
        <v>5394</v>
      </c>
      <c r="G63" t="s">
        <v>335</v>
      </c>
      <c r="H63">
        <v>13980</v>
      </c>
      <c r="I63">
        <v>34790</v>
      </c>
      <c r="J63">
        <v>20810</v>
      </c>
      <c r="K63" t="s">
        <v>14</v>
      </c>
      <c r="L63"/>
      <c r="M63" t="s">
        <v>5905</v>
      </c>
      <c r="N63" t="s">
        <v>4045</v>
      </c>
      <c r="O63" s="228" t="s">
        <v>5241</v>
      </c>
      <c r="P63" s="99" t="s">
        <v>111</v>
      </c>
    </row>
    <row r="64" spans="1:16" ht="18.75" x14ac:dyDescent="0.3">
      <c r="A64" s="189" t="s">
        <v>271</v>
      </c>
      <c r="B64" s="189">
        <v>635</v>
      </c>
      <c r="C64" s="1">
        <v>46284</v>
      </c>
      <c r="D64" t="s">
        <v>5395</v>
      </c>
      <c r="E64" s="1">
        <v>46284</v>
      </c>
      <c r="F64" t="s">
        <v>5396</v>
      </c>
      <c r="G64" t="s">
        <v>843</v>
      </c>
      <c r="H64">
        <v>13890</v>
      </c>
      <c r="I64">
        <v>32350</v>
      </c>
      <c r="J64">
        <v>18460</v>
      </c>
      <c r="K64" t="s">
        <v>14</v>
      </c>
      <c r="L64"/>
      <c r="M64" t="s">
        <v>5905</v>
      </c>
      <c r="N64" t="s">
        <v>4045</v>
      </c>
      <c r="O64" s="228" t="s">
        <v>5241</v>
      </c>
      <c r="P64" s="99" t="s">
        <v>111</v>
      </c>
    </row>
    <row r="65" spans="1:16" ht="18.75" x14ac:dyDescent="0.3">
      <c r="A65" s="189" t="s">
        <v>4227</v>
      </c>
      <c r="B65" s="189">
        <v>636</v>
      </c>
      <c r="C65" s="1">
        <v>46284</v>
      </c>
      <c r="D65" t="s">
        <v>5397</v>
      </c>
      <c r="E65" s="1">
        <v>46284</v>
      </c>
      <c r="F65" t="s">
        <v>5398</v>
      </c>
      <c r="G65" t="s">
        <v>143</v>
      </c>
      <c r="H65">
        <v>13880</v>
      </c>
      <c r="I65">
        <v>31970</v>
      </c>
      <c r="J65">
        <v>18090</v>
      </c>
      <c r="K65" t="s">
        <v>14</v>
      </c>
      <c r="L65"/>
      <c r="M65" t="s">
        <v>5905</v>
      </c>
      <c r="N65" t="s">
        <v>4045</v>
      </c>
      <c r="O65" s="228" t="s">
        <v>5241</v>
      </c>
      <c r="P65" s="99" t="s">
        <v>59</v>
      </c>
    </row>
    <row r="66" spans="1:16" ht="18.75" x14ac:dyDescent="0.3">
      <c r="A66" s="189" t="s">
        <v>4231</v>
      </c>
      <c r="B66" s="189">
        <v>637</v>
      </c>
      <c r="C66" s="1">
        <v>46284</v>
      </c>
      <c r="D66" t="s">
        <v>5399</v>
      </c>
      <c r="E66" s="1">
        <v>46284</v>
      </c>
      <c r="F66" t="s">
        <v>5400</v>
      </c>
      <c r="G66" t="s">
        <v>71</v>
      </c>
      <c r="H66">
        <v>13790</v>
      </c>
      <c r="I66">
        <v>31980</v>
      </c>
      <c r="J66">
        <v>18190</v>
      </c>
      <c r="K66" t="s">
        <v>14</v>
      </c>
      <c r="L66"/>
      <c r="M66" t="s">
        <v>5905</v>
      </c>
      <c r="N66" t="s">
        <v>4045</v>
      </c>
      <c r="O66" s="228" t="s">
        <v>5241</v>
      </c>
      <c r="P66" s="99" t="s">
        <v>59</v>
      </c>
    </row>
    <row r="67" spans="1:16" ht="18.75" x14ac:dyDescent="0.3">
      <c r="A67" s="189" t="s">
        <v>4235</v>
      </c>
      <c r="B67" s="189">
        <v>638</v>
      </c>
      <c r="C67" s="1">
        <v>46284</v>
      </c>
      <c r="D67" t="s">
        <v>5401</v>
      </c>
      <c r="E67" s="1">
        <v>46284</v>
      </c>
      <c r="F67" t="s">
        <v>5402</v>
      </c>
      <c r="G67" t="s">
        <v>43</v>
      </c>
      <c r="H67">
        <v>13920</v>
      </c>
      <c r="I67">
        <v>30890</v>
      </c>
      <c r="J67">
        <v>16970</v>
      </c>
      <c r="K67" t="s">
        <v>14</v>
      </c>
      <c r="L67"/>
      <c r="M67" t="s">
        <v>5905</v>
      </c>
      <c r="N67" t="s">
        <v>4045</v>
      </c>
      <c r="O67" s="228" t="s">
        <v>5241</v>
      </c>
      <c r="P67" s="99" t="s">
        <v>111</v>
      </c>
    </row>
    <row r="68" spans="1:16" ht="18.75" x14ac:dyDescent="0.3">
      <c r="A68" s="189" t="s">
        <v>4239</v>
      </c>
      <c r="B68" s="189">
        <v>639</v>
      </c>
      <c r="C68" s="1">
        <v>46284</v>
      </c>
      <c r="D68" t="s">
        <v>5403</v>
      </c>
      <c r="E68" s="1">
        <v>46284</v>
      </c>
      <c r="F68" t="s">
        <v>5404</v>
      </c>
      <c r="G68" t="s">
        <v>64</v>
      </c>
      <c r="H68">
        <v>13930</v>
      </c>
      <c r="I68">
        <v>31980</v>
      </c>
      <c r="J68">
        <v>18050</v>
      </c>
      <c r="K68" t="s">
        <v>14</v>
      </c>
      <c r="L68"/>
      <c r="M68" t="s">
        <v>5905</v>
      </c>
      <c r="N68" t="s">
        <v>4045</v>
      </c>
      <c r="O68" s="228" t="s">
        <v>5241</v>
      </c>
      <c r="P68" s="99" t="s">
        <v>66</v>
      </c>
    </row>
    <row r="69" spans="1:16" ht="18.75" x14ac:dyDescent="0.3">
      <c r="A69" s="189" t="s">
        <v>4243</v>
      </c>
      <c r="B69" s="189">
        <v>640</v>
      </c>
      <c r="C69" s="1">
        <v>46284</v>
      </c>
      <c r="D69" t="s">
        <v>5405</v>
      </c>
      <c r="E69" s="1">
        <v>46284</v>
      </c>
      <c r="F69" t="s">
        <v>5406</v>
      </c>
      <c r="G69" t="s">
        <v>80</v>
      </c>
      <c r="H69">
        <v>14170</v>
      </c>
      <c r="I69">
        <v>32550</v>
      </c>
      <c r="J69">
        <v>18380</v>
      </c>
      <c r="K69" t="s">
        <v>14</v>
      </c>
      <c r="L69"/>
      <c r="M69" t="s">
        <v>5905</v>
      </c>
      <c r="N69" t="s">
        <v>4045</v>
      </c>
      <c r="O69" s="228" t="s">
        <v>5241</v>
      </c>
      <c r="P69" s="99" t="s">
        <v>66</v>
      </c>
    </row>
    <row r="70" spans="1:16" ht="18.75" x14ac:dyDescent="0.3">
      <c r="A70" s="189" t="s">
        <v>4247</v>
      </c>
      <c r="B70" s="189">
        <v>641</v>
      </c>
      <c r="C70" s="1">
        <v>46284</v>
      </c>
      <c r="D70" t="s">
        <v>5407</v>
      </c>
      <c r="E70" s="1">
        <v>46284</v>
      </c>
      <c r="F70" t="s">
        <v>3776</v>
      </c>
      <c r="G70" t="s">
        <v>842</v>
      </c>
      <c r="H70">
        <v>13910</v>
      </c>
      <c r="I70">
        <v>32770</v>
      </c>
      <c r="J70">
        <v>18860</v>
      </c>
      <c r="K70" t="s">
        <v>14</v>
      </c>
      <c r="L70"/>
      <c r="M70" t="s">
        <v>5905</v>
      </c>
      <c r="N70" t="s">
        <v>4045</v>
      </c>
      <c r="O70" s="228" t="s">
        <v>5241</v>
      </c>
      <c r="P70" s="99" t="s">
        <v>59</v>
      </c>
    </row>
    <row r="71" spans="1:16" ht="18.75" x14ac:dyDescent="0.3">
      <c r="A71" s="189" t="s">
        <v>4251</v>
      </c>
      <c r="B71" s="189">
        <v>642</v>
      </c>
      <c r="C71" s="1">
        <v>46284</v>
      </c>
      <c r="D71" t="s">
        <v>5408</v>
      </c>
      <c r="E71" s="1">
        <v>46284</v>
      </c>
      <c r="F71" t="s">
        <v>5409</v>
      </c>
      <c r="G71" t="s">
        <v>540</v>
      </c>
      <c r="H71">
        <v>13700</v>
      </c>
      <c r="I71">
        <v>33050</v>
      </c>
      <c r="J71">
        <v>19350</v>
      </c>
      <c r="K71" t="s">
        <v>14</v>
      </c>
      <c r="L71"/>
      <c r="M71" t="s">
        <v>5905</v>
      </c>
      <c r="N71" t="s">
        <v>4045</v>
      </c>
      <c r="O71" s="228" t="s">
        <v>5241</v>
      </c>
      <c r="P71" s="99" t="s">
        <v>59</v>
      </c>
    </row>
    <row r="72" spans="1:16" ht="18.75" x14ac:dyDescent="0.3">
      <c r="A72" s="189" t="s">
        <v>4255</v>
      </c>
      <c r="B72" s="189">
        <v>643</v>
      </c>
      <c r="C72" s="1">
        <v>46284</v>
      </c>
      <c r="D72" t="s">
        <v>5410</v>
      </c>
      <c r="E72" s="1">
        <v>46284</v>
      </c>
      <c r="F72" t="s">
        <v>5411</v>
      </c>
      <c r="G72" t="s">
        <v>840</v>
      </c>
      <c r="H72">
        <v>13930</v>
      </c>
      <c r="I72">
        <v>33290</v>
      </c>
      <c r="J72">
        <v>19360</v>
      </c>
      <c r="K72" t="s">
        <v>14</v>
      </c>
      <c r="L72"/>
      <c r="M72" t="s">
        <v>5905</v>
      </c>
      <c r="N72" t="s">
        <v>4045</v>
      </c>
      <c r="O72" s="228" t="s">
        <v>5241</v>
      </c>
      <c r="P72" s="99" t="s">
        <v>59</v>
      </c>
    </row>
    <row r="73" spans="1:16" ht="18.75" x14ac:dyDescent="0.3">
      <c r="A73" s="189" t="s">
        <v>4259</v>
      </c>
      <c r="B73" s="189">
        <v>644</v>
      </c>
      <c r="C73" s="1">
        <v>46284</v>
      </c>
      <c r="D73" t="s">
        <v>5412</v>
      </c>
      <c r="E73" s="1">
        <v>46284</v>
      </c>
      <c r="F73" t="s">
        <v>5413</v>
      </c>
      <c r="G73" t="s">
        <v>55</v>
      </c>
      <c r="H73">
        <v>13830</v>
      </c>
      <c r="I73">
        <v>33030</v>
      </c>
      <c r="J73">
        <v>19200</v>
      </c>
      <c r="K73" t="s">
        <v>14</v>
      </c>
      <c r="L73"/>
      <c r="M73" t="s">
        <v>5905</v>
      </c>
      <c r="N73" t="s">
        <v>4045</v>
      </c>
      <c r="O73" s="228" t="s">
        <v>5241</v>
      </c>
      <c r="P73" s="99" t="s">
        <v>59</v>
      </c>
    </row>
    <row r="74" spans="1:16" ht="18.75" x14ac:dyDescent="0.3">
      <c r="A74" s="189" t="s">
        <v>4263</v>
      </c>
      <c r="B74" s="189">
        <v>645</v>
      </c>
      <c r="C74" s="1">
        <v>46284</v>
      </c>
      <c r="D74" t="s">
        <v>5414</v>
      </c>
      <c r="E74" s="1">
        <v>46284</v>
      </c>
      <c r="F74" t="s">
        <v>5415</v>
      </c>
      <c r="G74" t="s">
        <v>336</v>
      </c>
      <c r="H74">
        <v>13930</v>
      </c>
      <c r="I74">
        <v>32580</v>
      </c>
      <c r="J74">
        <v>18650</v>
      </c>
      <c r="K74" t="s">
        <v>14</v>
      </c>
      <c r="L74"/>
      <c r="M74" t="s">
        <v>5905</v>
      </c>
      <c r="N74" t="s">
        <v>4045</v>
      </c>
      <c r="O74" s="228" t="s">
        <v>5241</v>
      </c>
      <c r="P74" s="99" t="s">
        <v>111</v>
      </c>
    </row>
    <row r="75" spans="1:16" ht="18.75" x14ac:dyDescent="0.3">
      <c r="A75" s="189" t="s">
        <v>4267</v>
      </c>
      <c r="B75" s="189">
        <v>646</v>
      </c>
      <c r="C75" s="1">
        <v>46284</v>
      </c>
      <c r="D75" t="s">
        <v>5416</v>
      </c>
      <c r="E75" s="1">
        <v>46284</v>
      </c>
      <c r="F75" t="s">
        <v>5417</v>
      </c>
      <c r="G75" t="s">
        <v>337</v>
      </c>
      <c r="H75">
        <v>13900</v>
      </c>
      <c r="I75">
        <v>32560</v>
      </c>
      <c r="J75">
        <v>18660</v>
      </c>
      <c r="K75" t="s">
        <v>14</v>
      </c>
      <c r="L75"/>
      <c r="M75" t="s">
        <v>5905</v>
      </c>
      <c r="N75" t="s">
        <v>4045</v>
      </c>
      <c r="O75" s="228" t="s">
        <v>5241</v>
      </c>
      <c r="P75" s="99" t="s">
        <v>111</v>
      </c>
    </row>
    <row r="76" spans="1:16" ht="18.75" x14ac:dyDescent="0.3">
      <c r="A76" s="189" t="s">
        <v>4271</v>
      </c>
      <c r="B76" s="189">
        <v>647</v>
      </c>
      <c r="C76" s="1">
        <v>46284</v>
      </c>
      <c r="D76" t="s">
        <v>5418</v>
      </c>
      <c r="E76" s="1">
        <v>46284</v>
      </c>
      <c r="F76" t="s">
        <v>5419</v>
      </c>
      <c r="G76" t="s">
        <v>335</v>
      </c>
      <c r="H76">
        <v>13890</v>
      </c>
      <c r="I76">
        <v>33300</v>
      </c>
      <c r="J76">
        <v>19410</v>
      </c>
      <c r="K76" t="s">
        <v>14</v>
      </c>
      <c r="L76"/>
      <c r="M76" t="s">
        <v>5905</v>
      </c>
      <c r="N76" t="s">
        <v>4045</v>
      </c>
      <c r="O76" s="228" t="s">
        <v>5241</v>
      </c>
      <c r="P76" s="99" t="s">
        <v>111</v>
      </c>
    </row>
    <row r="77" spans="1:16" ht="18.75" x14ac:dyDescent="0.3">
      <c r="A77" s="189" t="s">
        <v>4275</v>
      </c>
      <c r="B77" s="189">
        <v>648</v>
      </c>
      <c r="C77" s="1">
        <v>46284</v>
      </c>
      <c r="D77" t="s">
        <v>5420</v>
      </c>
      <c r="E77" s="1">
        <v>46284</v>
      </c>
      <c r="F77" t="s">
        <v>5421</v>
      </c>
      <c r="G77" t="s">
        <v>76</v>
      </c>
      <c r="H77">
        <v>14020</v>
      </c>
      <c r="I77">
        <v>33760</v>
      </c>
      <c r="J77">
        <v>19740</v>
      </c>
      <c r="K77" t="s">
        <v>14</v>
      </c>
      <c r="L77"/>
      <c r="M77" t="s">
        <v>5905</v>
      </c>
      <c r="N77" t="s">
        <v>4045</v>
      </c>
      <c r="O77" s="228" t="s">
        <v>5241</v>
      </c>
      <c r="P77" s="99" t="s">
        <v>66</v>
      </c>
    </row>
    <row r="78" spans="1:16" ht="18.75" x14ac:dyDescent="0.3">
      <c r="A78" s="189" t="s">
        <v>4279</v>
      </c>
      <c r="B78" s="189">
        <v>649</v>
      </c>
      <c r="C78" s="1">
        <v>46284</v>
      </c>
      <c r="D78" t="s">
        <v>5422</v>
      </c>
      <c r="E78" s="1">
        <v>46284</v>
      </c>
      <c r="F78" t="s">
        <v>5423</v>
      </c>
      <c r="G78" t="s">
        <v>537</v>
      </c>
      <c r="H78">
        <v>13980</v>
      </c>
      <c r="I78">
        <v>34290</v>
      </c>
      <c r="J78">
        <v>20310</v>
      </c>
      <c r="K78" t="s">
        <v>14</v>
      </c>
      <c r="L78"/>
      <c r="M78" t="s">
        <v>5905</v>
      </c>
      <c r="N78" t="s">
        <v>4045</v>
      </c>
      <c r="O78" s="228" t="s">
        <v>5241</v>
      </c>
      <c r="P78" s="99" t="s">
        <v>59</v>
      </c>
    </row>
    <row r="79" spans="1:16" ht="18.75" x14ac:dyDescent="0.3">
      <c r="A79" s="189" t="s">
        <v>4283</v>
      </c>
      <c r="B79" s="189">
        <v>650</v>
      </c>
      <c r="C79" s="1">
        <v>46284</v>
      </c>
      <c r="D79" t="s">
        <v>5424</v>
      </c>
      <c r="E79" s="1">
        <v>46284</v>
      </c>
      <c r="F79" t="s">
        <v>5425</v>
      </c>
      <c r="G79" t="s">
        <v>143</v>
      </c>
      <c r="H79">
        <v>13830</v>
      </c>
      <c r="I79">
        <v>33600</v>
      </c>
      <c r="J79">
        <v>19770</v>
      </c>
      <c r="K79" t="s">
        <v>14</v>
      </c>
      <c r="L79"/>
      <c r="M79" t="s">
        <v>5905</v>
      </c>
      <c r="N79" t="s">
        <v>4045</v>
      </c>
      <c r="O79" s="228" t="s">
        <v>5241</v>
      </c>
      <c r="P79" s="99" t="s">
        <v>59</v>
      </c>
    </row>
    <row r="80" spans="1:16" ht="18.75" x14ac:dyDescent="0.3">
      <c r="A80" s="189" t="s">
        <v>4286</v>
      </c>
      <c r="B80" s="189">
        <v>651</v>
      </c>
      <c r="C80" s="1">
        <v>46284</v>
      </c>
      <c r="D80" t="s">
        <v>5426</v>
      </c>
      <c r="E80" s="1">
        <v>46284</v>
      </c>
      <c r="F80" t="s">
        <v>5427</v>
      </c>
      <c r="G80" t="s">
        <v>80</v>
      </c>
      <c r="H80">
        <v>14130</v>
      </c>
      <c r="I80">
        <v>34130</v>
      </c>
      <c r="J80">
        <v>20000</v>
      </c>
      <c r="K80" t="s">
        <v>14</v>
      </c>
      <c r="L80"/>
      <c r="M80" t="s">
        <v>5905</v>
      </c>
      <c r="N80" t="s">
        <v>4045</v>
      </c>
      <c r="O80" s="228" t="s">
        <v>5241</v>
      </c>
      <c r="P80" s="99" t="s">
        <v>66</v>
      </c>
    </row>
    <row r="81" spans="1:16" ht="18.75" x14ac:dyDescent="0.3">
      <c r="A81" s="189" t="s">
        <v>4290</v>
      </c>
      <c r="B81" s="189">
        <v>652</v>
      </c>
      <c r="C81" s="1">
        <v>46284</v>
      </c>
      <c r="D81" t="s">
        <v>5428</v>
      </c>
      <c r="E81" s="1">
        <v>46284</v>
      </c>
      <c r="F81" t="s">
        <v>5429</v>
      </c>
      <c r="G81" t="s">
        <v>64</v>
      </c>
      <c r="H81">
        <v>13890</v>
      </c>
      <c r="I81">
        <v>33180</v>
      </c>
      <c r="J81">
        <v>19290</v>
      </c>
      <c r="K81" t="s">
        <v>14</v>
      </c>
      <c r="L81"/>
      <c r="M81" t="s">
        <v>5905</v>
      </c>
      <c r="N81" t="s">
        <v>4045</v>
      </c>
      <c r="O81" s="228" t="s">
        <v>5241</v>
      </c>
      <c r="P81" s="99" t="s">
        <v>66</v>
      </c>
    </row>
    <row r="82" spans="1:16" ht="18.75" x14ac:dyDescent="0.3">
      <c r="A82" s="189" t="s">
        <v>4294</v>
      </c>
      <c r="B82" s="189">
        <v>653</v>
      </c>
      <c r="C82" s="1">
        <v>46284</v>
      </c>
      <c r="D82" t="s">
        <v>5430</v>
      </c>
      <c r="E82" s="1">
        <v>46284</v>
      </c>
      <c r="F82" t="s">
        <v>5431</v>
      </c>
      <c r="G82" t="s">
        <v>843</v>
      </c>
      <c r="H82">
        <v>14230</v>
      </c>
      <c r="I82">
        <v>32780</v>
      </c>
      <c r="J82">
        <v>18550</v>
      </c>
      <c r="K82" t="s">
        <v>14</v>
      </c>
      <c r="L82"/>
      <c r="M82" t="s">
        <v>5905</v>
      </c>
      <c r="N82" t="s">
        <v>4045</v>
      </c>
      <c r="O82" s="228" t="s">
        <v>5241</v>
      </c>
      <c r="P82" s="99" t="s">
        <v>111</v>
      </c>
    </row>
    <row r="83" spans="1:16" ht="18.75" x14ac:dyDescent="0.3">
      <c r="A83" s="189" t="s">
        <v>4298</v>
      </c>
      <c r="B83" s="189">
        <v>654</v>
      </c>
      <c r="C83" s="1">
        <v>46284</v>
      </c>
      <c r="D83" t="s">
        <v>5432</v>
      </c>
      <c r="E83" s="1">
        <v>46284</v>
      </c>
      <c r="F83" t="s">
        <v>5433</v>
      </c>
      <c r="G83" t="s">
        <v>71</v>
      </c>
      <c r="H83">
        <v>14030</v>
      </c>
      <c r="I83">
        <v>33140</v>
      </c>
      <c r="J83">
        <v>19110</v>
      </c>
      <c r="K83" t="s">
        <v>14</v>
      </c>
      <c r="L83"/>
      <c r="M83" t="s">
        <v>5905</v>
      </c>
      <c r="N83" t="s">
        <v>4045</v>
      </c>
      <c r="O83" s="228" t="s">
        <v>5241</v>
      </c>
      <c r="P83" s="99" t="s">
        <v>59</v>
      </c>
    </row>
    <row r="84" spans="1:16" ht="18.75" x14ac:dyDescent="0.3">
      <c r="A84" s="189" t="s">
        <v>4302</v>
      </c>
      <c r="B84" s="189">
        <v>655</v>
      </c>
      <c r="C84" s="1">
        <v>46284</v>
      </c>
      <c r="D84" t="s">
        <v>5434</v>
      </c>
      <c r="E84" s="1">
        <v>46284</v>
      </c>
      <c r="F84" t="s">
        <v>5435</v>
      </c>
      <c r="G84" t="s">
        <v>840</v>
      </c>
      <c r="H84">
        <v>13830</v>
      </c>
      <c r="I84">
        <v>32020</v>
      </c>
      <c r="J84">
        <v>18190</v>
      </c>
      <c r="K84" t="s">
        <v>14</v>
      </c>
      <c r="L84"/>
      <c r="M84" t="s">
        <v>5905</v>
      </c>
      <c r="N84" t="s">
        <v>4045</v>
      </c>
      <c r="O84" s="228" t="s">
        <v>5241</v>
      </c>
      <c r="P84" s="99" t="s">
        <v>59</v>
      </c>
    </row>
    <row r="85" spans="1:16" ht="18.75" x14ac:dyDescent="0.3">
      <c r="A85" s="189" t="s">
        <v>4306</v>
      </c>
      <c r="B85" s="189">
        <v>656</v>
      </c>
      <c r="C85" s="1">
        <v>46284</v>
      </c>
      <c r="D85" t="s">
        <v>5436</v>
      </c>
      <c r="E85" s="1">
        <v>46284</v>
      </c>
      <c r="F85" t="s">
        <v>5437</v>
      </c>
      <c r="G85" t="s">
        <v>55</v>
      </c>
      <c r="H85">
        <v>13790</v>
      </c>
      <c r="I85">
        <v>32880</v>
      </c>
      <c r="J85">
        <v>19090</v>
      </c>
      <c r="K85" t="s">
        <v>14</v>
      </c>
      <c r="L85"/>
      <c r="M85" t="s">
        <v>5905</v>
      </c>
      <c r="N85" t="s">
        <v>4045</v>
      </c>
      <c r="O85" s="228" t="s">
        <v>5241</v>
      </c>
      <c r="P85" s="99" t="s">
        <v>59</v>
      </c>
    </row>
    <row r="86" spans="1:16" ht="18.75" x14ac:dyDescent="0.3">
      <c r="A86" s="189" t="s">
        <v>4310</v>
      </c>
      <c r="B86" s="189">
        <v>657</v>
      </c>
      <c r="C86" s="1">
        <v>46284</v>
      </c>
      <c r="D86" t="s">
        <v>3617</v>
      </c>
      <c r="E86" s="1">
        <v>46284</v>
      </c>
      <c r="F86" t="s">
        <v>5438</v>
      </c>
      <c r="G86" t="s">
        <v>85</v>
      </c>
      <c r="H86">
        <v>14000</v>
      </c>
      <c r="I86">
        <v>33520</v>
      </c>
      <c r="J86">
        <v>19520</v>
      </c>
      <c r="K86" t="s">
        <v>14</v>
      </c>
      <c r="L86"/>
      <c r="M86" t="s">
        <v>5905</v>
      </c>
      <c r="N86" t="s">
        <v>4045</v>
      </c>
      <c r="O86" s="228" t="s">
        <v>5241</v>
      </c>
      <c r="P86" s="99" t="s">
        <v>66</v>
      </c>
    </row>
    <row r="87" spans="1:16" ht="18.75" x14ac:dyDescent="0.3">
      <c r="A87" s="189" t="s">
        <v>4314</v>
      </c>
      <c r="B87" s="189">
        <v>658</v>
      </c>
      <c r="C87" s="1">
        <v>46284</v>
      </c>
      <c r="D87" t="s">
        <v>5439</v>
      </c>
      <c r="E87" s="1">
        <v>46284</v>
      </c>
      <c r="F87" t="s">
        <v>5440</v>
      </c>
      <c r="G87" t="s">
        <v>540</v>
      </c>
      <c r="H87">
        <v>13930</v>
      </c>
      <c r="I87">
        <v>32820</v>
      </c>
      <c r="J87">
        <v>18890</v>
      </c>
      <c r="K87" t="s">
        <v>14</v>
      </c>
      <c r="L87"/>
      <c r="M87" t="s">
        <v>5905</v>
      </c>
      <c r="N87" t="s">
        <v>4045</v>
      </c>
      <c r="O87" s="228" t="s">
        <v>5241</v>
      </c>
      <c r="P87" s="99" t="s">
        <v>59</v>
      </c>
    </row>
    <row r="88" spans="1:16" ht="18.75" x14ac:dyDescent="0.3">
      <c r="A88" s="189" t="s">
        <v>4318</v>
      </c>
      <c r="B88" s="189">
        <v>659</v>
      </c>
      <c r="C88" s="1">
        <v>46284</v>
      </c>
      <c r="D88" t="s">
        <v>5441</v>
      </c>
      <c r="E88" s="1">
        <v>46284</v>
      </c>
      <c r="F88" t="s">
        <v>5442</v>
      </c>
      <c r="G88" t="s">
        <v>43</v>
      </c>
      <c r="H88">
        <v>13870</v>
      </c>
      <c r="I88">
        <v>33040</v>
      </c>
      <c r="J88">
        <v>19170</v>
      </c>
      <c r="K88" t="s">
        <v>14</v>
      </c>
      <c r="L88"/>
      <c r="M88" t="s">
        <v>5905</v>
      </c>
      <c r="N88" t="s">
        <v>4045</v>
      </c>
      <c r="O88" s="228" t="s">
        <v>5241</v>
      </c>
      <c r="P88" s="99" t="s">
        <v>111</v>
      </c>
    </row>
    <row r="89" spans="1:16" ht="18.75" x14ac:dyDescent="0.3">
      <c r="A89" s="189" t="s">
        <v>4322</v>
      </c>
      <c r="B89" s="189">
        <v>660</v>
      </c>
      <c r="C89" s="1">
        <v>46284</v>
      </c>
      <c r="D89" t="s">
        <v>5443</v>
      </c>
      <c r="E89" s="1">
        <v>46284</v>
      </c>
      <c r="F89" t="s">
        <v>5444</v>
      </c>
      <c r="G89" t="s">
        <v>842</v>
      </c>
      <c r="H89">
        <v>13890</v>
      </c>
      <c r="I89">
        <v>34040</v>
      </c>
      <c r="J89">
        <v>20150</v>
      </c>
      <c r="K89" t="s">
        <v>14</v>
      </c>
      <c r="L89"/>
      <c r="M89" t="s">
        <v>5905</v>
      </c>
      <c r="N89" t="s">
        <v>4045</v>
      </c>
      <c r="O89" s="228" t="s">
        <v>5241</v>
      </c>
      <c r="P89" s="99" t="s">
        <v>59</v>
      </c>
    </row>
    <row r="90" spans="1:16" ht="18.75" x14ac:dyDescent="0.3">
      <c r="A90" s="189" t="s">
        <v>4326</v>
      </c>
      <c r="B90" s="189">
        <v>661</v>
      </c>
      <c r="C90" s="1">
        <v>46284</v>
      </c>
      <c r="D90" t="s">
        <v>5445</v>
      </c>
      <c r="E90" s="1">
        <v>46284</v>
      </c>
      <c r="F90" t="s">
        <v>5446</v>
      </c>
      <c r="G90" t="s">
        <v>336</v>
      </c>
      <c r="H90">
        <v>13900</v>
      </c>
      <c r="I90">
        <v>34030</v>
      </c>
      <c r="J90">
        <v>20130</v>
      </c>
      <c r="K90" t="s">
        <v>14</v>
      </c>
      <c r="L90"/>
      <c r="M90" t="s">
        <v>5905</v>
      </c>
      <c r="N90" t="s">
        <v>4045</v>
      </c>
      <c r="O90" s="228" t="s">
        <v>5241</v>
      </c>
      <c r="P90" s="99" t="s">
        <v>111</v>
      </c>
    </row>
    <row r="91" spans="1:16" ht="18.75" x14ac:dyDescent="0.3">
      <c r="A91" s="189" t="s">
        <v>4330</v>
      </c>
      <c r="B91" s="189">
        <v>662</v>
      </c>
      <c r="C91" s="1">
        <v>46284</v>
      </c>
      <c r="D91" t="s">
        <v>5447</v>
      </c>
      <c r="E91" s="1">
        <v>46284</v>
      </c>
      <c r="F91" t="s">
        <v>5448</v>
      </c>
      <c r="G91" t="s">
        <v>76</v>
      </c>
      <c r="H91">
        <v>14000</v>
      </c>
      <c r="I91">
        <v>34560</v>
      </c>
      <c r="J91">
        <v>20560</v>
      </c>
      <c r="K91" t="s">
        <v>14</v>
      </c>
      <c r="L91"/>
      <c r="M91" t="s">
        <v>5905</v>
      </c>
      <c r="N91" t="s">
        <v>4045</v>
      </c>
      <c r="O91" s="228" t="s">
        <v>5241</v>
      </c>
      <c r="P91" s="99" t="s">
        <v>66</v>
      </c>
    </row>
    <row r="92" spans="1:16" ht="18.75" x14ac:dyDescent="0.3">
      <c r="A92" s="189" t="s">
        <v>4334</v>
      </c>
      <c r="B92" s="189">
        <v>663</v>
      </c>
      <c r="C92" s="1">
        <v>46284</v>
      </c>
      <c r="D92" t="s">
        <v>5449</v>
      </c>
      <c r="E92" s="1">
        <v>46284</v>
      </c>
      <c r="F92" t="s">
        <v>5450</v>
      </c>
      <c r="G92" t="s">
        <v>335</v>
      </c>
      <c r="H92">
        <v>13890</v>
      </c>
      <c r="I92">
        <v>32980</v>
      </c>
      <c r="J92">
        <v>19090</v>
      </c>
      <c r="K92" t="s">
        <v>14</v>
      </c>
      <c r="L92"/>
      <c r="M92" t="s">
        <v>5905</v>
      </c>
      <c r="N92" t="s">
        <v>4045</v>
      </c>
      <c r="O92" s="228" t="s">
        <v>5241</v>
      </c>
      <c r="P92" s="99" t="s">
        <v>111</v>
      </c>
    </row>
    <row r="93" spans="1:16" ht="18.75" x14ac:dyDescent="0.3">
      <c r="A93" s="189" t="s">
        <v>4338</v>
      </c>
      <c r="B93" s="189">
        <v>664</v>
      </c>
      <c r="C93" s="1">
        <v>46284</v>
      </c>
      <c r="D93" t="s">
        <v>5451</v>
      </c>
      <c r="E93" s="1">
        <v>46284</v>
      </c>
      <c r="F93" t="s">
        <v>5452</v>
      </c>
      <c r="G93" t="s">
        <v>337</v>
      </c>
      <c r="H93">
        <v>13810</v>
      </c>
      <c r="I93">
        <v>32020</v>
      </c>
      <c r="J93">
        <v>18210</v>
      </c>
      <c r="K93" t="s">
        <v>14</v>
      </c>
      <c r="L93"/>
      <c r="M93" t="s">
        <v>5905</v>
      </c>
      <c r="N93" t="s">
        <v>4045</v>
      </c>
      <c r="O93" s="228" t="s">
        <v>5241</v>
      </c>
      <c r="P93" s="99" t="s">
        <v>111</v>
      </c>
    </row>
    <row r="94" spans="1:16" ht="18.75" x14ac:dyDescent="0.3">
      <c r="A94" s="189" t="s">
        <v>4342</v>
      </c>
      <c r="B94" s="189">
        <v>665</v>
      </c>
      <c r="C94" s="1">
        <v>46284</v>
      </c>
      <c r="D94" t="s">
        <v>5453</v>
      </c>
      <c r="E94" s="1">
        <v>46284</v>
      </c>
      <c r="F94" t="s">
        <v>5454</v>
      </c>
      <c r="G94" t="s">
        <v>80</v>
      </c>
      <c r="H94">
        <v>14060</v>
      </c>
      <c r="I94">
        <v>32300</v>
      </c>
      <c r="J94">
        <v>18240</v>
      </c>
      <c r="K94" t="s">
        <v>14</v>
      </c>
      <c r="L94"/>
      <c r="M94" t="s">
        <v>5905</v>
      </c>
      <c r="N94" t="s">
        <v>4045</v>
      </c>
      <c r="O94" s="228" t="s">
        <v>5241</v>
      </c>
      <c r="P94" s="99" t="s">
        <v>66</v>
      </c>
    </row>
    <row r="95" spans="1:16" ht="18.75" x14ac:dyDescent="0.3">
      <c r="A95" s="189" t="s">
        <v>4346</v>
      </c>
      <c r="B95" s="189">
        <v>666</v>
      </c>
      <c r="C95" s="1">
        <v>46284</v>
      </c>
      <c r="D95" t="s">
        <v>5455</v>
      </c>
      <c r="E95" s="1">
        <v>46284</v>
      </c>
      <c r="F95" t="s">
        <v>5456</v>
      </c>
      <c r="G95" t="s">
        <v>143</v>
      </c>
      <c r="H95">
        <v>13840</v>
      </c>
      <c r="I95">
        <v>32610</v>
      </c>
      <c r="J95">
        <v>18770</v>
      </c>
      <c r="K95" t="s">
        <v>14</v>
      </c>
      <c r="L95"/>
      <c r="M95" t="s">
        <v>5905</v>
      </c>
      <c r="N95" t="s">
        <v>4045</v>
      </c>
      <c r="O95" s="228" t="s">
        <v>5241</v>
      </c>
      <c r="P95" s="99" t="s">
        <v>59</v>
      </c>
    </row>
    <row r="96" spans="1:16" ht="18.75" x14ac:dyDescent="0.3">
      <c r="A96" s="189" t="s">
        <v>4350</v>
      </c>
      <c r="B96" s="189">
        <v>667</v>
      </c>
      <c r="C96" s="1">
        <v>46284</v>
      </c>
      <c r="D96" t="s">
        <v>5457</v>
      </c>
      <c r="E96" s="1">
        <v>46284</v>
      </c>
      <c r="F96" t="s">
        <v>5458</v>
      </c>
      <c r="G96" t="s">
        <v>71</v>
      </c>
      <c r="H96">
        <v>14110</v>
      </c>
      <c r="I96">
        <v>33270</v>
      </c>
      <c r="J96">
        <v>19160</v>
      </c>
      <c r="K96" t="s">
        <v>14</v>
      </c>
      <c r="L96"/>
      <c r="M96" t="s">
        <v>5905</v>
      </c>
      <c r="N96" t="s">
        <v>4045</v>
      </c>
      <c r="O96" s="228" t="s">
        <v>5241</v>
      </c>
      <c r="P96" s="99" t="s">
        <v>59</v>
      </c>
    </row>
    <row r="97" spans="1:16" ht="18.75" x14ac:dyDescent="0.3">
      <c r="A97" s="189" t="s">
        <v>4353</v>
      </c>
      <c r="B97" s="189">
        <v>668</v>
      </c>
      <c r="C97" s="1">
        <v>46284</v>
      </c>
      <c r="D97" t="s">
        <v>5459</v>
      </c>
      <c r="E97" s="1">
        <v>46284</v>
      </c>
      <c r="F97" t="s">
        <v>5460</v>
      </c>
      <c r="G97" t="s">
        <v>85</v>
      </c>
      <c r="H97">
        <v>13950</v>
      </c>
      <c r="I97">
        <v>31320</v>
      </c>
      <c r="J97">
        <v>17370</v>
      </c>
      <c r="K97" t="s">
        <v>14</v>
      </c>
      <c r="L97"/>
      <c r="M97" t="s">
        <v>5905</v>
      </c>
      <c r="N97" t="s">
        <v>4045</v>
      </c>
      <c r="O97" s="228" t="s">
        <v>5241</v>
      </c>
      <c r="P97" s="99" t="s">
        <v>66</v>
      </c>
    </row>
    <row r="98" spans="1:16" ht="18.75" x14ac:dyDescent="0.3">
      <c r="A98" s="189" t="s">
        <v>4356</v>
      </c>
      <c r="B98" s="189">
        <v>669</v>
      </c>
      <c r="C98" s="1">
        <v>46284</v>
      </c>
      <c r="D98" t="s">
        <v>5461</v>
      </c>
      <c r="E98" s="1">
        <v>46284</v>
      </c>
      <c r="F98" t="s">
        <v>5462</v>
      </c>
      <c r="G98" t="s">
        <v>843</v>
      </c>
      <c r="H98">
        <v>14230</v>
      </c>
      <c r="I98">
        <v>31790</v>
      </c>
      <c r="J98">
        <v>17560</v>
      </c>
      <c r="K98" t="s">
        <v>14</v>
      </c>
      <c r="L98"/>
      <c r="M98" t="s">
        <v>5905</v>
      </c>
      <c r="N98" t="s">
        <v>4045</v>
      </c>
      <c r="O98" s="228" t="s">
        <v>5241</v>
      </c>
      <c r="P98" s="99" t="s">
        <v>111</v>
      </c>
    </row>
    <row r="99" spans="1:16" ht="18.75" x14ac:dyDescent="0.3">
      <c r="A99" s="189" t="s">
        <v>4360</v>
      </c>
      <c r="B99" s="189">
        <v>670</v>
      </c>
      <c r="C99" s="1">
        <v>46284</v>
      </c>
      <c r="D99" t="s">
        <v>5463</v>
      </c>
      <c r="E99" s="1">
        <v>46284</v>
      </c>
      <c r="F99" t="s">
        <v>5464</v>
      </c>
      <c r="G99" t="s">
        <v>540</v>
      </c>
      <c r="H99">
        <v>13850</v>
      </c>
      <c r="I99">
        <v>32670</v>
      </c>
      <c r="J99">
        <v>18820</v>
      </c>
      <c r="K99" t="s">
        <v>14</v>
      </c>
      <c r="L99"/>
      <c r="M99" t="s">
        <v>5905</v>
      </c>
      <c r="N99" t="s">
        <v>4045</v>
      </c>
      <c r="O99" s="228" t="s">
        <v>5241</v>
      </c>
      <c r="P99" s="99" t="s">
        <v>59</v>
      </c>
    </row>
    <row r="100" spans="1:16" ht="18.75" x14ac:dyDescent="0.3">
      <c r="A100" s="189" t="s">
        <v>4364</v>
      </c>
      <c r="B100" s="189">
        <v>671</v>
      </c>
      <c r="C100" s="1">
        <v>46284</v>
      </c>
      <c r="D100" t="s">
        <v>5465</v>
      </c>
      <c r="E100" s="1">
        <v>46284</v>
      </c>
      <c r="F100" t="s">
        <v>5466</v>
      </c>
      <c r="G100" t="s">
        <v>842</v>
      </c>
      <c r="H100">
        <v>13750</v>
      </c>
      <c r="I100">
        <v>33630</v>
      </c>
      <c r="J100">
        <v>19880</v>
      </c>
      <c r="K100" t="s">
        <v>14</v>
      </c>
      <c r="L100"/>
      <c r="M100" t="s">
        <v>5905</v>
      </c>
      <c r="N100" t="s">
        <v>4045</v>
      </c>
      <c r="O100" s="228" t="s">
        <v>5241</v>
      </c>
      <c r="P100" s="99" t="s">
        <v>59</v>
      </c>
    </row>
    <row r="101" spans="1:16" ht="18.75" x14ac:dyDescent="0.3">
      <c r="A101" s="189" t="s">
        <v>4368</v>
      </c>
      <c r="B101" s="189">
        <v>672</v>
      </c>
      <c r="C101" s="1">
        <v>46284</v>
      </c>
      <c r="D101" t="s">
        <v>5467</v>
      </c>
      <c r="E101" s="1">
        <v>46284</v>
      </c>
      <c r="F101" t="s">
        <v>5468</v>
      </c>
      <c r="G101" t="s">
        <v>43</v>
      </c>
      <c r="H101">
        <v>13820</v>
      </c>
      <c r="I101">
        <v>33680</v>
      </c>
      <c r="J101">
        <v>19860</v>
      </c>
      <c r="K101" t="s">
        <v>14</v>
      </c>
      <c r="L101"/>
      <c r="M101" t="s">
        <v>5905</v>
      </c>
      <c r="N101" t="s">
        <v>4045</v>
      </c>
      <c r="O101" s="228" t="s">
        <v>5241</v>
      </c>
      <c r="P101" s="99" t="s">
        <v>111</v>
      </c>
    </row>
    <row r="102" spans="1:16" ht="18.75" x14ac:dyDescent="0.3">
      <c r="A102" s="189" t="s">
        <v>4372</v>
      </c>
      <c r="B102" s="189">
        <v>673</v>
      </c>
      <c r="C102" s="1">
        <v>46285</v>
      </c>
      <c r="D102" t="s">
        <v>5469</v>
      </c>
      <c r="E102" s="1">
        <v>46285</v>
      </c>
      <c r="F102" t="s">
        <v>5470</v>
      </c>
      <c r="G102" t="s">
        <v>337</v>
      </c>
      <c r="H102">
        <v>13790</v>
      </c>
      <c r="I102">
        <v>34930</v>
      </c>
      <c r="J102">
        <v>21140</v>
      </c>
      <c r="K102" t="s">
        <v>14</v>
      </c>
      <c r="L102"/>
      <c r="M102" t="s">
        <v>5905</v>
      </c>
      <c r="N102" t="s">
        <v>4045</v>
      </c>
      <c r="O102" s="228" t="s">
        <v>5241</v>
      </c>
      <c r="P102" s="99" t="s">
        <v>111</v>
      </c>
    </row>
    <row r="103" spans="1:16" ht="18.75" x14ac:dyDescent="0.3">
      <c r="A103" s="189" t="s">
        <v>4376</v>
      </c>
      <c r="B103" s="189">
        <v>674</v>
      </c>
      <c r="C103" s="1">
        <v>46285</v>
      </c>
      <c r="D103" t="s">
        <v>5471</v>
      </c>
      <c r="E103" s="1">
        <v>46285</v>
      </c>
      <c r="F103" t="s">
        <v>3431</v>
      </c>
      <c r="G103" t="s">
        <v>537</v>
      </c>
      <c r="H103">
        <v>13970</v>
      </c>
      <c r="I103">
        <v>34460</v>
      </c>
      <c r="J103">
        <v>20490</v>
      </c>
      <c r="K103" t="s">
        <v>14</v>
      </c>
      <c r="L103"/>
      <c r="M103" t="s">
        <v>5905</v>
      </c>
      <c r="N103" t="s">
        <v>4045</v>
      </c>
      <c r="O103" s="228" t="s">
        <v>5241</v>
      </c>
      <c r="P103" s="99" t="s">
        <v>59</v>
      </c>
    </row>
    <row r="104" spans="1:16" ht="18.75" x14ac:dyDescent="0.3">
      <c r="A104" s="189" t="s">
        <v>4380</v>
      </c>
      <c r="B104" s="189">
        <v>675</v>
      </c>
      <c r="C104" s="1">
        <v>46285</v>
      </c>
      <c r="D104" t="s">
        <v>5472</v>
      </c>
      <c r="E104" s="1">
        <v>46285</v>
      </c>
      <c r="F104" t="s">
        <v>5473</v>
      </c>
      <c r="G104" t="s">
        <v>335</v>
      </c>
      <c r="H104">
        <v>13860</v>
      </c>
      <c r="I104">
        <v>33470</v>
      </c>
      <c r="J104">
        <v>19610</v>
      </c>
      <c r="K104" t="s">
        <v>14</v>
      </c>
      <c r="L104"/>
      <c r="M104" t="s">
        <v>5905</v>
      </c>
      <c r="N104" t="s">
        <v>4045</v>
      </c>
      <c r="O104" s="228" t="s">
        <v>5241</v>
      </c>
      <c r="P104" s="99" t="s">
        <v>111</v>
      </c>
    </row>
    <row r="105" spans="1:16" ht="18.75" x14ac:dyDescent="0.3">
      <c r="A105" s="189" t="s">
        <v>4384</v>
      </c>
      <c r="B105" s="189">
        <v>676</v>
      </c>
      <c r="C105" s="1">
        <v>46285</v>
      </c>
      <c r="D105" t="s">
        <v>5474</v>
      </c>
      <c r="E105" s="1">
        <v>46285</v>
      </c>
      <c r="F105" t="s">
        <v>5475</v>
      </c>
      <c r="G105" t="s">
        <v>85</v>
      </c>
      <c r="H105">
        <v>13950</v>
      </c>
      <c r="I105">
        <v>33900</v>
      </c>
      <c r="J105">
        <v>19950</v>
      </c>
      <c r="K105" t="s">
        <v>14</v>
      </c>
      <c r="L105"/>
      <c r="M105" t="s">
        <v>5905</v>
      </c>
      <c r="N105" t="s">
        <v>4045</v>
      </c>
      <c r="O105" s="228" t="s">
        <v>5241</v>
      </c>
      <c r="P105" s="99" t="s">
        <v>66</v>
      </c>
    </row>
    <row r="106" spans="1:16" ht="18.75" x14ac:dyDescent="0.3">
      <c r="A106" s="189" t="s">
        <v>4388</v>
      </c>
      <c r="B106" s="189">
        <v>677</v>
      </c>
      <c r="C106" s="1">
        <v>46285</v>
      </c>
      <c r="D106" t="s">
        <v>5476</v>
      </c>
      <c r="E106" s="1">
        <v>46285</v>
      </c>
      <c r="F106" t="s">
        <v>5477</v>
      </c>
      <c r="G106" t="s">
        <v>840</v>
      </c>
      <c r="H106">
        <v>13860</v>
      </c>
      <c r="I106">
        <v>32470</v>
      </c>
      <c r="J106">
        <v>18610</v>
      </c>
      <c r="K106" t="s">
        <v>14</v>
      </c>
      <c r="L106"/>
      <c r="M106" t="s">
        <v>5905</v>
      </c>
      <c r="N106" t="s">
        <v>4045</v>
      </c>
      <c r="O106" s="228" t="s">
        <v>5241</v>
      </c>
      <c r="P106" s="99" t="s">
        <v>59</v>
      </c>
    </row>
    <row r="107" spans="1:16" ht="18.75" x14ac:dyDescent="0.3">
      <c r="A107" s="189" t="s">
        <v>4392</v>
      </c>
      <c r="B107" s="189">
        <v>678</v>
      </c>
      <c r="C107" s="1">
        <v>46285</v>
      </c>
      <c r="D107" t="s">
        <v>5478</v>
      </c>
      <c r="E107" s="1">
        <v>46285</v>
      </c>
      <c r="F107" t="s">
        <v>5479</v>
      </c>
      <c r="G107" t="s">
        <v>64</v>
      </c>
      <c r="H107">
        <v>13930</v>
      </c>
      <c r="I107">
        <v>32100</v>
      </c>
      <c r="J107">
        <v>18170</v>
      </c>
      <c r="K107" t="s">
        <v>14</v>
      </c>
      <c r="L107"/>
      <c r="M107" t="s">
        <v>5905</v>
      </c>
      <c r="N107" t="s">
        <v>4045</v>
      </c>
      <c r="O107" s="228" t="s">
        <v>5241</v>
      </c>
      <c r="P107" s="99" t="s">
        <v>66</v>
      </c>
    </row>
    <row r="108" spans="1:16" ht="18.75" x14ac:dyDescent="0.3">
      <c r="A108" s="189" t="s">
        <v>4396</v>
      </c>
      <c r="B108" s="189">
        <v>679</v>
      </c>
      <c r="C108" s="1">
        <v>46285</v>
      </c>
      <c r="D108" t="s">
        <v>5480</v>
      </c>
      <c r="E108" s="1">
        <v>46285</v>
      </c>
      <c r="F108" t="s">
        <v>5481</v>
      </c>
      <c r="G108" t="s">
        <v>80</v>
      </c>
      <c r="H108">
        <v>14060</v>
      </c>
      <c r="I108">
        <v>33050</v>
      </c>
      <c r="J108">
        <v>18990</v>
      </c>
      <c r="K108" t="s">
        <v>14</v>
      </c>
      <c r="L108"/>
      <c r="M108" t="s">
        <v>5905</v>
      </c>
      <c r="N108" t="s">
        <v>4045</v>
      </c>
      <c r="O108" s="228" t="s">
        <v>5241</v>
      </c>
      <c r="P108" s="99" t="s">
        <v>66</v>
      </c>
    </row>
    <row r="109" spans="1:16" ht="18.75" x14ac:dyDescent="0.3">
      <c r="A109" s="189" t="s">
        <v>4400</v>
      </c>
      <c r="B109" s="189">
        <v>680</v>
      </c>
      <c r="C109" s="1">
        <v>46285</v>
      </c>
      <c r="D109" t="s">
        <v>5482</v>
      </c>
      <c r="E109" s="1">
        <v>46285</v>
      </c>
      <c r="F109" t="s">
        <v>5483</v>
      </c>
      <c r="G109" t="s">
        <v>55</v>
      </c>
      <c r="H109">
        <v>13750</v>
      </c>
      <c r="I109">
        <v>34120</v>
      </c>
      <c r="J109">
        <v>20370</v>
      </c>
      <c r="K109" t="s">
        <v>14</v>
      </c>
      <c r="L109"/>
      <c r="M109" t="s">
        <v>5905</v>
      </c>
      <c r="N109" t="s">
        <v>4045</v>
      </c>
      <c r="O109" s="228" t="s">
        <v>5241</v>
      </c>
      <c r="P109" s="99" t="s">
        <v>59</v>
      </c>
    </row>
    <row r="110" spans="1:16" ht="18.75" x14ac:dyDescent="0.3">
      <c r="A110" s="189" t="s">
        <v>4404</v>
      </c>
      <c r="B110" s="189">
        <v>681</v>
      </c>
      <c r="C110" s="1">
        <v>46285</v>
      </c>
      <c r="D110" t="s">
        <v>5484</v>
      </c>
      <c r="E110" s="1">
        <v>46285</v>
      </c>
      <c r="F110" t="s">
        <v>5485</v>
      </c>
      <c r="G110" t="s">
        <v>143</v>
      </c>
      <c r="H110">
        <v>13810</v>
      </c>
      <c r="I110">
        <v>33100</v>
      </c>
      <c r="J110">
        <v>19290</v>
      </c>
      <c r="K110" t="s">
        <v>14</v>
      </c>
      <c r="L110"/>
      <c r="M110" t="s">
        <v>5905</v>
      </c>
      <c r="N110" t="s">
        <v>4045</v>
      </c>
      <c r="O110" s="228" t="s">
        <v>5241</v>
      </c>
      <c r="P110" s="99" t="s">
        <v>59</v>
      </c>
    </row>
    <row r="111" spans="1:16" ht="18.75" x14ac:dyDescent="0.3">
      <c r="A111" s="189" t="s">
        <v>4408</v>
      </c>
      <c r="B111" s="189">
        <v>682</v>
      </c>
      <c r="C111" s="1">
        <v>46285</v>
      </c>
      <c r="D111" t="s">
        <v>5486</v>
      </c>
      <c r="E111" s="1">
        <v>46285</v>
      </c>
      <c r="F111" t="s">
        <v>5487</v>
      </c>
      <c r="G111" t="s">
        <v>76</v>
      </c>
      <c r="H111">
        <v>13930</v>
      </c>
      <c r="I111">
        <v>34250</v>
      </c>
      <c r="J111">
        <v>20320</v>
      </c>
      <c r="K111" t="s">
        <v>14</v>
      </c>
      <c r="L111"/>
      <c r="M111" t="s">
        <v>5905</v>
      </c>
      <c r="N111" t="s">
        <v>4045</v>
      </c>
      <c r="O111" s="228" t="s">
        <v>5241</v>
      </c>
      <c r="P111" s="99" t="s">
        <v>66</v>
      </c>
    </row>
    <row r="112" spans="1:16" ht="18.75" x14ac:dyDescent="0.3">
      <c r="A112" s="189" t="s">
        <v>4412</v>
      </c>
      <c r="B112" s="189">
        <v>683</v>
      </c>
      <c r="C112" s="1">
        <v>46285</v>
      </c>
      <c r="D112" t="s">
        <v>5488</v>
      </c>
      <c r="E112" s="1">
        <v>46285</v>
      </c>
      <c r="F112" t="s">
        <v>5489</v>
      </c>
      <c r="G112" t="s">
        <v>540</v>
      </c>
      <c r="H112">
        <v>13850</v>
      </c>
      <c r="I112">
        <v>34780</v>
      </c>
      <c r="J112">
        <v>20930</v>
      </c>
      <c r="K112" t="s">
        <v>14</v>
      </c>
      <c r="L112"/>
      <c r="M112" t="s">
        <v>5905</v>
      </c>
      <c r="N112" t="s">
        <v>4045</v>
      </c>
      <c r="O112" s="228" t="s">
        <v>5241</v>
      </c>
      <c r="P112" s="99" t="s">
        <v>59</v>
      </c>
    </row>
    <row r="113" spans="1:16" ht="18.75" x14ac:dyDescent="0.3">
      <c r="A113" s="189" t="s">
        <v>4416</v>
      </c>
      <c r="B113" s="189">
        <v>684</v>
      </c>
      <c r="C113" s="1">
        <v>46285</v>
      </c>
      <c r="D113" t="s">
        <v>5490</v>
      </c>
      <c r="E113" s="1">
        <v>46285</v>
      </c>
      <c r="F113" t="s">
        <v>5491</v>
      </c>
      <c r="G113" t="s">
        <v>537</v>
      </c>
      <c r="H113">
        <v>13930</v>
      </c>
      <c r="I113">
        <v>33580</v>
      </c>
      <c r="J113">
        <v>19650</v>
      </c>
      <c r="K113" t="s">
        <v>14</v>
      </c>
      <c r="L113"/>
      <c r="M113" t="s">
        <v>5905</v>
      </c>
      <c r="N113" t="s">
        <v>4045</v>
      </c>
      <c r="O113" s="228" t="s">
        <v>5241</v>
      </c>
      <c r="P113" s="99" t="s">
        <v>59</v>
      </c>
    </row>
    <row r="114" spans="1:16" ht="18.75" x14ac:dyDescent="0.3">
      <c r="A114" s="189" t="s">
        <v>4420</v>
      </c>
      <c r="B114" s="189">
        <v>685</v>
      </c>
      <c r="C114" s="1">
        <v>46285</v>
      </c>
      <c r="D114" t="s">
        <v>5492</v>
      </c>
      <c r="E114" s="1">
        <v>46285</v>
      </c>
      <c r="F114" t="s">
        <v>5493</v>
      </c>
      <c r="G114" t="s">
        <v>335</v>
      </c>
      <c r="H114">
        <v>13850</v>
      </c>
      <c r="I114">
        <v>32820</v>
      </c>
      <c r="J114">
        <v>18970</v>
      </c>
      <c r="K114" t="s">
        <v>14</v>
      </c>
      <c r="L114"/>
      <c r="M114" t="s">
        <v>5905</v>
      </c>
      <c r="N114" t="s">
        <v>4045</v>
      </c>
      <c r="O114" s="228" t="s">
        <v>5241</v>
      </c>
      <c r="P114" s="99" t="s">
        <v>111</v>
      </c>
    </row>
    <row r="115" spans="1:16" ht="18.75" x14ac:dyDescent="0.3">
      <c r="A115" s="189" t="s">
        <v>4424</v>
      </c>
      <c r="B115" s="189">
        <v>686</v>
      </c>
      <c r="C115" s="1">
        <v>46285</v>
      </c>
      <c r="D115" t="s">
        <v>5494</v>
      </c>
      <c r="E115" s="1">
        <v>46285</v>
      </c>
      <c r="F115" t="s">
        <v>5495</v>
      </c>
      <c r="G115" t="s">
        <v>71</v>
      </c>
      <c r="H115">
        <v>13990</v>
      </c>
      <c r="I115">
        <v>34510</v>
      </c>
      <c r="J115">
        <v>20520</v>
      </c>
      <c r="K115" t="s">
        <v>14</v>
      </c>
      <c r="L115"/>
      <c r="M115" t="s">
        <v>5905</v>
      </c>
      <c r="N115" t="s">
        <v>4045</v>
      </c>
      <c r="O115" s="228" t="s">
        <v>5241</v>
      </c>
      <c r="P115" s="99" t="s">
        <v>59</v>
      </c>
    </row>
    <row r="116" spans="1:16" ht="18.75" x14ac:dyDescent="0.3">
      <c r="A116" s="189" t="s">
        <v>4428</v>
      </c>
      <c r="B116" s="189">
        <v>687</v>
      </c>
      <c r="C116" s="1">
        <v>46285</v>
      </c>
      <c r="D116" t="s">
        <v>5496</v>
      </c>
      <c r="E116" s="1">
        <v>46285</v>
      </c>
      <c r="F116" t="s">
        <v>5497</v>
      </c>
      <c r="G116" t="s">
        <v>64</v>
      </c>
      <c r="H116">
        <v>13870</v>
      </c>
      <c r="I116">
        <v>33780</v>
      </c>
      <c r="J116">
        <v>19910</v>
      </c>
      <c r="K116" t="s">
        <v>14</v>
      </c>
      <c r="L116"/>
      <c r="M116" t="s">
        <v>5905</v>
      </c>
      <c r="N116" t="s">
        <v>4045</v>
      </c>
      <c r="O116" s="228" t="s">
        <v>5241</v>
      </c>
      <c r="P116" s="99" t="s">
        <v>66</v>
      </c>
    </row>
    <row r="117" spans="1:16" ht="18.75" x14ac:dyDescent="0.3">
      <c r="A117" s="189" t="s">
        <v>4432</v>
      </c>
      <c r="B117" s="189">
        <v>688</v>
      </c>
      <c r="C117" s="1">
        <v>46285</v>
      </c>
      <c r="D117" t="s">
        <v>1676</v>
      </c>
      <c r="E117" s="1">
        <v>46285</v>
      </c>
      <c r="F117" t="s">
        <v>5498</v>
      </c>
      <c r="G117" t="s">
        <v>843</v>
      </c>
      <c r="H117">
        <v>14150</v>
      </c>
      <c r="I117">
        <v>33290</v>
      </c>
      <c r="J117">
        <v>19140</v>
      </c>
      <c r="K117" t="s">
        <v>14</v>
      </c>
      <c r="L117"/>
      <c r="M117" t="s">
        <v>5905</v>
      </c>
      <c r="N117" t="s">
        <v>4045</v>
      </c>
      <c r="O117" s="228" t="s">
        <v>5241</v>
      </c>
      <c r="P117" s="99" t="s">
        <v>111</v>
      </c>
    </row>
    <row r="118" spans="1:16" ht="18.75" x14ac:dyDescent="0.3">
      <c r="A118" s="189" t="s">
        <v>4436</v>
      </c>
      <c r="B118" s="189">
        <v>689</v>
      </c>
      <c r="C118" s="1">
        <v>46285</v>
      </c>
      <c r="D118" t="s">
        <v>5499</v>
      </c>
      <c r="E118" s="1">
        <v>46285</v>
      </c>
      <c r="F118" t="s">
        <v>5500</v>
      </c>
      <c r="G118" t="s">
        <v>842</v>
      </c>
      <c r="H118">
        <v>13760</v>
      </c>
      <c r="I118">
        <v>33400</v>
      </c>
      <c r="J118">
        <v>19640</v>
      </c>
      <c r="K118" t="s">
        <v>14</v>
      </c>
      <c r="L118"/>
      <c r="M118" t="s">
        <v>5905</v>
      </c>
      <c r="N118" t="s">
        <v>4045</v>
      </c>
      <c r="O118" s="228" t="s">
        <v>5241</v>
      </c>
      <c r="P118" s="99" t="s">
        <v>59</v>
      </c>
    </row>
    <row r="119" spans="1:16" ht="18.75" x14ac:dyDescent="0.3">
      <c r="A119" s="189" t="s">
        <v>4440</v>
      </c>
      <c r="B119" s="189">
        <v>690</v>
      </c>
      <c r="C119" s="1">
        <v>46285</v>
      </c>
      <c r="D119" t="s">
        <v>5501</v>
      </c>
      <c r="E119" s="1">
        <v>46285</v>
      </c>
      <c r="F119" t="s">
        <v>5502</v>
      </c>
      <c r="G119" t="s">
        <v>43</v>
      </c>
      <c r="H119">
        <v>13800</v>
      </c>
      <c r="I119">
        <v>33260</v>
      </c>
      <c r="J119">
        <v>19460</v>
      </c>
      <c r="K119" t="s">
        <v>14</v>
      </c>
      <c r="L119"/>
      <c r="M119" t="s">
        <v>5905</v>
      </c>
      <c r="N119" t="s">
        <v>4045</v>
      </c>
      <c r="O119" s="228" t="s">
        <v>5241</v>
      </c>
      <c r="P119" s="99" t="s">
        <v>111</v>
      </c>
    </row>
    <row r="120" spans="1:16" ht="18.75" x14ac:dyDescent="0.3">
      <c r="A120" s="189" t="s">
        <v>4444</v>
      </c>
      <c r="B120" s="189">
        <v>691</v>
      </c>
      <c r="C120" s="1">
        <v>46285</v>
      </c>
      <c r="D120" t="s">
        <v>5503</v>
      </c>
      <c r="E120" s="1">
        <v>46285</v>
      </c>
      <c r="F120" t="s">
        <v>5504</v>
      </c>
      <c r="G120" t="s">
        <v>85</v>
      </c>
      <c r="H120">
        <v>13900</v>
      </c>
      <c r="I120">
        <v>32320</v>
      </c>
      <c r="J120">
        <v>18420</v>
      </c>
      <c r="K120" t="s">
        <v>14</v>
      </c>
      <c r="L120"/>
      <c r="M120" t="s">
        <v>5905</v>
      </c>
      <c r="N120" t="s">
        <v>4045</v>
      </c>
      <c r="O120" s="228" t="s">
        <v>5241</v>
      </c>
      <c r="P120" s="99" t="s">
        <v>66</v>
      </c>
    </row>
    <row r="121" spans="1:16" ht="18.75" x14ac:dyDescent="0.3">
      <c r="A121" s="189" t="s">
        <v>4448</v>
      </c>
      <c r="B121" s="189">
        <v>692</v>
      </c>
      <c r="C121" s="1">
        <v>46285</v>
      </c>
      <c r="D121" t="s">
        <v>5505</v>
      </c>
      <c r="E121" s="1">
        <v>46285</v>
      </c>
      <c r="F121" t="s">
        <v>5506</v>
      </c>
      <c r="G121" t="s">
        <v>840</v>
      </c>
      <c r="H121">
        <v>13800</v>
      </c>
      <c r="I121">
        <v>31610</v>
      </c>
      <c r="J121">
        <v>17810</v>
      </c>
      <c r="K121" t="s">
        <v>14</v>
      </c>
      <c r="L121"/>
      <c r="M121" t="s">
        <v>5905</v>
      </c>
      <c r="N121" t="s">
        <v>4045</v>
      </c>
      <c r="O121" s="228" t="s">
        <v>5241</v>
      </c>
      <c r="P121" s="99" t="s">
        <v>59</v>
      </c>
    </row>
    <row r="122" spans="1:16" ht="18.75" x14ac:dyDescent="0.3">
      <c r="A122" s="189" t="s">
        <v>4451</v>
      </c>
      <c r="B122" s="189">
        <v>693</v>
      </c>
      <c r="C122" s="1">
        <v>46285</v>
      </c>
      <c r="D122" t="s">
        <v>5507</v>
      </c>
      <c r="E122" s="1">
        <v>46285</v>
      </c>
      <c r="F122" t="s">
        <v>5508</v>
      </c>
      <c r="G122" t="s">
        <v>55</v>
      </c>
      <c r="H122">
        <v>13730</v>
      </c>
      <c r="I122">
        <v>32440</v>
      </c>
      <c r="J122">
        <v>18710</v>
      </c>
      <c r="K122" t="s">
        <v>14</v>
      </c>
      <c r="L122"/>
      <c r="M122" t="s">
        <v>5905</v>
      </c>
      <c r="N122" t="s">
        <v>4045</v>
      </c>
      <c r="O122" s="228" t="s">
        <v>5241</v>
      </c>
      <c r="P122" s="99" t="s">
        <v>59</v>
      </c>
    </row>
    <row r="123" spans="1:16" ht="18.75" x14ac:dyDescent="0.3">
      <c r="A123" s="189" t="s">
        <v>4455</v>
      </c>
      <c r="B123" s="189">
        <v>694</v>
      </c>
      <c r="C123" s="1">
        <v>46285</v>
      </c>
      <c r="D123" t="s">
        <v>5509</v>
      </c>
      <c r="E123" s="1">
        <v>46285</v>
      </c>
      <c r="F123" t="s">
        <v>4947</v>
      </c>
      <c r="G123" t="s">
        <v>336</v>
      </c>
      <c r="H123">
        <v>13800</v>
      </c>
      <c r="I123">
        <v>34090</v>
      </c>
      <c r="J123">
        <v>20290</v>
      </c>
      <c r="K123" t="s">
        <v>14</v>
      </c>
      <c r="L123"/>
      <c r="M123" t="s">
        <v>5905</v>
      </c>
      <c r="N123" t="s">
        <v>4045</v>
      </c>
      <c r="O123" s="228" t="s">
        <v>5241</v>
      </c>
      <c r="P123" s="99" t="s">
        <v>111</v>
      </c>
    </row>
    <row r="124" spans="1:16" ht="18.75" x14ac:dyDescent="0.3">
      <c r="A124" s="189" t="s">
        <v>4458</v>
      </c>
      <c r="B124" s="189">
        <v>695</v>
      </c>
      <c r="C124" s="1">
        <v>46285</v>
      </c>
      <c r="D124" t="s">
        <v>5510</v>
      </c>
      <c r="E124" s="1">
        <v>46285</v>
      </c>
      <c r="F124" t="s">
        <v>498</v>
      </c>
      <c r="G124" t="s">
        <v>80</v>
      </c>
      <c r="H124">
        <v>14050</v>
      </c>
      <c r="I124">
        <v>33530</v>
      </c>
      <c r="J124">
        <v>19480</v>
      </c>
      <c r="K124" t="s">
        <v>14</v>
      </c>
      <c r="L124"/>
      <c r="M124" t="s">
        <v>5905</v>
      </c>
      <c r="N124" t="s">
        <v>4045</v>
      </c>
      <c r="O124" s="228" t="s">
        <v>5241</v>
      </c>
      <c r="P124" s="99" t="s">
        <v>66</v>
      </c>
    </row>
    <row r="125" spans="1:16" ht="18.75" x14ac:dyDescent="0.3">
      <c r="A125" s="189" t="s">
        <v>4462</v>
      </c>
      <c r="B125" s="189">
        <v>696</v>
      </c>
      <c r="C125" s="1">
        <v>46285</v>
      </c>
      <c r="D125" t="s">
        <v>5511</v>
      </c>
      <c r="E125" s="1">
        <v>46285</v>
      </c>
      <c r="F125" t="s">
        <v>5512</v>
      </c>
      <c r="G125" t="s">
        <v>143</v>
      </c>
      <c r="H125">
        <v>13800</v>
      </c>
      <c r="I125">
        <v>33720</v>
      </c>
      <c r="J125">
        <v>19920</v>
      </c>
      <c r="K125" t="s">
        <v>14</v>
      </c>
      <c r="L125"/>
      <c r="M125" t="s">
        <v>5905</v>
      </c>
      <c r="N125" t="s">
        <v>4045</v>
      </c>
      <c r="O125" s="228" t="s">
        <v>5241</v>
      </c>
      <c r="P125" s="99" t="s">
        <v>59</v>
      </c>
    </row>
    <row r="126" spans="1:16" ht="18.75" x14ac:dyDescent="0.3">
      <c r="A126" s="189" t="s">
        <v>4466</v>
      </c>
      <c r="B126" s="189">
        <v>697</v>
      </c>
      <c r="C126" s="1">
        <v>46285</v>
      </c>
      <c r="D126" t="s">
        <v>5513</v>
      </c>
      <c r="E126" s="1">
        <v>46285</v>
      </c>
      <c r="F126" t="s">
        <v>5514</v>
      </c>
      <c r="G126" t="s">
        <v>540</v>
      </c>
      <c r="H126">
        <v>13830</v>
      </c>
      <c r="I126">
        <v>33390</v>
      </c>
      <c r="J126">
        <v>19560</v>
      </c>
      <c r="K126" t="s">
        <v>14</v>
      </c>
      <c r="L126"/>
      <c r="M126" t="s">
        <v>5905</v>
      </c>
      <c r="N126" t="s">
        <v>4045</v>
      </c>
      <c r="O126" s="228" t="s">
        <v>5241</v>
      </c>
      <c r="P126" s="99" t="s">
        <v>59</v>
      </c>
    </row>
    <row r="127" spans="1:16" ht="18.75" x14ac:dyDescent="0.3">
      <c r="A127" s="189" t="s">
        <v>4470</v>
      </c>
      <c r="B127" s="189">
        <v>698</v>
      </c>
      <c r="C127" s="1">
        <v>46285</v>
      </c>
      <c r="D127" t="s">
        <v>5515</v>
      </c>
      <c r="E127" s="1">
        <v>46285</v>
      </c>
      <c r="F127" t="s">
        <v>2755</v>
      </c>
      <c r="G127" t="s">
        <v>337</v>
      </c>
      <c r="H127">
        <v>13780</v>
      </c>
      <c r="I127">
        <v>33170</v>
      </c>
      <c r="J127">
        <v>19390</v>
      </c>
      <c r="K127" t="s">
        <v>14</v>
      </c>
      <c r="L127"/>
      <c r="M127" t="s">
        <v>5905</v>
      </c>
      <c r="N127" t="s">
        <v>4045</v>
      </c>
      <c r="O127" s="228" t="s">
        <v>5241</v>
      </c>
      <c r="P127" s="99" t="s">
        <v>111</v>
      </c>
    </row>
    <row r="128" spans="1:16" ht="18.75" x14ac:dyDescent="0.3">
      <c r="A128" s="189" t="s">
        <v>4474</v>
      </c>
      <c r="B128" s="189">
        <v>699</v>
      </c>
      <c r="C128" s="1">
        <v>46285</v>
      </c>
      <c r="D128" t="s">
        <v>5516</v>
      </c>
      <c r="E128" s="1">
        <v>46285</v>
      </c>
      <c r="F128" t="s">
        <v>5517</v>
      </c>
      <c r="G128" t="s">
        <v>76</v>
      </c>
      <c r="H128">
        <v>13920</v>
      </c>
      <c r="I128">
        <v>32840</v>
      </c>
      <c r="J128">
        <v>18920</v>
      </c>
      <c r="K128" t="s">
        <v>14</v>
      </c>
      <c r="L128"/>
      <c r="M128" t="s">
        <v>5905</v>
      </c>
      <c r="N128" t="s">
        <v>4045</v>
      </c>
      <c r="O128" s="228" t="s">
        <v>5241</v>
      </c>
      <c r="P128" s="99" t="s">
        <v>66</v>
      </c>
    </row>
    <row r="129" spans="1:16" ht="18.75" x14ac:dyDescent="0.3">
      <c r="A129" s="189" t="s">
        <v>4478</v>
      </c>
      <c r="B129" s="189">
        <v>700</v>
      </c>
      <c r="C129" s="1">
        <v>46285</v>
      </c>
      <c r="D129" t="s">
        <v>5518</v>
      </c>
      <c r="E129" s="1">
        <v>46285</v>
      </c>
      <c r="F129" t="s">
        <v>5519</v>
      </c>
      <c r="G129" t="s">
        <v>537</v>
      </c>
      <c r="H129">
        <v>13880</v>
      </c>
      <c r="I129">
        <v>34210</v>
      </c>
      <c r="J129">
        <v>20330</v>
      </c>
      <c r="K129" t="s">
        <v>14</v>
      </c>
      <c r="L129"/>
      <c r="M129" t="s">
        <v>5905</v>
      </c>
      <c r="N129" t="s">
        <v>4045</v>
      </c>
      <c r="O129" s="228" t="s">
        <v>5241</v>
      </c>
      <c r="P129" s="99" t="s">
        <v>59</v>
      </c>
    </row>
    <row r="130" spans="1:16" ht="18.75" x14ac:dyDescent="0.3">
      <c r="A130" s="189" t="s">
        <v>4482</v>
      </c>
      <c r="B130" s="189">
        <v>701</v>
      </c>
      <c r="C130" s="1">
        <v>46285</v>
      </c>
      <c r="D130" t="s">
        <v>5520</v>
      </c>
      <c r="E130" s="1">
        <v>46285</v>
      </c>
      <c r="F130" t="s">
        <v>5521</v>
      </c>
      <c r="G130" t="s">
        <v>335</v>
      </c>
      <c r="H130">
        <v>14070</v>
      </c>
      <c r="I130">
        <v>33040</v>
      </c>
      <c r="J130">
        <v>18970</v>
      </c>
      <c r="K130" t="s">
        <v>14</v>
      </c>
      <c r="L130"/>
      <c r="M130" t="s">
        <v>5905</v>
      </c>
      <c r="N130" t="s">
        <v>4045</v>
      </c>
      <c r="O130" s="228" t="s">
        <v>5241</v>
      </c>
      <c r="P130" s="99" t="s">
        <v>111</v>
      </c>
    </row>
    <row r="131" spans="1:16" ht="18.75" x14ac:dyDescent="0.3">
      <c r="A131" s="189" t="s">
        <v>4486</v>
      </c>
      <c r="B131" s="189">
        <v>702</v>
      </c>
      <c r="C131" s="1">
        <v>46285</v>
      </c>
      <c r="D131" t="s">
        <v>5522</v>
      </c>
      <c r="E131" s="1">
        <v>46285</v>
      </c>
      <c r="F131" t="s">
        <v>5523</v>
      </c>
      <c r="G131" t="s">
        <v>90</v>
      </c>
      <c r="H131">
        <v>13990</v>
      </c>
      <c r="I131">
        <v>32960</v>
      </c>
      <c r="J131">
        <v>18970</v>
      </c>
      <c r="K131" t="s">
        <v>14</v>
      </c>
      <c r="L131"/>
      <c r="M131" t="s">
        <v>5905</v>
      </c>
      <c r="N131" t="s">
        <v>4045</v>
      </c>
      <c r="O131" s="228" t="s">
        <v>5241</v>
      </c>
      <c r="P131" s="99" t="s">
        <v>66</v>
      </c>
    </row>
    <row r="132" spans="1:16" ht="18.75" x14ac:dyDescent="0.3">
      <c r="A132" s="189" t="s">
        <v>4490</v>
      </c>
      <c r="B132" s="189">
        <v>703</v>
      </c>
      <c r="C132" s="1">
        <v>46285</v>
      </c>
      <c r="D132" t="s">
        <v>5524</v>
      </c>
      <c r="E132" s="1">
        <v>46285</v>
      </c>
      <c r="F132" t="s">
        <v>5525</v>
      </c>
      <c r="G132" t="s">
        <v>85</v>
      </c>
      <c r="H132">
        <v>13830</v>
      </c>
      <c r="I132">
        <v>33920</v>
      </c>
      <c r="J132">
        <v>20090</v>
      </c>
      <c r="K132" t="s">
        <v>14</v>
      </c>
      <c r="L132"/>
      <c r="M132" t="s">
        <v>5905</v>
      </c>
      <c r="N132" t="s">
        <v>4045</v>
      </c>
      <c r="O132" s="228" t="s">
        <v>5241</v>
      </c>
      <c r="P132" s="99" t="s">
        <v>66</v>
      </c>
    </row>
    <row r="133" spans="1:16" ht="18.75" x14ac:dyDescent="0.3">
      <c r="A133" s="189" t="s">
        <v>4494</v>
      </c>
      <c r="B133" s="189">
        <v>704</v>
      </c>
      <c r="C133" s="1">
        <v>46285</v>
      </c>
      <c r="D133" t="s">
        <v>5526</v>
      </c>
      <c r="E133" s="1">
        <v>46285</v>
      </c>
      <c r="F133" t="s">
        <v>5527</v>
      </c>
      <c r="G133" t="s">
        <v>843</v>
      </c>
      <c r="H133">
        <v>14080</v>
      </c>
      <c r="I133">
        <v>33840</v>
      </c>
      <c r="J133">
        <v>19760</v>
      </c>
      <c r="K133" t="s">
        <v>14</v>
      </c>
      <c r="L133"/>
      <c r="M133" t="s">
        <v>5905</v>
      </c>
      <c r="N133" t="s">
        <v>4045</v>
      </c>
      <c r="O133" s="228" t="s">
        <v>5241</v>
      </c>
      <c r="P133" s="99" t="s">
        <v>111</v>
      </c>
    </row>
    <row r="134" spans="1:16" ht="18.75" x14ac:dyDescent="0.3">
      <c r="A134" s="189" t="s">
        <v>4498</v>
      </c>
      <c r="B134" s="189">
        <v>705</v>
      </c>
      <c r="C134" s="1">
        <v>46285</v>
      </c>
      <c r="D134" t="s">
        <v>5528</v>
      </c>
      <c r="E134" s="1">
        <v>46285</v>
      </c>
      <c r="F134" t="s">
        <v>5529</v>
      </c>
      <c r="G134" t="s">
        <v>64</v>
      </c>
      <c r="H134">
        <v>13810</v>
      </c>
      <c r="I134">
        <v>33080</v>
      </c>
      <c r="J134">
        <v>19270</v>
      </c>
      <c r="K134" t="s">
        <v>14</v>
      </c>
      <c r="L134"/>
      <c r="M134" t="s">
        <v>5905</v>
      </c>
      <c r="N134" t="s">
        <v>4045</v>
      </c>
      <c r="O134" s="228" t="s">
        <v>5241</v>
      </c>
      <c r="P134" s="99" t="s">
        <v>66</v>
      </c>
    </row>
    <row r="135" spans="1:16" ht="18.75" x14ac:dyDescent="0.3">
      <c r="A135" s="189" t="s">
        <v>4502</v>
      </c>
      <c r="B135" s="189">
        <v>706</v>
      </c>
      <c r="C135" s="1">
        <v>46285</v>
      </c>
      <c r="D135" t="s">
        <v>5530</v>
      </c>
      <c r="E135" s="1">
        <v>46285</v>
      </c>
      <c r="F135" t="s">
        <v>5531</v>
      </c>
      <c r="G135" t="s">
        <v>842</v>
      </c>
      <c r="H135">
        <v>14070</v>
      </c>
      <c r="I135">
        <v>34070</v>
      </c>
      <c r="J135">
        <v>20000</v>
      </c>
      <c r="K135" t="s">
        <v>14</v>
      </c>
      <c r="L135"/>
      <c r="M135" t="s">
        <v>5905</v>
      </c>
      <c r="N135" t="s">
        <v>4045</v>
      </c>
      <c r="O135" s="228" t="s">
        <v>5241</v>
      </c>
      <c r="P135" s="99" t="s">
        <v>59</v>
      </c>
    </row>
    <row r="136" spans="1:16" ht="18.75" x14ac:dyDescent="0.3">
      <c r="A136" s="189" t="s">
        <v>4506</v>
      </c>
      <c r="B136" s="189">
        <v>707</v>
      </c>
      <c r="C136" s="1">
        <v>46285</v>
      </c>
      <c r="D136" t="s">
        <v>5532</v>
      </c>
      <c r="E136" s="1">
        <v>46285</v>
      </c>
      <c r="F136" t="s">
        <v>5533</v>
      </c>
      <c r="G136" t="s">
        <v>840</v>
      </c>
      <c r="H136">
        <v>13740</v>
      </c>
      <c r="I136">
        <v>32510</v>
      </c>
      <c r="J136">
        <v>18770</v>
      </c>
      <c r="K136" t="s">
        <v>14</v>
      </c>
      <c r="L136"/>
      <c r="M136" t="s">
        <v>5905</v>
      </c>
      <c r="N136" t="s">
        <v>4045</v>
      </c>
      <c r="O136" s="228" t="s">
        <v>5241</v>
      </c>
      <c r="P136" s="99" t="s">
        <v>59</v>
      </c>
    </row>
    <row r="137" spans="1:16" ht="18.75" x14ac:dyDescent="0.3">
      <c r="A137" s="189" t="s">
        <v>4510</v>
      </c>
      <c r="B137" s="189">
        <v>708</v>
      </c>
      <c r="C137" s="1">
        <v>46285</v>
      </c>
      <c r="D137" t="s">
        <v>4986</v>
      </c>
      <c r="E137" s="1">
        <v>46285</v>
      </c>
      <c r="F137" t="s">
        <v>5534</v>
      </c>
      <c r="G137" t="s">
        <v>71</v>
      </c>
      <c r="H137">
        <v>13930</v>
      </c>
      <c r="I137">
        <v>33860</v>
      </c>
      <c r="J137">
        <v>19930</v>
      </c>
      <c r="K137" t="s">
        <v>14</v>
      </c>
      <c r="L137"/>
      <c r="M137" t="s">
        <v>5905</v>
      </c>
      <c r="N137" t="s">
        <v>4045</v>
      </c>
      <c r="O137" s="228" t="s">
        <v>5241</v>
      </c>
      <c r="P137" s="99" t="s">
        <v>59</v>
      </c>
    </row>
    <row r="138" spans="1:16" ht="18.75" x14ac:dyDescent="0.3">
      <c r="A138" s="189" t="s">
        <v>4514</v>
      </c>
      <c r="B138" s="189">
        <v>709</v>
      </c>
      <c r="C138" s="1">
        <v>46285</v>
      </c>
      <c r="D138" t="s">
        <v>5535</v>
      </c>
      <c r="E138" s="1">
        <v>46285</v>
      </c>
      <c r="F138" t="s">
        <v>5536</v>
      </c>
      <c r="G138" t="s">
        <v>43</v>
      </c>
      <c r="H138">
        <v>14070</v>
      </c>
      <c r="I138">
        <v>33850</v>
      </c>
      <c r="J138">
        <v>19780</v>
      </c>
      <c r="K138" t="s">
        <v>14</v>
      </c>
      <c r="L138"/>
      <c r="M138" t="s">
        <v>5905</v>
      </c>
      <c r="N138" t="s">
        <v>4045</v>
      </c>
      <c r="O138" s="228" t="s">
        <v>5241</v>
      </c>
      <c r="P138" s="99" t="s">
        <v>111</v>
      </c>
    </row>
    <row r="139" spans="1:16" ht="18.75" x14ac:dyDescent="0.3">
      <c r="A139" s="189" t="s">
        <v>4518</v>
      </c>
      <c r="B139" s="189">
        <v>710</v>
      </c>
      <c r="C139" s="1">
        <v>46285</v>
      </c>
      <c r="D139" t="s">
        <v>5537</v>
      </c>
      <c r="E139" s="1">
        <v>46285</v>
      </c>
      <c r="F139" t="s">
        <v>5538</v>
      </c>
      <c r="G139" t="s">
        <v>55</v>
      </c>
      <c r="H139">
        <v>13960</v>
      </c>
      <c r="I139">
        <v>33610</v>
      </c>
      <c r="J139">
        <v>19650</v>
      </c>
      <c r="K139" t="s">
        <v>14</v>
      </c>
      <c r="L139"/>
      <c r="M139" t="s">
        <v>5905</v>
      </c>
      <c r="N139" t="s">
        <v>4045</v>
      </c>
      <c r="O139" s="228" t="s">
        <v>5241</v>
      </c>
      <c r="P139" s="99" t="s">
        <v>59</v>
      </c>
    </row>
    <row r="140" spans="1:16" ht="18.75" x14ac:dyDescent="0.3">
      <c r="A140" s="189" t="s">
        <v>4522</v>
      </c>
      <c r="B140" s="189">
        <v>711</v>
      </c>
      <c r="C140" s="1">
        <v>46285</v>
      </c>
      <c r="D140" t="s">
        <v>5539</v>
      </c>
      <c r="E140" s="1">
        <v>46285</v>
      </c>
      <c r="F140" t="s">
        <v>5540</v>
      </c>
      <c r="G140" t="s">
        <v>336</v>
      </c>
      <c r="H140">
        <v>13780</v>
      </c>
      <c r="I140">
        <v>33620</v>
      </c>
      <c r="J140">
        <v>19840</v>
      </c>
      <c r="K140" t="s">
        <v>14</v>
      </c>
      <c r="L140"/>
      <c r="M140" t="s">
        <v>5905</v>
      </c>
      <c r="N140" t="s">
        <v>4045</v>
      </c>
      <c r="O140" s="228" t="s">
        <v>5241</v>
      </c>
      <c r="P140" s="99" t="s">
        <v>111</v>
      </c>
    </row>
    <row r="141" spans="1:16" ht="18.75" x14ac:dyDescent="0.3">
      <c r="A141" s="189" t="s">
        <v>4526</v>
      </c>
      <c r="B141" s="189">
        <v>712</v>
      </c>
      <c r="C141" s="1">
        <v>46285</v>
      </c>
      <c r="D141" t="s">
        <v>5541</v>
      </c>
      <c r="E141" s="1">
        <v>46285</v>
      </c>
      <c r="F141" t="s">
        <v>5542</v>
      </c>
      <c r="G141" t="s">
        <v>143</v>
      </c>
      <c r="H141">
        <v>13790</v>
      </c>
      <c r="I141">
        <v>33510</v>
      </c>
      <c r="J141">
        <v>19720</v>
      </c>
      <c r="K141" t="s">
        <v>14</v>
      </c>
      <c r="L141"/>
      <c r="M141" t="s">
        <v>5905</v>
      </c>
      <c r="N141" t="s">
        <v>4045</v>
      </c>
      <c r="O141" s="228" t="s">
        <v>5241</v>
      </c>
      <c r="P141" s="99" t="s">
        <v>59</v>
      </c>
    </row>
    <row r="142" spans="1:16" ht="18.75" x14ac:dyDescent="0.3">
      <c r="A142" s="189" t="s">
        <v>4530</v>
      </c>
      <c r="B142" s="189">
        <v>713</v>
      </c>
      <c r="C142" s="1">
        <v>46285</v>
      </c>
      <c r="D142" t="s">
        <v>5543</v>
      </c>
      <c r="E142" s="1">
        <v>46285</v>
      </c>
      <c r="F142" t="s">
        <v>5544</v>
      </c>
      <c r="G142" t="s">
        <v>537</v>
      </c>
      <c r="H142">
        <v>13900</v>
      </c>
      <c r="I142">
        <v>34330</v>
      </c>
      <c r="J142">
        <v>20430</v>
      </c>
      <c r="K142" t="s">
        <v>14</v>
      </c>
      <c r="L142"/>
      <c r="M142" t="s">
        <v>5905</v>
      </c>
      <c r="N142" t="s">
        <v>4045</v>
      </c>
      <c r="O142" s="228" t="s">
        <v>5241</v>
      </c>
      <c r="P142" s="99" t="s">
        <v>59</v>
      </c>
    </row>
    <row r="143" spans="1:16" ht="18.75" x14ac:dyDescent="0.3">
      <c r="A143" s="189" t="s">
        <v>4534</v>
      </c>
      <c r="B143" s="189">
        <v>714</v>
      </c>
      <c r="C143" s="1">
        <v>46285</v>
      </c>
      <c r="D143" t="s">
        <v>5545</v>
      </c>
      <c r="E143" s="1">
        <v>46285</v>
      </c>
      <c r="F143" t="s">
        <v>4804</v>
      </c>
      <c r="G143" t="s">
        <v>540</v>
      </c>
      <c r="H143">
        <v>13810</v>
      </c>
      <c r="I143">
        <v>35730</v>
      </c>
      <c r="J143">
        <v>21920</v>
      </c>
      <c r="K143" t="s">
        <v>14</v>
      </c>
      <c r="L143"/>
      <c r="M143" t="s">
        <v>5905</v>
      </c>
      <c r="N143" t="s">
        <v>4045</v>
      </c>
      <c r="O143" s="228" t="s">
        <v>5241</v>
      </c>
      <c r="P143" s="99" t="s">
        <v>59</v>
      </c>
    </row>
    <row r="144" spans="1:16" ht="18.75" x14ac:dyDescent="0.3">
      <c r="A144" s="189" t="s">
        <v>4538</v>
      </c>
      <c r="B144" s="189">
        <v>715</v>
      </c>
      <c r="C144" s="1">
        <v>46285</v>
      </c>
      <c r="D144" t="s">
        <v>5546</v>
      </c>
      <c r="E144" s="1">
        <v>46285</v>
      </c>
      <c r="F144" t="s">
        <v>5547</v>
      </c>
      <c r="G144" t="s">
        <v>80</v>
      </c>
      <c r="H144">
        <v>14030</v>
      </c>
      <c r="I144">
        <v>34110</v>
      </c>
      <c r="J144">
        <v>20080</v>
      </c>
      <c r="K144" t="s">
        <v>14</v>
      </c>
      <c r="L144"/>
      <c r="M144" t="s">
        <v>5905</v>
      </c>
      <c r="N144" t="s">
        <v>4045</v>
      </c>
      <c r="O144" s="228" t="s">
        <v>5241</v>
      </c>
      <c r="P144" s="99" t="s">
        <v>66</v>
      </c>
    </row>
    <row r="145" spans="1:16" ht="18.75" x14ac:dyDescent="0.3">
      <c r="A145" s="189" t="s">
        <v>4542</v>
      </c>
      <c r="B145" s="189">
        <v>716</v>
      </c>
      <c r="C145" s="1">
        <v>46285</v>
      </c>
      <c r="D145" t="s">
        <v>5548</v>
      </c>
      <c r="E145" s="1">
        <v>46285</v>
      </c>
      <c r="F145" t="s">
        <v>5549</v>
      </c>
      <c r="G145" t="s">
        <v>76</v>
      </c>
      <c r="H145">
        <v>13980</v>
      </c>
      <c r="I145">
        <v>34120</v>
      </c>
      <c r="J145">
        <v>20140</v>
      </c>
      <c r="K145" t="s">
        <v>14</v>
      </c>
      <c r="L145"/>
      <c r="M145" t="s">
        <v>5905</v>
      </c>
      <c r="N145" t="s">
        <v>4045</v>
      </c>
      <c r="O145" s="228" t="s">
        <v>5241</v>
      </c>
      <c r="P145" s="99" t="s">
        <v>66</v>
      </c>
    </row>
    <row r="146" spans="1:16" ht="18.75" x14ac:dyDescent="0.3">
      <c r="A146" s="189" t="s">
        <v>4546</v>
      </c>
      <c r="B146" s="189">
        <v>717</v>
      </c>
      <c r="C146" s="1">
        <v>46285</v>
      </c>
      <c r="D146" t="s">
        <v>5550</v>
      </c>
      <c r="E146" s="1">
        <v>46285</v>
      </c>
      <c r="F146" t="s">
        <v>5551</v>
      </c>
      <c r="G146" t="s">
        <v>337</v>
      </c>
      <c r="H146">
        <v>13730</v>
      </c>
      <c r="I146">
        <v>35050</v>
      </c>
      <c r="J146">
        <v>21320</v>
      </c>
      <c r="K146" t="s">
        <v>14</v>
      </c>
      <c r="L146"/>
      <c r="M146" t="s">
        <v>5905</v>
      </c>
      <c r="N146" t="s">
        <v>4045</v>
      </c>
      <c r="O146" s="228" t="s">
        <v>5241</v>
      </c>
      <c r="P146" s="99" t="s">
        <v>111</v>
      </c>
    </row>
    <row r="147" spans="1:16" ht="18.75" x14ac:dyDescent="0.3">
      <c r="A147" s="189" t="s">
        <v>4550</v>
      </c>
      <c r="B147" s="189">
        <v>718</v>
      </c>
      <c r="C147" s="1">
        <v>46285</v>
      </c>
      <c r="D147" t="s">
        <v>5552</v>
      </c>
      <c r="E147" s="1">
        <v>46285</v>
      </c>
      <c r="F147" t="s">
        <v>5553</v>
      </c>
      <c r="G147" t="s">
        <v>842</v>
      </c>
      <c r="H147">
        <v>14050</v>
      </c>
      <c r="I147">
        <v>34870</v>
      </c>
      <c r="J147">
        <v>20820</v>
      </c>
      <c r="K147" t="s">
        <v>14</v>
      </c>
      <c r="L147"/>
      <c r="M147" t="s">
        <v>5905</v>
      </c>
      <c r="N147" t="s">
        <v>4045</v>
      </c>
      <c r="O147" s="228" t="s">
        <v>5241</v>
      </c>
      <c r="P147" s="99" t="s">
        <v>59</v>
      </c>
    </row>
    <row r="148" spans="1:16" ht="18.75" x14ac:dyDescent="0.3">
      <c r="A148" s="189" t="s">
        <v>4554</v>
      </c>
      <c r="B148" s="189">
        <v>719</v>
      </c>
      <c r="C148" s="1">
        <v>46285</v>
      </c>
      <c r="D148" t="s">
        <v>5554</v>
      </c>
      <c r="E148" s="1">
        <v>46285</v>
      </c>
      <c r="F148" t="s">
        <v>5555</v>
      </c>
      <c r="G148" t="s">
        <v>335</v>
      </c>
      <c r="H148">
        <v>14040</v>
      </c>
      <c r="I148">
        <v>34480</v>
      </c>
      <c r="J148">
        <v>20440</v>
      </c>
      <c r="K148" t="s">
        <v>14</v>
      </c>
      <c r="L148"/>
      <c r="M148" t="s">
        <v>5905</v>
      </c>
      <c r="N148" t="s">
        <v>4045</v>
      </c>
      <c r="O148" s="228" t="s">
        <v>5241</v>
      </c>
      <c r="P148" s="99" t="s">
        <v>111</v>
      </c>
    </row>
    <row r="149" spans="1:16" ht="18.75" x14ac:dyDescent="0.3">
      <c r="A149" s="189" t="s">
        <v>4558</v>
      </c>
      <c r="B149" s="189">
        <v>720</v>
      </c>
      <c r="C149" s="1">
        <v>46285</v>
      </c>
      <c r="D149" t="s">
        <v>5556</v>
      </c>
      <c r="E149" s="1">
        <v>46285</v>
      </c>
      <c r="F149" t="s">
        <v>5557</v>
      </c>
      <c r="G149" t="s">
        <v>90</v>
      </c>
      <c r="H149">
        <v>13980</v>
      </c>
      <c r="I149">
        <v>34670</v>
      </c>
      <c r="J149">
        <v>20690</v>
      </c>
      <c r="K149" t="s">
        <v>14</v>
      </c>
      <c r="L149"/>
      <c r="M149" t="s">
        <v>5905</v>
      </c>
      <c r="N149" t="s">
        <v>4045</v>
      </c>
      <c r="O149" s="228" t="s">
        <v>5241</v>
      </c>
      <c r="P149" s="99" t="s">
        <v>66</v>
      </c>
    </row>
    <row r="150" spans="1:16" ht="18.75" x14ac:dyDescent="0.3">
      <c r="A150" s="189" t="s">
        <v>4562</v>
      </c>
      <c r="B150" s="189">
        <v>721</v>
      </c>
      <c r="C150" s="1">
        <v>46285</v>
      </c>
      <c r="D150" t="s">
        <v>5558</v>
      </c>
      <c r="E150" s="1">
        <v>46285</v>
      </c>
      <c r="F150" t="s">
        <v>5559</v>
      </c>
      <c r="G150" t="s">
        <v>840</v>
      </c>
      <c r="H150">
        <v>14120</v>
      </c>
      <c r="I150">
        <v>35400</v>
      </c>
      <c r="J150">
        <v>21280</v>
      </c>
      <c r="K150" t="s">
        <v>14</v>
      </c>
      <c r="L150"/>
      <c r="M150" t="s">
        <v>5905</v>
      </c>
      <c r="N150" t="s">
        <v>4045</v>
      </c>
      <c r="O150" s="228" t="s">
        <v>5241</v>
      </c>
      <c r="P150" s="99" t="s">
        <v>59</v>
      </c>
    </row>
    <row r="151" spans="1:16" ht="18.75" x14ac:dyDescent="0.3">
      <c r="A151" s="189" t="s">
        <v>4566</v>
      </c>
      <c r="B151" s="189">
        <v>722</v>
      </c>
      <c r="C151" s="1">
        <v>46285</v>
      </c>
      <c r="D151" t="s">
        <v>5560</v>
      </c>
      <c r="E151" s="1">
        <v>46285</v>
      </c>
      <c r="F151" t="s">
        <v>5561</v>
      </c>
      <c r="G151" t="s">
        <v>85</v>
      </c>
      <c r="H151">
        <v>13820</v>
      </c>
      <c r="I151">
        <v>34850</v>
      </c>
      <c r="J151">
        <v>21030</v>
      </c>
      <c r="K151" t="s">
        <v>14</v>
      </c>
      <c r="L151"/>
      <c r="M151" t="s">
        <v>5905</v>
      </c>
      <c r="N151" t="s">
        <v>4045</v>
      </c>
      <c r="O151" s="228" t="s">
        <v>5241</v>
      </c>
      <c r="P151" s="99" t="s">
        <v>66</v>
      </c>
    </row>
    <row r="152" spans="1:16" ht="18.75" x14ac:dyDescent="0.3">
      <c r="A152" s="189" t="s">
        <v>4570</v>
      </c>
      <c r="B152" s="189">
        <v>723</v>
      </c>
      <c r="C152" s="1">
        <v>46285</v>
      </c>
      <c r="D152" t="s">
        <v>5562</v>
      </c>
      <c r="E152" s="1">
        <v>46285</v>
      </c>
      <c r="F152" t="s">
        <v>5563</v>
      </c>
      <c r="G152" t="s">
        <v>843</v>
      </c>
      <c r="H152">
        <v>14110</v>
      </c>
      <c r="I152">
        <v>35900</v>
      </c>
      <c r="J152">
        <v>21790</v>
      </c>
      <c r="K152" t="s">
        <v>14</v>
      </c>
      <c r="L152"/>
      <c r="M152" t="s">
        <v>5905</v>
      </c>
      <c r="N152" t="s">
        <v>4045</v>
      </c>
      <c r="O152" s="228" t="s">
        <v>5241</v>
      </c>
      <c r="P152" s="99" t="s">
        <v>111</v>
      </c>
    </row>
    <row r="153" spans="1:16" ht="18.75" x14ac:dyDescent="0.3">
      <c r="A153" s="189" t="s">
        <v>4574</v>
      </c>
      <c r="B153" s="189">
        <v>724</v>
      </c>
      <c r="C153" s="1">
        <v>46285</v>
      </c>
      <c r="D153" t="s">
        <v>5564</v>
      </c>
      <c r="E153" s="1">
        <v>46285</v>
      </c>
      <c r="F153" t="s">
        <v>5565</v>
      </c>
      <c r="G153" t="s">
        <v>64</v>
      </c>
      <c r="H153">
        <v>14130</v>
      </c>
      <c r="I153">
        <v>35420</v>
      </c>
      <c r="J153">
        <v>21290</v>
      </c>
      <c r="K153" t="s">
        <v>14</v>
      </c>
      <c r="L153"/>
      <c r="M153" t="s">
        <v>5905</v>
      </c>
      <c r="N153" t="s">
        <v>4045</v>
      </c>
      <c r="O153" s="228" t="s">
        <v>5241</v>
      </c>
      <c r="P153" s="99" t="s">
        <v>66</v>
      </c>
    </row>
    <row r="154" spans="1:16" ht="18.75" x14ac:dyDescent="0.3">
      <c r="A154" s="189" t="s">
        <v>4578</v>
      </c>
      <c r="B154" s="189">
        <v>725</v>
      </c>
      <c r="C154" s="1">
        <v>46285</v>
      </c>
      <c r="D154" t="s">
        <v>5566</v>
      </c>
      <c r="E154" s="1">
        <v>46285</v>
      </c>
      <c r="F154" t="s">
        <v>5567</v>
      </c>
      <c r="G154" t="s">
        <v>71</v>
      </c>
      <c r="H154">
        <v>13850</v>
      </c>
      <c r="I154">
        <v>35340</v>
      </c>
      <c r="J154">
        <v>21490</v>
      </c>
      <c r="K154" t="s">
        <v>14</v>
      </c>
      <c r="L154"/>
      <c r="M154" t="s">
        <v>5905</v>
      </c>
      <c r="N154" t="s">
        <v>4045</v>
      </c>
      <c r="O154" s="228" t="s">
        <v>5241</v>
      </c>
      <c r="P154" s="99" t="s">
        <v>59</v>
      </c>
    </row>
    <row r="155" spans="1:16" ht="18.75" x14ac:dyDescent="0.3">
      <c r="A155" s="189" t="s">
        <v>4581</v>
      </c>
      <c r="B155" s="189">
        <v>726</v>
      </c>
      <c r="C155" s="1">
        <v>46285</v>
      </c>
      <c r="D155" t="s">
        <v>5568</v>
      </c>
      <c r="E155" s="1">
        <v>46285</v>
      </c>
      <c r="F155" t="s">
        <v>5569</v>
      </c>
      <c r="G155" t="s">
        <v>43</v>
      </c>
      <c r="H155">
        <v>14060</v>
      </c>
      <c r="I155">
        <v>34670</v>
      </c>
      <c r="J155">
        <v>20610</v>
      </c>
      <c r="K155" t="s">
        <v>14</v>
      </c>
      <c r="L155"/>
      <c r="M155" t="s">
        <v>5905</v>
      </c>
      <c r="N155" t="s">
        <v>4045</v>
      </c>
      <c r="O155" s="228" t="s">
        <v>5241</v>
      </c>
      <c r="P155" s="99" t="s">
        <v>111</v>
      </c>
    </row>
    <row r="156" spans="1:16" ht="18.75" x14ac:dyDescent="0.3">
      <c r="A156" s="189" t="s">
        <v>4585</v>
      </c>
      <c r="B156" s="189">
        <v>727</v>
      </c>
      <c r="C156" s="1">
        <v>46285</v>
      </c>
      <c r="D156" t="s">
        <v>5570</v>
      </c>
      <c r="E156" s="1">
        <v>46285</v>
      </c>
      <c r="F156" t="s">
        <v>5571</v>
      </c>
      <c r="G156" t="s">
        <v>55</v>
      </c>
      <c r="H156">
        <v>13970</v>
      </c>
      <c r="I156">
        <v>34990</v>
      </c>
      <c r="J156">
        <v>21020</v>
      </c>
      <c r="K156" t="s">
        <v>14</v>
      </c>
      <c r="L156"/>
      <c r="M156" t="s">
        <v>5905</v>
      </c>
      <c r="N156" t="s">
        <v>4045</v>
      </c>
      <c r="O156" s="228" t="s">
        <v>5241</v>
      </c>
      <c r="P156" s="99" t="s">
        <v>59</v>
      </c>
    </row>
    <row r="157" spans="1:16" ht="18.75" x14ac:dyDescent="0.3">
      <c r="A157" s="189" t="s">
        <v>4589</v>
      </c>
      <c r="B157" s="189">
        <v>728</v>
      </c>
      <c r="C157" s="1">
        <v>46285</v>
      </c>
      <c r="D157" t="s">
        <v>5572</v>
      </c>
      <c r="E157" s="1">
        <v>46285</v>
      </c>
      <c r="F157" t="s">
        <v>5573</v>
      </c>
      <c r="G157" t="s">
        <v>336</v>
      </c>
      <c r="H157">
        <v>13760</v>
      </c>
      <c r="I157">
        <v>34620</v>
      </c>
      <c r="J157">
        <v>20860</v>
      </c>
      <c r="K157" t="s">
        <v>14</v>
      </c>
      <c r="L157"/>
      <c r="M157" t="s">
        <v>5905</v>
      </c>
      <c r="N157" t="s">
        <v>4045</v>
      </c>
      <c r="O157" s="228" t="s">
        <v>5241</v>
      </c>
      <c r="P157" s="99" t="s">
        <v>111</v>
      </c>
    </row>
    <row r="158" spans="1:16" ht="18.75" x14ac:dyDescent="0.3">
      <c r="A158" s="189" t="s">
        <v>4593</v>
      </c>
      <c r="B158" s="189">
        <v>729</v>
      </c>
      <c r="C158" s="1">
        <v>46285</v>
      </c>
      <c r="D158" t="s">
        <v>5574</v>
      </c>
      <c r="E158" s="1">
        <v>46285</v>
      </c>
      <c r="F158" t="s">
        <v>5575</v>
      </c>
      <c r="G158" t="s">
        <v>143</v>
      </c>
      <c r="H158">
        <v>14060</v>
      </c>
      <c r="I158">
        <v>35950</v>
      </c>
      <c r="J158">
        <v>21890</v>
      </c>
      <c r="K158" t="s">
        <v>14</v>
      </c>
      <c r="L158"/>
      <c r="M158" t="s">
        <v>5905</v>
      </c>
      <c r="N158" t="s">
        <v>4045</v>
      </c>
      <c r="O158" s="228" t="s">
        <v>5241</v>
      </c>
      <c r="P158" s="99" t="s">
        <v>59</v>
      </c>
    </row>
    <row r="159" spans="1:16" ht="18.75" x14ac:dyDescent="0.3">
      <c r="A159" s="189" t="s">
        <v>4597</v>
      </c>
      <c r="B159" s="189">
        <v>730</v>
      </c>
      <c r="C159" s="1">
        <v>46285</v>
      </c>
      <c r="D159" t="s">
        <v>5576</v>
      </c>
      <c r="E159" s="1">
        <v>46285</v>
      </c>
      <c r="F159" t="s">
        <v>5577</v>
      </c>
      <c r="G159" t="s">
        <v>540</v>
      </c>
      <c r="H159">
        <v>13890</v>
      </c>
      <c r="I159">
        <v>33420</v>
      </c>
      <c r="J159">
        <v>19530</v>
      </c>
      <c r="K159" t="s">
        <v>14</v>
      </c>
      <c r="L159"/>
      <c r="M159" t="s">
        <v>5905</v>
      </c>
      <c r="N159" t="s">
        <v>4045</v>
      </c>
      <c r="O159" s="228" t="s">
        <v>5241</v>
      </c>
      <c r="P159" s="99" t="s">
        <v>59</v>
      </c>
    </row>
    <row r="160" spans="1:16" ht="18.75" x14ac:dyDescent="0.3">
      <c r="A160" s="189" t="s">
        <v>4601</v>
      </c>
      <c r="B160" s="189">
        <v>731</v>
      </c>
      <c r="C160" s="1">
        <v>46285</v>
      </c>
      <c r="D160" t="s">
        <v>5578</v>
      </c>
      <c r="E160" s="1">
        <v>46285</v>
      </c>
      <c r="F160" t="s">
        <v>5579</v>
      </c>
      <c r="G160" t="s">
        <v>76</v>
      </c>
      <c r="H160">
        <v>13850</v>
      </c>
      <c r="I160">
        <v>35150</v>
      </c>
      <c r="J160">
        <v>21300</v>
      </c>
      <c r="K160" t="s">
        <v>14</v>
      </c>
      <c r="L160"/>
      <c r="M160" t="s">
        <v>5905</v>
      </c>
      <c r="N160" t="s">
        <v>4045</v>
      </c>
      <c r="O160" s="228" t="s">
        <v>5241</v>
      </c>
      <c r="P160" s="99" t="s">
        <v>66</v>
      </c>
    </row>
    <row r="161" spans="1:16" ht="18.75" x14ac:dyDescent="0.3">
      <c r="A161" s="189" t="s">
        <v>4605</v>
      </c>
      <c r="B161" s="189">
        <v>732</v>
      </c>
      <c r="C161" s="1">
        <v>46285</v>
      </c>
      <c r="D161" t="s">
        <v>5580</v>
      </c>
      <c r="E161" s="1">
        <v>46285</v>
      </c>
      <c r="F161" t="s">
        <v>5581</v>
      </c>
      <c r="G161" t="s">
        <v>335</v>
      </c>
      <c r="H161">
        <v>14010</v>
      </c>
      <c r="I161">
        <v>33840</v>
      </c>
      <c r="J161">
        <v>19830</v>
      </c>
      <c r="K161" t="s">
        <v>14</v>
      </c>
      <c r="L161"/>
      <c r="M161" t="s">
        <v>5905</v>
      </c>
      <c r="N161" t="s">
        <v>4045</v>
      </c>
      <c r="O161" s="228" t="s">
        <v>5241</v>
      </c>
      <c r="P161" s="99" t="s">
        <v>111</v>
      </c>
    </row>
    <row r="162" spans="1:16" ht="18.75" x14ac:dyDescent="0.3">
      <c r="A162" s="189" t="s">
        <v>4609</v>
      </c>
      <c r="B162" s="189">
        <v>733</v>
      </c>
      <c r="C162" s="1">
        <v>46285</v>
      </c>
      <c r="D162" t="s">
        <v>5582</v>
      </c>
      <c r="E162" s="1">
        <v>46285</v>
      </c>
      <c r="F162" t="s">
        <v>5583</v>
      </c>
      <c r="G162" t="s">
        <v>842</v>
      </c>
      <c r="H162">
        <v>14020</v>
      </c>
      <c r="I162">
        <v>33080</v>
      </c>
      <c r="J162">
        <v>19060</v>
      </c>
      <c r="K162" t="s">
        <v>14</v>
      </c>
      <c r="L162"/>
      <c r="M162" t="s">
        <v>5905</v>
      </c>
      <c r="N162" t="s">
        <v>4045</v>
      </c>
      <c r="O162" s="228" t="s">
        <v>5241</v>
      </c>
      <c r="P162" s="99" t="s">
        <v>59</v>
      </c>
    </row>
    <row r="163" spans="1:16" ht="18.75" x14ac:dyDescent="0.3">
      <c r="A163" s="189" t="s">
        <v>4613</v>
      </c>
      <c r="B163" s="189">
        <v>734</v>
      </c>
      <c r="C163" s="1">
        <v>46285</v>
      </c>
      <c r="D163" t="s">
        <v>5584</v>
      </c>
      <c r="E163" s="1">
        <v>46285</v>
      </c>
      <c r="F163" t="s">
        <v>5585</v>
      </c>
      <c r="G163" t="s">
        <v>90</v>
      </c>
      <c r="H163">
        <v>13940</v>
      </c>
      <c r="I163">
        <v>33240</v>
      </c>
      <c r="J163">
        <v>19300</v>
      </c>
      <c r="K163" t="s">
        <v>14</v>
      </c>
      <c r="L163"/>
      <c r="M163" t="s">
        <v>5905</v>
      </c>
      <c r="N163" t="s">
        <v>4045</v>
      </c>
      <c r="O163" s="228" t="s">
        <v>5241</v>
      </c>
      <c r="P163" s="99" t="s">
        <v>66</v>
      </c>
    </row>
    <row r="164" spans="1:16" ht="18.75" x14ac:dyDescent="0.3">
      <c r="A164" s="189" t="s">
        <v>4617</v>
      </c>
      <c r="B164" s="189">
        <v>735</v>
      </c>
      <c r="C164" s="1">
        <v>46285</v>
      </c>
      <c r="D164" t="s">
        <v>5586</v>
      </c>
      <c r="E164" s="1">
        <v>46285</v>
      </c>
      <c r="F164" t="s">
        <v>4406</v>
      </c>
      <c r="G164" t="s">
        <v>337</v>
      </c>
      <c r="H164">
        <v>14030</v>
      </c>
      <c r="I164">
        <v>33740</v>
      </c>
      <c r="J164">
        <v>19710</v>
      </c>
      <c r="K164" t="s">
        <v>14</v>
      </c>
      <c r="L164"/>
      <c r="M164" t="s">
        <v>5905</v>
      </c>
      <c r="N164" t="s">
        <v>4045</v>
      </c>
      <c r="O164" s="228" t="s">
        <v>5241</v>
      </c>
      <c r="P164" s="99" t="s">
        <v>111</v>
      </c>
    </row>
    <row r="165" spans="1:16" ht="18.75" x14ac:dyDescent="0.3">
      <c r="A165" s="189" t="s">
        <v>4621</v>
      </c>
      <c r="B165" s="189">
        <v>736</v>
      </c>
      <c r="C165" s="1">
        <v>46285</v>
      </c>
      <c r="D165" t="s">
        <v>4125</v>
      </c>
      <c r="E165" s="1">
        <v>46285</v>
      </c>
      <c r="F165" t="s">
        <v>5587</v>
      </c>
      <c r="G165" t="s">
        <v>71</v>
      </c>
      <c r="H165">
        <v>13820</v>
      </c>
      <c r="I165">
        <v>33300</v>
      </c>
      <c r="J165">
        <v>19480</v>
      </c>
      <c r="K165" t="s">
        <v>14</v>
      </c>
      <c r="L165"/>
      <c r="M165" t="s">
        <v>5905</v>
      </c>
      <c r="N165" t="s">
        <v>4045</v>
      </c>
      <c r="O165" s="228" t="s">
        <v>5241</v>
      </c>
      <c r="P165" s="99" t="s">
        <v>59</v>
      </c>
    </row>
    <row r="166" spans="1:16" ht="18.75" x14ac:dyDescent="0.3">
      <c r="A166" s="189" t="s">
        <v>4625</v>
      </c>
      <c r="B166" s="189">
        <v>737</v>
      </c>
      <c r="C166" s="1">
        <v>46285</v>
      </c>
      <c r="D166" t="s">
        <v>5588</v>
      </c>
      <c r="E166" s="1">
        <v>46285</v>
      </c>
      <c r="F166" t="s">
        <v>5589</v>
      </c>
      <c r="G166" t="s">
        <v>85</v>
      </c>
      <c r="H166">
        <v>13800</v>
      </c>
      <c r="I166">
        <v>33360</v>
      </c>
      <c r="J166">
        <v>19560</v>
      </c>
      <c r="K166" t="s">
        <v>14</v>
      </c>
      <c r="L166"/>
      <c r="M166" t="s">
        <v>5905</v>
      </c>
      <c r="N166" t="s">
        <v>4045</v>
      </c>
      <c r="O166" s="228" t="s">
        <v>5241</v>
      </c>
      <c r="P166" s="99" t="s">
        <v>66</v>
      </c>
    </row>
    <row r="167" spans="1:16" ht="18.75" x14ac:dyDescent="0.3">
      <c r="A167" s="189" t="s">
        <v>4629</v>
      </c>
      <c r="B167" s="189">
        <v>738</v>
      </c>
      <c r="C167" s="1">
        <v>46285</v>
      </c>
      <c r="D167" t="s">
        <v>5590</v>
      </c>
      <c r="E167" s="1">
        <v>46285</v>
      </c>
      <c r="F167" t="s">
        <v>5591</v>
      </c>
      <c r="G167" t="s">
        <v>43</v>
      </c>
      <c r="H167">
        <v>14010</v>
      </c>
      <c r="I167">
        <v>32220</v>
      </c>
      <c r="J167">
        <v>18210</v>
      </c>
      <c r="K167" t="s">
        <v>14</v>
      </c>
      <c r="L167"/>
      <c r="M167" t="s">
        <v>5905</v>
      </c>
      <c r="N167" t="s">
        <v>4045</v>
      </c>
      <c r="O167" s="228" t="s">
        <v>5241</v>
      </c>
      <c r="P167" s="99" t="s">
        <v>111</v>
      </c>
    </row>
    <row r="168" spans="1:16" ht="18.75" x14ac:dyDescent="0.3">
      <c r="A168" s="189" t="s">
        <v>4633</v>
      </c>
      <c r="B168" s="189">
        <v>739</v>
      </c>
      <c r="C168" s="1">
        <v>46285</v>
      </c>
      <c r="D168" t="s">
        <v>5592</v>
      </c>
      <c r="E168" s="1">
        <v>46285</v>
      </c>
      <c r="F168" t="s">
        <v>5593</v>
      </c>
      <c r="G168" t="s">
        <v>336</v>
      </c>
      <c r="H168">
        <v>13710</v>
      </c>
      <c r="I168">
        <v>33080</v>
      </c>
      <c r="J168">
        <v>19370</v>
      </c>
      <c r="K168" t="s">
        <v>14</v>
      </c>
      <c r="L168"/>
      <c r="M168" t="s">
        <v>5905</v>
      </c>
      <c r="N168" t="s">
        <v>4045</v>
      </c>
      <c r="O168" s="228" t="s">
        <v>5241</v>
      </c>
      <c r="P168" s="99" t="s">
        <v>111</v>
      </c>
    </row>
    <row r="169" spans="1:16" ht="18.75" x14ac:dyDescent="0.3">
      <c r="A169" s="189" t="s">
        <v>4637</v>
      </c>
      <c r="B169" s="189">
        <v>740</v>
      </c>
      <c r="C169" s="1">
        <v>46285</v>
      </c>
      <c r="D169" t="s">
        <v>5594</v>
      </c>
      <c r="E169" s="1">
        <v>46286</v>
      </c>
      <c r="F169" t="s">
        <v>5595</v>
      </c>
      <c r="G169" t="s">
        <v>80</v>
      </c>
      <c r="H169">
        <v>13930</v>
      </c>
      <c r="I169">
        <v>32750</v>
      </c>
      <c r="J169">
        <v>18820</v>
      </c>
      <c r="K169" t="s">
        <v>14</v>
      </c>
      <c r="L169"/>
      <c r="M169" t="s">
        <v>5905</v>
      </c>
      <c r="N169" t="s">
        <v>4045</v>
      </c>
      <c r="O169" s="228" t="s">
        <v>5241</v>
      </c>
      <c r="P169" s="99" t="s">
        <v>66</v>
      </c>
    </row>
    <row r="170" spans="1:16" ht="18.75" x14ac:dyDescent="0.3">
      <c r="A170" s="189" t="s">
        <v>4641</v>
      </c>
      <c r="B170" s="189">
        <v>741</v>
      </c>
      <c r="C170" s="1">
        <v>46286</v>
      </c>
      <c r="D170" t="s">
        <v>5596</v>
      </c>
      <c r="E170" s="1">
        <v>46286</v>
      </c>
      <c r="F170" t="s">
        <v>5597</v>
      </c>
      <c r="G170" t="s">
        <v>540</v>
      </c>
      <c r="H170">
        <v>13840</v>
      </c>
      <c r="I170">
        <v>33500</v>
      </c>
      <c r="J170">
        <v>19660</v>
      </c>
      <c r="K170" t="s">
        <v>14</v>
      </c>
      <c r="L170"/>
      <c r="M170" t="s">
        <v>5905</v>
      </c>
      <c r="N170" t="s">
        <v>4045</v>
      </c>
      <c r="O170" s="228" t="s">
        <v>5241</v>
      </c>
      <c r="P170" s="99" t="s">
        <v>59</v>
      </c>
    </row>
    <row r="171" spans="1:16" ht="18.75" x14ac:dyDescent="0.3">
      <c r="A171" s="189" t="s">
        <v>4645</v>
      </c>
      <c r="B171" s="189">
        <v>742</v>
      </c>
      <c r="C171" s="1">
        <v>46286</v>
      </c>
      <c r="D171" t="s">
        <v>5598</v>
      </c>
      <c r="E171" s="1">
        <v>46286</v>
      </c>
      <c r="F171" t="s">
        <v>5599</v>
      </c>
      <c r="G171" t="s">
        <v>143</v>
      </c>
      <c r="H171">
        <v>13940</v>
      </c>
      <c r="I171">
        <v>33220</v>
      </c>
      <c r="J171">
        <v>19280</v>
      </c>
      <c r="K171" t="s">
        <v>14</v>
      </c>
      <c r="L171"/>
      <c r="M171" t="s">
        <v>5905</v>
      </c>
      <c r="N171" t="s">
        <v>4045</v>
      </c>
      <c r="O171" s="228" t="s">
        <v>5241</v>
      </c>
      <c r="P171" s="99" t="s">
        <v>59</v>
      </c>
    </row>
    <row r="172" spans="1:16" ht="18.75" x14ac:dyDescent="0.3">
      <c r="A172" s="189" t="s">
        <v>4649</v>
      </c>
      <c r="B172" s="189">
        <v>743</v>
      </c>
      <c r="C172" s="1">
        <v>46286</v>
      </c>
      <c r="D172" t="s">
        <v>5600</v>
      </c>
      <c r="E172" s="1">
        <v>46286</v>
      </c>
      <c r="F172" t="s">
        <v>5601</v>
      </c>
      <c r="G172" t="s">
        <v>335</v>
      </c>
      <c r="H172">
        <v>13950</v>
      </c>
      <c r="I172">
        <v>32680</v>
      </c>
      <c r="J172">
        <v>18730</v>
      </c>
      <c r="K172" t="s">
        <v>14</v>
      </c>
      <c r="L172"/>
      <c r="M172" t="s">
        <v>5905</v>
      </c>
      <c r="N172" t="s">
        <v>4045</v>
      </c>
      <c r="O172" s="228" t="s">
        <v>5241</v>
      </c>
      <c r="P172" s="99" t="s">
        <v>111</v>
      </c>
    </row>
    <row r="173" spans="1:16" ht="18.75" x14ac:dyDescent="0.3">
      <c r="A173" s="189" t="s">
        <v>4653</v>
      </c>
      <c r="B173" s="189">
        <v>744</v>
      </c>
      <c r="C173" s="1">
        <v>46286</v>
      </c>
      <c r="D173" t="s">
        <v>5602</v>
      </c>
      <c r="E173" s="1">
        <v>46286</v>
      </c>
      <c r="F173" t="s">
        <v>5603</v>
      </c>
      <c r="G173" t="s">
        <v>843</v>
      </c>
      <c r="H173">
        <v>14100</v>
      </c>
      <c r="I173">
        <v>32680</v>
      </c>
      <c r="J173">
        <v>18580</v>
      </c>
      <c r="K173" t="s">
        <v>14</v>
      </c>
      <c r="L173"/>
      <c r="M173" t="s">
        <v>5905</v>
      </c>
      <c r="N173" t="s">
        <v>4045</v>
      </c>
      <c r="O173" s="228" t="s">
        <v>5241</v>
      </c>
      <c r="P173" s="99" t="s">
        <v>111</v>
      </c>
    </row>
    <row r="174" spans="1:16" ht="18.75" x14ac:dyDescent="0.3">
      <c r="A174" s="189" t="s">
        <v>5255</v>
      </c>
      <c r="B174" s="189">
        <v>745</v>
      </c>
      <c r="C174" s="1">
        <v>46286</v>
      </c>
      <c r="D174" t="s">
        <v>5604</v>
      </c>
      <c r="E174" s="1">
        <v>46286</v>
      </c>
      <c r="F174" t="s">
        <v>5605</v>
      </c>
      <c r="G174" t="s">
        <v>55</v>
      </c>
      <c r="H174">
        <v>13950</v>
      </c>
      <c r="I174">
        <v>33910</v>
      </c>
      <c r="J174">
        <v>19960</v>
      </c>
      <c r="K174" t="s">
        <v>14</v>
      </c>
      <c r="L174"/>
      <c r="M174" t="s">
        <v>5905</v>
      </c>
      <c r="N174" t="s">
        <v>4045</v>
      </c>
      <c r="O174" s="228" t="s">
        <v>5241</v>
      </c>
      <c r="P174" s="99" t="s">
        <v>59</v>
      </c>
    </row>
    <row r="175" spans="1:16" ht="18.75" x14ac:dyDescent="0.3">
      <c r="A175" s="189" t="s">
        <v>5256</v>
      </c>
      <c r="B175" s="189">
        <v>746</v>
      </c>
      <c r="C175" s="1">
        <v>46286</v>
      </c>
      <c r="D175" t="s">
        <v>5606</v>
      </c>
      <c r="E175" s="1">
        <v>46286</v>
      </c>
      <c r="F175" t="s">
        <v>5607</v>
      </c>
      <c r="G175" t="s">
        <v>840</v>
      </c>
      <c r="H175">
        <v>14140</v>
      </c>
      <c r="I175">
        <v>31980</v>
      </c>
      <c r="J175">
        <v>17840</v>
      </c>
      <c r="K175" t="s">
        <v>14</v>
      </c>
      <c r="L175"/>
      <c r="M175" t="s">
        <v>5905</v>
      </c>
      <c r="N175" t="s">
        <v>4045</v>
      </c>
      <c r="O175" s="228" t="s">
        <v>5241</v>
      </c>
      <c r="P175" s="99" t="s">
        <v>59</v>
      </c>
    </row>
    <row r="176" spans="1:16" ht="18.75" x14ac:dyDescent="0.3">
      <c r="A176" s="189" t="s">
        <v>5257</v>
      </c>
      <c r="B176" s="189">
        <v>747</v>
      </c>
      <c r="C176" s="1">
        <v>46286</v>
      </c>
      <c r="D176" t="s">
        <v>5608</v>
      </c>
      <c r="E176" s="1">
        <v>46286</v>
      </c>
      <c r="F176" t="s">
        <v>5609</v>
      </c>
      <c r="G176" t="s">
        <v>64</v>
      </c>
      <c r="H176">
        <v>14110</v>
      </c>
      <c r="I176">
        <v>32280</v>
      </c>
      <c r="J176">
        <v>18170</v>
      </c>
      <c r="K176" t="s">
        <v>14</v>
      </c>
      <c r="L176"/>
      <c r="M176" t="s">
        <v>5905</v>
      </c>
      <c r="N176" t="s">
        <v>4045</v>
      </c>
      <c r="O176" s="228" t="s">
        <v>5241</v>
      </c>
      <c r="P176" s="99" t="s">
        <v>66</v>
      </c>
    </row>
    <row r="177" spans="1:16" ht="18.75" x14ac:dyDescent="0.3">
      <c r="A177" s="189" t="s">
        <v>5258</v>
      </c>
      <c r="B177" s="189">
        <v>748</v>
      </c>
      <c r="C177" s="1">
        <v>46286</v>
      </c>
      <c r="D177" t="s">
        <v>5610</v>
      </c>
      <c r="E177" s="1">
        <v>46286</v>
      </c>
      <c r="F177" t="s">
        <v>5611</v>
      </c>
      <c r="G177" t="s">
        <v>537</v>
      </c>
      <c r="H177">
        <v>13840</v>
      </c>
      <c r="I177">
        <v>31080</v>
      </c>
      <c r="J177">
        <v>17240</v>
      </c>
      <c r="K177" t="s">
        <v>14</v>
      </c>
      <c r="L177"/>
      <c r="M177" t="s">
        <v>5905</v>
      </c>
      <c r="N177" t="s">
        <v>4045</v>
      </c>
      <c r="O177" s="228" t="s">
        <v>5241</v>
      </c>
      <c r="P177" s="99" t="s">
        <v>59</v>
      </c>
    </row>
    <row r="178" spans="1:16" ht="18.75" x14ac:dyDescent="0.3">
      <c r="A178" s="189" t="s">
        <v>5259</v>
      </c>
      <c r="B178" s="189">
        <v>749</v>
      </c>
      <c r="C178" s="1">
        <v>46286</v>
      </c>
      <c r="D178" t="s">
        <v>5612</v>
      </c>
      <c r="E178" s="1">
        <v>46286</v>
      </c>
      <c r="F178" t="s">
        <v>5613</v>
      </c>
      <c r="G178" t="s">
        <v>337</v>
      </c>
      <c r="H178">
        <v>13950</v>
      </c>
      <c r="I178">
        <v>31220</v>
      </c>
      <c r="J178">
        <v>17270</v>
      </c>
      <c r="K178" t="s">
        <v>14</v>
      </c>
      <c r="L178"/>
      <c r="M178" t="s">
        <v>5905</v>
      </c>
      <c r="N178" t="s">
        <v>4045</v>
      </c>
      <c r="O178" s="228" t="s">
        <v>5241</v>
      </c>
      <c r="P178" s="99" t="s">
        <v>111</v>
      </c>
    </row>
    <row r="179" spans="1:16" ht="18.75" x14ac:dyDescent="0.3">
      <c r="A179" s="189" t="s">
        <v>5260</v>
      </c>
      <c r="B179" s="189">
        <v>750</v>
      </c>
      <c r="C179" s="1">
        <v>46286</v>
      </c>
      <c r="D179" t="s">
        <v>5614</v>
      </c>
      <c r="E179" s="1">
        <v>46286</v>
      </c>
      <c r="F179" t="s">
        <v>5615</v>
      </c>
      <c r="G179" t="s">
        <v>143</v>
      </c>
      <c r="H179">
        <v>13960</v>
      </c>
      <c r="I179">
        <v>31460</v>
      </c>
      <c r="J179">
        <v>17500</v>
      </c>
      <c r="K179" t="s">
        <v>14</v>
      </c>
      <c r="L179"/>
      <c r="M179" t="s">
        <v>5905</v>
      </c>
      <c r="N179" t="s">
        <v>4045</v>
      </c>
      <c r="O179" s="228" t="s">
        <v>5241</v>
      </c>
      <c r="P179" s="99" t="s">
        <v>59</v>
      </c>
    </row>
    <row r="180" spans="1:16" ht="18.75" x14ac:dyDescent="0.3">
      <c r="A180" s="189" t="s">
        <v>5261</v>
      </c>
      <c r="B180" s="189">
        <v>751</v>
      </c>
      <c r="C180" s="1">
        <v>46286</v>
      </c>
      <c r="D180" t="s">
        <v>5616</v>
      </c>
      <c r="E180" s="1">
        <v>46286</v>
      </c>
      <c r="F180" t="s">
        <v>5617</v>
      </c>
      <c r="G180" t="s">
        <v>71</v>
      </c>
      <c r="H180">
        <v>13820</v>
      </c>
      <c r="I180">
        <v>32230</v>
      </c>
      <c r="J180">
        <v>18410</v>
      </c>
      <c r="K180" t="s">
        <v>14</v>
      </c>
      <c r="L180"/>
      <c r="M180" t="s">
        <v>5905</v>
      </c>
      <c r="N180" t="s">
        <v>4045</v>
      </c>
      <c r="O180" s="228" t="s">
        <v>5241</v>
      </c>
      <c r="P180" s="99" t="s">
        <v>59</v>
      </c>
    </row>
    <row r="181" spans="1:16" ht="18.75" x14ac:dyDescent="0.3">
      <c r="A181" s="189" t="s">
        <v>5262</v>
      </c>
      <c r="B181" s="189">
        <v>752</v>
      </c>
      <c r="C181" s="1">
        <v>46286</v>
      </c>
      <c r="D181" t="s">
        <v>5618</v>
      </c>
      <c r="E181" s="1">
        <v>46286</v>
      </c>
      <c r="F181" t="s">
        <v>5619</v>
      </c>
      <c r="G181" t="s">
        <v>76</v>
      </c>
      <c r="H181">
        <v>13820</v>
      </c>
      <c r="I181">
        <v>33050</v>
      </c>
      <c r="J181">
        <v>19230</v>
      </c>
      <c r="K181" t="s">
        <v>14</v>
      </c>
      <c r="L181"/>
      <c r="M181" t="s">
        <v>5905</v>
      </c>
      <c r="N181" t="s">
        <v>4045</v>
      </c>
      <c r="O181" s="228" t="s">
        <v>5241</v>
      </c>
      <c r="P181" s="99" t="s">
        <v>66</v>
      </c>
    </row>
    <row r="182" spans="1:16" ht="18.75" x14ac:dyDescent="0.3">
      <c r="A182" s="189" t="s">
        <v>5263</v>
      </c>
      <c r="B182" s="189">
        <v>753</v>
      </c>
      <c r="C182" s="1">
        <v>46286</v>
      </c>
      <c r="D182" t="s">
        <v>5620</v>
      </c>
      <c r="E182" s="1">
        <v>46286</v>
      </c>
      <c r="F182" t="s">
        <v>5621</v>
      </c>
      <c r="G182" t="s">
        <v>842</v>
      </c>
      <c r="H182">
        <v>13980</v>
      </c>
      <c r="I182">
        <v>33220</v>
      </c>
      <c r="J182">
        <v>19240</v>
      </c>
      <c r="K182" t="s">
        <v>14</v>
      </c>
      <c r="L182"/>
      <c r="M182" t="s">
        <v>5905</v>
      </c>
      <c r="N182" t="s">
        <v>4045</v>
      </c>
      <c r="O182" s="228" t="s">
        <v>5241</v>
      </c>
      <c r="P182" s="99" t="s">
        <v>59</v>
      </c>
    </row>
    <row r="183" spans="1:16" ht="18.75" x14ac:dyDescent="0.3">
      <c r="A183" s="189" t="s">
        <v>5264</v>
      </c>
      <c r="B183" s="189">
        <v>754</v>
      </c>
      <c r="C183" s="1">
        <v>46286</v>
      </c>
      <c r="D183" t="s">
        <v>5622</v>
      </c>
      <c r="E183" s="1">
        <v>46286</v>
      </c>
      <c r="F183" t="s">
        <v>5623</v>
      </c>
      <c r="G183" t="s">
        <v>540</v>
      </c>
      <c r="H183">
        <v>13820</v>
      </c>
      <c r="I183">
        <v>34680</v>
      </c>
      <c r="J183">
        <v>20860</v>
      </c>
      <c r="K183" t="s">
        <v>14</v>
      </c>
      <c r="L183"/>
      <c r="M183" t="s">
        <v>5905</v>
      </c>
      <c r="N183" t="s">
        <v>4045</v>
      </c>
      <c r="O183" s="228" t="s">
        <v>5241</v>
      </c>
      <c r="P183" s="99" t="s">
        <v>59</v>
      </c>
    </row>
    <row r="184" spans="1:16" ht="18.75" x14ac:dyDescent="0.3">
      <c r="A184" s="189" t="s">
        <v>5265</v>
      </c>
      <c r="B184" s="189">
        <v>755</v>
      </c>
      <c r="C184" s="1">
        <v>46286</v>
      </c>
      <c r="D184" t="s">
        <v>5624</v>
      </c>
      <c r="E184" s="1">
        <v>46286</v>
      </c>
      <c r="F184" t="s">
        <v>5625</v>
      </c>
      <c r="G184" t="s">
        <v>55</v>
      </c>
      <c r="H184">
        <v>13910</v>
      </c>
      <c r="I184">
        <v>34480</v>
      </c>
      <c r="J184">
        <v>20570</v>
      </c>
      <c r="K184" t="s">
        <v>14</v>
      </c>
      <c r="L184"/>
      <c r="M184" t="s">
        <v>5905</v>
      </c>
      <c r="N184" t="s">
        <v>4045</v>
      </c>
      <c r="O184" s="228" t="s">
        <v>5241</v>
      </c>
      <c r="P184" s="99" t="s">
        <v>59</v>
      </c>
    </row>
    <row r="185" spans="1:16" ht="18.75" x14ac:dyDescent="0.3">
      <c r="A185" s="189" t="s">
        <v>5266</v>
      </c>
      <c r="B185" s="189">
        <v>756</v>
      </c>
      <c r="C185" s="1">
        <v>46286</v>
      </c>
      <c r="D185" t="s">
        <v>5626</v>
      </c>
      <c r="E185" s="1">
        <v>46286</v>
      </c>
      <c r="F185" t="s">
        <v>5627</v>
      </c>
      <c r="G185" t="s">
        <v>90</v>
      </c>
      <c r="H185">
        <v>13930</v>
      </c>
      <c r="I185">
        <v>33860</v>
      </c>
      <c r="J185">
        <v>19930</v>
      </c>
      <c r="K185" t="s">
        <v>14</v>
      </c>
      <c r="L185"/>
      <c r="M185" t="s">
        <v>5905</v>
      </c>
      <c r="N185" t="s">
        <v>4045</v>
      </c>
      <c r="O185" s="228" t="s">
        <v>5241</v>
      </c>
      <c r="P185" s="99" t="s">
        <v>66</v>
      </c>
    </row>
    <row r="186" spans="1:16" ht="18.75" x14ac:dyDescent="0.3">
      <c r="A186" s="189" t="s">
        <v>5267</v>
      </c>
      <c r="B186" s="189">
        <v>757</v>
      </c>
      <c r="C186" s="1">
        <v>46286</v>
      </c>
      <c r="D186" t="s">
        <v>5628</v>
      </c>
      <c r="E186" s="1">
        <v>46286</v>
      </c>
      <c r="F186" t="s">
        <v>5629</v>
      </c>
      <c r="G186" t="s">
        <v>335</v>
      </c>
      <c r="H186">
        <v>13960</v>
      </c>
      <c r="I186">
        <v>33270</v>
      </c>
      <c r="J186">
        <v>19310</v>
      </c>
      <c r="K186" t="s">
        <v>14</v>
      </c>
      <c r="L186"/>
      <c r="M186" t="s">
        <v>5905</v>
      </c>
      <c r="N186" t="s">
        <v>4045</v>
      </c>
      <c r="O186" s="228" t="s">
        <v>5241</v>
      </c>
      <c r="P186" s="99" t="s">
        <v>111</v>
      </c>
    </row>
    <row r="187" spans="1:16" ht="18.75" x14ac:dyDescent="0.3">
      <c r="A187" s="189" t="s">
        <v>5268</v>
      </c>
      <c r="B187" s="189">
        <v>758</v>
      </c>
      <c r="C187" s="1">
        <v>46286</v>
      </c>
      <c r="D187" t="s">
        <v>5630</v>
      </c>
      <c r="E187" s="1">
        <v>46286</v>
      </c>
      <c r="F187" t="s">
        <v>5631</v>
      </c>
      <c r="G187" t="s">
        <v>840</v>
      </c>
      <c r="H187">
        <v>14110</v>
      </c>
      <c r="I187">
        <v>34030</v>
      </c>
      <c r="J187">
        <v>19920</v>
      </c>
      <c r="K187" t="s">
        <v>14</v>
      </c>
      <c r="L187"/>
      <c r="M187" t="s">
        <v>5905</v>
      </c>
      <c r="N187" t="s">
        <v>4045</v>
      </c>
      <c r="O187" s="228" t="s">
        <v>5241</v>
      </c>
      <c r="P187" s="99" t="s">
        <v>59</v>
      </c>
    </row>
    <row r="188" spans="1:16" ht="18.75" x14ac:dyDescent="0.3">
      <c r="A188" s="189" t="s">
        <v>5269</v>
      </c>
      <c r="B188" s="189">
        <v>759</v>
      </c>
      <c r="C188" s="1">
        <v>46286</v>
      </c>
      <c r="D188" t="s">
        <v>5632</v>
      </c>
      <c r="E188" s="1">
        <v>46286</v>
      </c>
      <c r="F188" t="s">
        <v>5633</v>
      </c>
      <c r="G188" t="s">
        <v>537</v>
      </c>
      <c r="H188">
        <v>13800</v>
      </c>
      <c r="I188">
        <v>33760</v>
      </c>
      <c r="J188">
        <v>19960</v>
      </c>
      <c r="K188" t="s">
        <v>14</v>
      </c>
      <c r="L188"/>
      <c r="M188" t="s">
        <v>5905</v>
      </c>
      <c r="N188" t="s">
        <v>4045</v>
      </c>
      <c r="O188" s="228" t="s">
        <v>5241</v>
      </c>
      <c r="P188" s="99" t="s">
        <v>59</v>
      </c>
    </row>
    <row r="189" spans="1:16" ht="18.75" x14ac:dyDescent="0.3">
      <c r="A189" s="189" t="s">
        <v>5270</v>
      </c>
      <c r="B189" s="189">
        <v>760</v>
      </c>
      <c r="C189" s="1">
        <v>46286</v>
      </c>
      <c r="D189" t="s">
        <v>5634</v>
      </c>
      <c r="E189" s="1">
        <v>46286</v>
      </c>
      <c r="F189" t="s">
        <v>5635</v>
      </c>
      <c r="G189" t="s">
        <v>85</v>
      </c>
      <c r="H189">
        <v>13830</v>
      </c>
      <c r="I189">
        <v>33580</v>
      </c>
      <c r="J189">
        <v>19750</v>
      </c>
      <c r="K189" t="s">
        <v>14</v>
      </c>
      <c r="L189"/>
      <c r="M189" t="s">
        <v>5905</v>
      </c>
      <c r="N189" t="s">
        <v>4045</v>
      </c>
      <c r="O189" s="228" t="s">
        <v>5241</v>
      </c>
      <c r="P189" s="99" t="s">
        <v>66</v>
      </c>
    </row>
    <row r="190" spans="1:16" ht="18.75" x14ac:dyDescent="0.3">
      <c r="A190" s="189" t="s">
        <v>5271</v>
      </c>
      <c r="B190" s="189">
        <v>761</v>
      </c>
      <c r="C190" s="1">
        <v>46286</v>
      </c>
      <c r="D190" t="s">
        <v>5636</v>
      </c>
      <c r="E190" s="1">
        <v>46286</v>
      </c>
      <c r="F190" t="s">
        <v>5637</v>
      </c>
      <c r="G190" t="s">
        <v>843</v>
      </c>
      <c r="H190">
        <v>14070</v>
      </c>
      <c r="I190">
        <v>32700</v>
      </c>
      <c r="J190">
        <v>18630</v>
      </c>
      <c r="K190" t="s">
        <v>14</v>
      </c>
      <c r="L190"/>
      <c r="M190" t="s">
        <v>5905</v>
      </c>
      <c r="N190" t="s">
        <v>4045</v>
      </c>
      <c r="O190" s="228" t="s">
        <v>5241</v>
      </c>
      <c r="P190" s="99" t="s">
        <v>111</v>
      </c>
    </row>
    <row r="191" spans="1:16" ht="18.75" x14ac:dyDescent="0.3">
      <c r="A191" s="189" t="s">
        <v>5272</v>
      </c>
      <c r="B191" s="189">
        <v>762</v>
      </c>
      <c r="C191" s="1">
        <v>46286</v>
      </c>
      <c r="D191" t="s">
        <v>5638</v>
      </c>
      <c r="E191" s="1">
        <v>46286</v>
      </c>
      <c r="F191" t="s">
        <v>5639</v>
      </c>
      <c r="G191" t="s">
        <v>64</v>
      </c>
      <c r="H191">
        <v>14090</v>
      </c>
      <c r="I191">
        <v>33420</v>
      </c>
      <c r="J191">
        <v>19330</v>
      </c>
      <c r="K191" t="s">
        <v>14</v>
      </c>
      <c r="L191"/>
      <c r="M191" t="s">
        <v>5905</v>
      </c>
      <c r="N191" t="s">
        <v>4045</v>
      </c>
      <c r="O191" s="228" t="s">
        <v>5241</v>
      </c>
      <c r="P191" s="99" t="s">
        <v>66</v>
      </c>
    </row>
    <row r="192" spans="1:16" ht="18.75" x14ac:dyDescent="0.3">
      <c r="A192" s="189" t="s">
        <v>5273</v>
      </c>
      <c r="B192" s="189">
        <v>763</v>
      </c>
      <c r="C192" s="1">
        <v>46286</v>
      </c>
      <c r="D192" t="s">
        <v>5640</v>
      </c>
      <c r="E192" s="1">
        <v>46286</v>
      </c>
      <c r="F192" t="s">
        <v>5641</v>
      </c>
      <c r="G192" t="s">
        <v>80</v>
      </c>
      <c r="H192">
        <v>13960</v>
      </c>
      <c r="I192">
        <v>32700</v>
      </c>
      <c r="J192">
        <v>18740</v>
      </c>
      <c r="K192" t="s">
        <v>14</v>
      </c>
      <c r="L192"/>
      <c r="M192" t="s">
        <v>5905</v>
      </c>
      <c r="N192" t="s">
        <v>4045</v>
      </c>
      <c r="O192" s="228" t="s">
        <v>5241</v>
      </c>
      <c r="P192" s="99" t="s">
        <v>66</v>
      </c>
    </row>
    <row r="193" spans="1:16" ht="18.75" x14ac:dyDescent="0.3">
      <c r="A193" s="189" t="s">
        <v>5274</v>
      </c>
      <c r="B193" s="189">
        <v>764</v>
      </c>
      <c r="C193" s="1">
        <v>46286</v>
      </c>
      <c r="D193" t="s">
        <v>5642</v>
      </c>
      <c r="E193" s="1">
        <v>46286</v>
      </c>
      <c r="F193" t="s">
        <v>5643</v>
      </c>
      <c r="G193" t="s">
        <v>143</v>
      </c>
      <c r="H193">
        <v>14000</v>
      </c>
      <c r="I193">
        <v>32360</v>
      </c>
      <c r="J193">
        <v>18360</v>
      </c>
      <c r="K193" t="s">
        <v>14</v>
      </c>
      <c r="L193"/>
      <c r="M193" t="s">
        <v>5905</v>
      </c>
      <c r="N193" t="s">
        <v>4045</v>
      </c>
      <c r="O193" s="228" t="s">
        <v>5241</v>
      </c>
      <c r="P193" s="99" t="s">
        <v>59</v>
      </c>
    </row>
    <row r="194" spans="1:16" ht="18.75" x14ac:dyDescent="0.3">
      <c r="A194" s="189" t="s">
        <v>5275</v>
      </c>
      <c r="B194" s="189">
        <v>765</v>
      </c>
      <c r="C194" s="1">
        <v>46286</v>
      </c>
      <c r="D194" t="s">
        <v>5644</v>
      </c>
      <c r="E194" s="1">
        <v>46286</v>
      </c>
      <c r="F194" t="s">
        <v>5645</v>
      </c>
      <c r="G194" t="s">
        <v>336</v>
      </c>
      <c r="H194">
        <v>13740</v>
      </c>
      <c r="I194">
        <v>32740</v>
      </c>
      <c r="J194">
        <v>19000</v>
      </c>
      <c r="K194" t="s">
        <v>14</v>
      </c>
      <c r="L194"/>
      <c r="M194" t="s">
        <v>5905</v>
      </c>
      <c r="N194" t="s">
        <v>4045</v>
      </c>
      <c r="O194" s="228" t="s">
        <v>5241</v>
      </c>
      <c r="P194" s="99" t="s">
        <v>111</v>
      </c>
    </row>
    <row r="195" spans="1:16" ht="18.75" x14ac:dyDescent="0.3">
      <c r="A195" s="189" t="s">
        <v>5276</v>
      </c>
      <c r="B195" s="189">
        <v>766</v>
      </c>
      <c r="C195" s="1">
        <v>46286</v>
      </c>
      <c r="D195" t="s">
        <v>5646</v>
      </c>
      <c r="E195" s="1">
        <v>46286</v>
      </c>
      <c r="F195" t="s">
        <v>5647</v>
      </c>
      <c r="G195" t="s">
        <v>540</v>
      </c>
      <c r="H195">
        <v>13870</v>
      </c>
      <c r="I195">
        <v>32990</v>
      </c>
      <c r="J195">
        <v>19120</v>
      </c>
      <c r="K195" t="s">
        <v>14</v>
      </c>
      <c r="L195"/>
      <c r="M195" t="s">
        <v>5905</v>
      </c>
      <c r="N195" t="s">
        <v>4045</v>
      </c>
      <c r="O195" s="228" t="s">
        <v>5241</v>
      </c>
      <c r="P195" s="99" t="s">
        <v>59</v>
      </c>
    </row>
    <row r="196" spans="1:16" ht="18.75" x14ac:dyDescent="0.3">
      <c r="A196" s="189" t="s">
        <v>5277</v>
      </c>
      <c r="B196" s="189">
        <v>767</v>
      </c>
      <c r="C196" s="1">
        <v>46286</v>
      </c>
      <c r="D196" t="s">
        <v>5648</v>
      </c>
      <c r="E196" s="1">
        <v>46286</v>
      </c>
      <c r="F196" t="s">
        <v>5649</v>
      </c>
      <c r="G196" t="s">
        <v>43</v>
      </c>
      <c r="H196">
        <v>14030</v>
      </c>
      <c r="I196">
        <v>32630</v>
      </c>
      <c r="J196">
        <v>18600</v>
      </c>
      <c r="K196" t="s">
        <v>14</v>
      </c>
      <c r="L196"/>
      <c r="M196" t="s">
        <v>5905</v>
      </c>
      <c r="N196" t="s">
        <v>4045</v>
      </c>
      <c r="O196" s="228" t="s">
        <v>5241</v>
      </c>
      <c r="P196" s="99" t="s">
        <v>111</v>
      </c>
    </row>
    <row r="197" spans="1:16" ht="18.75" x14ac:dyDescent="0.3">
      <c r="A197" s="189" t="s">
        <v>4042</v>
      </c>
      <c r="B197" s="189">
        <v>768</v>
      </c>
      <c r="C197" s="1">
        <v>46286</v>
      </c>
      <c r="D197" t="s">
        <v>5650</v>
      </c>
      <c r="E197" s="1">
        <v>46286</v>
      </c>
      <c r="F197" t="s">
        <v>553</v>
      </c>
      <c r="G197" t="s">
        <v>71</v>
      </c>
      <c r="H197">
        <v>14120</v>
      </c>
      <c r="I197">
        <v>33960</v>
      </c>
      <c r="J197">
        <v>19840</v>
      </c>
      <c r="K197" t="s">
        <v>14</v>
      </c>
      <c r="L197"/>
      <c r="M197" t="s">
        <v>5905</v>
      </c>
      <c r="N197" t="s">
        <v>4045</v>
      </c>
      <c r="O197" s="228" t="s">
        <v>5241</v>
      </c>
      <c r="P197" s="99" t="s">
        <v>59</v>
      </c>
    </row>
    <row r="198" spans="1:16" ht="18.75" x14ac:dyDescent="0.3">
      <c r="A198" s="189" t="s">
        <v>5278</v>
      </c>
      <c r="B198" s="189">
        <v>769</v>
      </c>
      <c r="C198" s="1">
        <v>46286</v>
      </c>
      <c r="D198" t="s">
        <v>5651</v>
      </c>
      <c r="E198" s="1">
        <v>46286</v>
      </c>
      <c r="F198" t="s">
        <v>5652</v>
      </c>
      <c r="G198" t="s">
        <v>76</v>
      </c>
      <c r="H198">
        <v>13810</v>
      </c>
      <c r="I198">
        <v>34450</v>
      </c>
      <c r="J198">
        <v>20640</v>
      </c>
      <c r="K198" t="s">
        <v>14</v>
      </c>
      <c r="L198"/>
      <c r="M198" t="s">
        <v>5905</v>
      </c>
      <c r="N198" t="s">
        <v>4045</v>
      </c>
      <c r="O198" s="228" t="s">
        <v>5241</v>
      </c>
      <c r="P198" s="99" t="s">
        <v>66</v>
      </c>
    </row>
    <row r="199" spans="1:16" ht="18.75" x14ac:dyDescent="0.3">
      <c r="A199" s="189" t="s">
        <v>4046</v>
      </c>
      <c r="B199" s="189">
        <v>770</v>
      </c>
      <c r="C199" s="1">
        <v>46286</v>
      </c>
      <c r="D199" t="s">
        <v>5653</v>
      </c>
      <c r="E199" s="1">
        <v>46286</v>
      </c>
      <c r="F199" t="s">
        <v>2537</v>
      </c>
      <c r="G199" t="s">
        <v>840</v>
      </c>
      <c r="H199">
        <v>14080</v>
      </c>
      <c r="I199">
        <v>34480</v>
      </c>
      <c r="J199">
        <v>20400</v>
      </c>
      <c r="K199" t="s">
        <v>14</v>
      </c>
      <c r="L199"/>
      <c r="M199" t="s">
        <v>5905</v>
      </c>
      <c r="N199" t="s">
        <v>4045</v>
      </c>
      <c r="O199" s="228" t="s">
        <v>5241</v>
      </c>
      <c r="P199" s="99" t="s">
        <v>59</v>
      </c>
    </row>
    <row r="200" spans="1:16" ht="18.75" x14ac:dyDescent="0.3">
      <c r="A200" s="189" t="s">
        <v>4049</v>
      </c>
      <c r="B200" s="189">
        <v>771</v>
      </c>
      <c r="C200" s="1">
        <v>46286</v>
      </c>
      <c r="D200" t="s">
        <v>5654</v>
      </c>
      <c r="E200" s="1">
        <v>46286</v>
      </c>
      <c r="F200" t="s">
        <v>5655</v>
      </c>
      <c r="G200" t="s">
        <v>335</v>
      </c>
      <c r="H200">
        <v>13940</v>
      </c>
      <c r="I200">
        <v>33780</v>
      </c>
      <c r="J200">
        <v>19840</v>
      </c>
      <c r="K200" t="s">
        <v>14</v>
      </c>
      <c r="L200"/>
      <c r="M200" t="s">
        <v>5905</v>
      </c>
      <c r="N200" t="s">
        <v>4045</v>
      </c>
      <c r="O200" s="228" t="s">
        <v>5241</v>
      </c>
      <c r="P200" s="99" t="s">
        <v>111</v>
      </c>
    </row>
    <row r="201" spans="1:16" ht="18.75" x14ac:dyDescent="0.3">
      <c r="A201" s="189" t="s">
        <v>4052</v>
      </c>
      <c r="B201" s="189">
        <v>772</v>
      </c>
      <c r="C201" s="1">
        <v>46286</v>
      </c>
      <c r="D201" t="s">
        <v>5656</v>
      </c>
      <c r="E201" s="1">
        <v>46286</v>
      </c>
      <c r="F201" t="s">
        <v>4784</v>
      </c>
      <c r="G201" t="s">
        <v>90</v>
      </c>
      <c r="H201">
        <v>13850</v>
      </c>
      <c r="I201">
        <v>33060</v>
      </c>
      <c r="J201">
        <v>19210</v>
      </c>
      <c r="K201" t="s">
        <v>14</v>
      </c>
      <c r="L201"/>
      <c r="M201" t="s">
        <v>5905</v>
      </c>
      <c r="N201" t="s">
        <v>4045</v>
      </c>
      <c r="O201" s="228" t="s">
        <v>5241</v>
      </c>
      <c r="P201" s="99" t="s">
        <v>66</v>
      </c>
    </row>
    <row r="202" spans="1:16" ht="18.75" x14ac:dyDescent="0.3">
      <c r="A202" s="189" t="s">
        <v>4055</v>
      </c>
      <c r="B202" s="189">
        <v>773</v>
      </c>
      <c r="C202" s="1">
        <v>46286</v>
      </c>
      <c r="D202" t="s">
        <v>5657</v>
      </c>
      <c r="E202" s="1">
        <v>46286</v>
      </c>
      <c r="F202" t="s">
        <v>5658</v>
      </c>
      <c r="G202" t="s">
        <v>337</v>
      </c>
      <c r="H202">
        <v>13930</v>
      </c>
      <c r="I202">
        <v>33850</v>
      </c>
      <c r="J202">
        <v>19920</v>
      </c>
      <c r="K202" t="s">
        <v>14</v>
      </c>
      <c r="L202"/>
      <c r="M202" t="s">
        <v>5905</v>
      </c>
      <c r="N202" t="s">
        <v>4045</v>
      </c>
      <c r="O202" s="228" t="s">
        <v>5241</v>
      </c>
      <c r="P202" s="99" t="s">
        <v>111</v>
      </c>
    </row>
    <row r="203" spans="1:16" ht="18.75" x14ac:dyDescent="0.3">
      <c r="A203" s="189" t="s">
        <v>4058</v>
      </c>
      <c r="B203" s="189">
        <v>774</v>
      </c>
      <c r="C203" s="1">
        <v>46286</v>
      </c>
      <c r="D203" t="s">
        <v>5659</v>
      </c>
      <c r="E203" s="1">
        <v>46286</v>
      </c>
      <c r="F203" t="s">
        <v>5660</v>
      </c>
      <c r="G203" t="s">
        <v>64</v>
      </c>
      <c r="H203">
        <v>14050</v>
      </c>
      <c r="I203">
        <v>33070</v>
      </c>
      <c r="J203">
        <v>19020</v>
      </c>
      <c r="K203" t="s">
        <v>14</v>
      </c>
      <c r="L203"/>
      <c r="M203" t="s">
        <v>5905</v>
      </c>
      <c r="N203" t="s">
        <v>4045</v>
      </c>
      <c r="O203" s="228" t="s">
        <v>5241</v>
      </c>
      <c r="P203" s="99" t="s">
        <v>66</v>
      </c>
    </row>
    <row r="204" spans="1:16" ht="18.75" x14ac:dyDescent="0.3">
      <c r="A204" s="189" t="s">
        <v>4061</v>
      </c>
      <c r="B204" s="189">
        <v>775</v>
      </c>
      <c r="C204" s="1">
        <v>46286</v>
      </c>
      <c r="D204" t="s">
        <v>5661</v>
      </c>
      <c r="E204" s="1">
        <v>46286</v>
      </c>
      <c r="F204" t="s">
        <v>5662</v>
      </c>
      <c r="G204" t="s">
        <v>85</v>
      </c>
      <c r="H204">
        <v>13820</v>
      </c>
      <c r="I204">
        <v>32520</v>
      </c>
      <c r="J204">
        <v>18700</v>
      </c>
      <c r="K204" t="s">
        <v>14</v>
      </c>
      <c r="L204"/>
      <c r="M204" t="s">
        <v>5905</v>
      </c>
      <c r="N204" t="s">
        <v>4045</v>
      </c>
      <c r="O204" s="228" t="s">
        <v>5241</v>
      </c>
      <c r="P204" s="99" t="s">
        <v>66</v>
      </c>
    </row>
    <row r="205" spans="1:16" ht="18.75" x14ac:dyDescent="0.3">
      <c r="A205" s="189" t="s">
        <v>4064</v>
      </c>
      <c r="B205" s="189">
        <v>776</v>
      </c>
      <c r="C205" s="1">
        <v>46286</v>
      </c>
      <c r="D205" t="s">
        <v>5663</v>
      </c>
      <c r="E205" s="1">
        <v>46286</v>
      </c>
      <c r="F205" t="s">
        <v>5664</v>
      </c>
      <c r="G205" t="s">
        <v>842</v>
      </c>
      <c r="H205">
        <v>13950</v>
      </c>
      <c r="I205">
        <v>32930</v>
      </c>
      <c r="J205">
        <v>18980</v>
      </c>
      <c r="K205" t="s">
        <v>14</v>
      </c>
      <c r="L205"/>
      <c r="M205" t="s">
        <v>5905</v>
      </c>
      <c r="N205" t="s">
        <v>4045</v>
      </c>
      <c r="O205" s="228" t="s">
        <v>5241</v>
      </c>
      <c r="P205" s="99" t="s">
        <v>59</v>
      </c>
    </row>
    <row r="206" spans="1:16" ht="18.75" x14ac:dyDescent="0.3">
      <c r="A206" s="189" t="s">
        <v>4067</v>
      </c>
      <c r="B206" s="189">
        <v>777</v>
      </c>
      <c r="C206" s="1">
        <v>46286</v>
      </c>
      <c r="D206" t="s">
        <v>5665</v>
      </c>
      <c r="E206" s="1">
        <v>46286</v>
      </c>
      <c r="F206" t="s">
        <v>5666</v>
      </c>
      <c r="G206" t="s">
        <v>55</v>
      </c>
      <c r="H206">
        <v>13860</v>
      </c>
      <c r="I206">
        <v>33160</v>
      </c>
      <c r="J206">
        <v>19300</v>
      </c>
      <c r="K206" t="s">
        <v>14</v>
      </c>
      <c r="L206"/>
      <c r="M206" t="s">
        <v>5905</v>
      </c>
      <c r="N206" t="s">
        <v>4045</v>
      </c>
      <c r="O206" s="228" t="s">
        <v>5241</v>
      </c>
      <c r="P206" s="99" t="s">
        <v>59</v>
      </c>
    </row>
    <row r="207" spans="1:16" ht="18.75" x14ac:dyDescent="0.3">
      <c r="A207" s="189" t="s">
        <v>4070</v>
      </c>
      <c r="B207" s="189">
        <v>778</v>
      </c>
      <c r="C207" s="1">
        <v>46286</v>
      </c>
      <c r="D207" t="s">
        <v>5667</v>
      </c>
      <c r="E207" s="1">
        <v>46286</v>
      </c>
      <c r="F207" t="s">
        <v>5668</v>
      </c>
      <c r="G207" t="s">
        <v>843</v>
      </c>
      <c r="H207">
        <v>13930</v>
      </c>
      <c r="I207">
        <v>33670</v>
      </c>
      <c r="J207">
        <v>19740</v>
      </c>
      <c r="K207" t="s">
        <v>14</v>
      </c>
      <c r="L207"/>
      <c r="M207" t="s">
        <v>5905</v>
      </c>
      <c r="N207" t="s">
        <v>4045</v>
      </c>
      <c r="O207" s="228" t="s">
        <v>5241</v>
      </c>
      <c r="P207" s="99" t="s">
        <v>111</v>
      </c>
    </row>
    <row r="208" spans="1:16" ht="18.75" x14ac:dyDescent="0.3">
      <c r="A208" s="189" t="s">
        <v>4073</v>
      </c>
      <c r="B208" s="189">
        <v>779</v>
      </c>
      <c r="C208" s="1">
        <v>46286</v>
      </c>
      <c r="D208" t="s">
        <v>5669</v>
      </c>
      <c r="E208" s="1">
        <v>46286</v>
      </c>
      <c r="F208" t="s">
        <v>5670</v>
      </c>
      <c r="G208" t="s">
        <v>143</v>
      </c>
      <c r="H208">
        <v>13880</v>
      </c>
      <c r="I208">
        <v>33000</v>
      </c>
      <c r="J208">
        <v>19120</v>
      </c>
      <c r="K208" t="s">
        <v>14</v>
      </c>
      <c r="L208"/>
      <c r="M208" t="s">
        <v>5905</v>
      </c>
      <c r="N208" t="s">
        <v>4045</v>
      </c>
      <c r="O208" s="228" t="s">
        <v>5241</v>
      </c>
      <c r="P208" s="99" t="s">
        <v>59</v>
      </c>
    </row>
    <row r="209" spans="1:16" ht="18.75" x14ac:dyDescent="0.3">
      <c r="A209" s="189" t="s">
        <v>4076</v>
      </c>
      <c r="B209" s="189">
        <v>780</v>
      </c>
      <c r="C209" s="1">
        <v>46286</v>
      </c>
      <c r="D209" t="s">
        <v>5671</v>
      </c>
      <c r="E209" s="1">
        <v>46286</v>
      </c>
      <c r="F209" t="s">
        <v>5672</v>
      </c>
      <c r="G209" t="s">
        <v>80</v>
      </c>
      <c r="H209">
        <v>14280</v>
      </c>
      <c r="I209">
        <v>32460</v>
      </c>
      <c r="J209">
        <v>18180</v>
      </c>
      <c r="K209" t="s">
        <v>14</v>
      </c>
      <c r="L209"/>
      <c r="M209" t="s">
        <v>5905</v>
      </c>
      <c r="N209" t="s">
        <v>4045</v>
      </c>
      <c r="O209" s="228" t="s">
        <v>5241</v>
      </c>
      <c r="P209" s="99" t="s">
        <v>66</v>
      </c>
    </row>
    <row r="210" spans="1:16" ht="18.75" x14ac:dyDescent="0.3">
      <c r="A210" s="189" t="s">
        <v>4079</v>
      </c>
      <c r="B210" s="189">
        <v>781</v>
      </c>
      <c r="C210" s="1">
        <v>46286</v>
      </c>
      <c r="D210" t="s">
        <v>5673</v>
      </c>
      <c r="E210" s="1">
        <v>46286</v>
      </c>
      <c r="F210" t="s">
        <v>5674</v>
      </c>
      <c r="G210" t="s">
        <v>537</v>
      </c>
      <c r="H210">
        <v>14060</v>
      </c>
      <c r="I210">
        <v>33080</v>
      </c>
      <c r="J210">
        <v>19020</v>
      </c>
      <c r="K210" t="s">
        <v>14</v>
      </c>
      <c r="L210"/>
      <c r="M210" t="s">
        <v>5905</v>
      </c>
      <c r="N210" t="s">
        <v>4045</v>
      </c>
      <c r="O210" s="228" t="s">
        <v>5241</v>
      </c>
      <c r="P210" s="99" t="s">
        <v>59</v>
      </c>
    </row>
    <row r="211" spans="1:16" ht="18.75" x14ac:dyDescent="0.3">
      <c r="A211" s="189" t="s">
        <v>4082</v>
      </c>
      <c r="B211" s="189">
        <v>785</v>
      </c>
      <c r="C211" s="1">
        <v>46286</v>
      </c>
      <c r="D211" t="s">
        <v>5675</v>
      </c>
      <c r="E211" s="1">
        <v>46286</v>
      </c>
      <c r="F211" t="s">
        <v>5676</v>
      </c>
      <c r="G211" t="s">
        <v>540</v>
      </c>
      <c r="H211">
        <v>13920</v>
      </c>
      <c r="I211">
        <v>32790</v>
      </c>
      <c r="J211">
        <v>18870</v>
      </c>
      <c r="K211" t="s">
        <v>14</v>
      </c>
      <c r="L211"/>
      <c r="M211" t="s">
        <v>5905</v>
      </c>
      <c r="N211" t="s">
        <v>4045</v>
      </c>
      <c r="O211" s="228" t="s">
        <v>5241</v>
      </c>
      <c r="P211" s="99" t="s">
        <v>59</v>
      </c>
    </row>
    <row r="212" spans="1:16" ht="18.75" x14ac:dyDescent="0.3">
      <c r="A212" s="189" t="s">
        <v>4085</v>
      </c>
      <c r="B212" s="189">
        <v>786</v>
      </c>
      <c r="C212" s="1">
        <v>46286</v>
      </c>
      <c r="D212" t="s">
        <v>5677</v>
      </c>
      <c r="E212" s="1">
        <v>46286</v>
      </c>
      <c r="F212" t="s">
        <v>5678</v>
      </c>
      <c r="G212" t="s">
        <v>336</v>
      </c>
      <c r="H212">
        <v>13990</v>
      </c>
      <c r="I212">
        <v>31960</v>
      </c>
      <c r="J212">
        <v>17970</v>
      </c>
      <c r="K212" t="s">
        <v>14</v>
      </c>
      <c r="L212"/>
      <c r="M212" t="s">
        <v>5905</v>
      </c>
      <c r="N212" t="s">
        <v>4045</v>
      </c>
      <c r="O212" s="228" t="s">
        <v>5241</v>
      </c>
      <c r="P212" s="99" t="s">
        <v>111</v>
      </c>
    </row>
    <row r="213" spans="1:16" ht="18.75" x14ac:dyDescent="0.3">
      <c r="A213" s="189" t="s">
        <v>4088</v>
      </c>
      <c r="B213" s="189">
        <v>787</v>
      </c>
      <c r="C213" s="1">
        <v>46286</v>
      </c>
      <c r="D213" t="s">
        <v>5679</v>
      </c>
      <c r="E213" s="1">
        <v>46286</v>
      </c>
      <c r="F213" t="s">
        <v>5680</v>
      </c>
      <c r="G213" t="s">
        <v>43</v>
      </c>
      <c r="H213">
        <v>13940</v>
      </c>
      <c r="I213">
        <v>32410</v>
      </c>
      <c r="J213">
        <v>18470</v>
      </c>
      <c r="K213" t="s">
        <v>14</v>
      </c>
      <c r="L213"/>
      <c r="M213" t="s">
        <v>5905</v>
      </c>
      <c r="N213" t="s">
        <v>4045</v>
      </c>
      <c r="O213" s="228" t="s">
        <v>5241</v>
      </c>
      <c r="P213" s="99" t="s">
        <v>111</v>
      </c>
    </row>
    <row r="214" spans="1:16" ht="18.75" x14ac:dyDescent="0.3">
      <c r="A214" s="189" t="s">
        <v>4091</v>
      </c>
      <c r="B214" s="189">
        <v>788</v>
      </c>
      <c r="C214" s="1">
        <v>46286</v>
      </c>
      <c r="D214" t="s">
        <v>5681</v>
      </c>
      <c r="E214" s="1">
        <v>46286</v>
      </c>
      <c r="F214" t="s">
        <v>5682</v>
      </c>
      <c r="G214" t="s">
        <v>840</v>
      </c>
      <c r="H214">
        <v>13980</v>
      </c>
      <c r="I214">
        <v>31990</v>
      </c>
      <c r="J214">
        <v>18010</v>
      </c>
      <c r="K214" t="s">
        <v>14</v>
      </c>
      <c r="L214"/>
      <c r="M214" t="s">
        <v>5905</v>
      </c>
      <c r="N214" t="s">
        <v>4045</v>
      </c>
      <c r="O214" s="228" t="s">
        <v>5241</v>
      </c>
      <c r="P214" s="99" t="s">
        <v>59</v>
      </c>
    </row>
    <row r="215" spans="1:16" ht="18.75" x14ac:dyDescent="0.3">
      <c r="A215" s="189" t="s">
        <v>4094</v>
      </c>
      <c r="B215" s="189">
        <v>789</v>
      </c>
      <c r="C215" s="1">
        <v>46286</v>
      </c>
      <c r="D215" t="s">
        <v>5683</v>
      </c>
      <c r="E215" s="1">
        <v>46286</v>
      </c>
      <c r="F215" t="s">
        <v>5684</v>
      </c>
      <c r="G215" t="s">
        <v>76</v>
      </c>
      <c r="H215">
        <v>14030</v>
      </c>
      <c r="I215">
        <v>32010</v>
      </c>
      <c r="J215">
        <v>17980</v>
      </c>
      <c r="K215" t="s">
        <v>14</v>
      </c>
      <c r="L215"/>
      <c r="M215" t="s">
        <v>5905</v>
      </c>
      <c r="N215" t="s">
        <v>4045</v>
      </c>
      <c r="O215" s="228" t="s">
        <v>5241</v>
      </c>
      <c r="P215" s="99" t="s">
        <v>66</v>
      </c>
    </row>
    <row r="216" spans="1:16" ht="18.75" x14ac:dyDescent="0.3">
      <c r="A216" s="189" t="s">
        <v>4097</v>
      </c>
      <c r="B216" s="189">
        <v>790</v>
      </c>
      <c r="C216" s="1">
        <v>46286</v>
      </c>
      <c r="D216" t="s">
        <v>5685</v>
      </c>
      <c r="E216" s="1">
        <v>46286</v>
      </c>
      <c r="F216" t="s">
        <v>5686</v>
      </c>
      <c r="G216" t="s">
        <v>335</v>
      </c>
      <c r="H216">
        <v>13880</v>
      </c>
      <c r="I216">
        <v>31680</v>
      </c>
      <c r="J216">
        <v>17800</v>
      </c>
      <c r="K216" t="s">
        <v>14</v>
      </c>
      <c r="L216"/>
      <c r="M216" t="s">
        <v>5905</v>
      </c>
      <c r="N216" t="s">
        <v>4045</v>
      </c>
      <c r="O216" s="228" t="s">
        <v>5241</v>
      </c>
      <c r="P216" s="99" t="s">
        <v>111</v>
      </c>
    </row>
    <row r="217" spans="1:16" ht="18.75" x14ac:dyDescent="0.3">
      <c r="A217" s="189" t="s">
        <v>4100</v>
      </c>
      <c r="B217" s="189">
        <v>791</v>
      </c>
      <c r="C217" s="1">
        <v>46286</v>
      </c>
      <c r="D217" t="s">
        <v>5687</v>
      </c>
      <c r="E217" s="1">
        <v>46286</v>
      </c>
      <c r="F217" t="s">
        <v>5688</v>
      </c>
      <c r="G217" t="s">
        <v>71</v>
      </c>
      <c r="H217">
        <v>14020</v>
      </c>
      <c r="I217">
        <v>31500</v>
      </c>
      <c r="J217">
        <v>17480</v>
      </c>
      <c r="K217" t="s">
        <v>14</v>
      </c>
      <c r="L217"/>
      <c r="M217" t="s">
        <v>5905</v>
      </c>
      <c r="N217" t="s">
        <v>4045</v>
      </c>
      <c r="O217" s="228" t="s">
        <v>5241</v>
      </c>
      <c r="P217" s="99" t="s">
        <v>59</v>
      </c>
    </row>
    <row r="218" spans="1:16" ht="18.75" x14ac:dyDescent="0.3">
      <c r="A218" s="189" t="s">
        <v>4103</v>
      </c>
      <c r="B218" s="189">
        <v>792</v>
      </c>
      <c r="C218" s="1">
        <v>46286</v>
      </c>
      <c r="D218" t="s">
        <v>5689</v>
      </c>
      <c r="E218" s="1">
        <v>46286</v>
      </c>
      <c r="F218" t="s">
        <v>5690</v>
      </c>
      <c r="G218" t="s">
        <v>90</v>
      </c>
      <c r="H218">
        <v>13780</v>
      </c>
      <c r="I218">
        <v>31200</v>
      </c>
      <c r="J218">
        <v>17420</v>
      </c>
      <c r="K218" t="s">
        <v>14</v>
      </c>
      <c r="L218"/>
      <c r="M218" t="s">
        <v>5905</v>
      </c>
      <c r="N218" t="s">
        <v>4045</v>
      </c>
      <c r="O218" s="228" t="s">
        <v>5241</v>
      </c>
      <c r="P218" s="99" t="s">
        <v>66</v>
      </c>
    </row>
    <row r="219" spans="1:16" ht="18.75" x14ac:dyDescent="0.3">
      <c r="A219" s="189" t="s">
        <v>4106</v>
      </c>
      <c r="B219" s="189">
        <v>793</v>
      </c>
      <c r="C219" s="1">
        <v>46286</v>
      </c>
      <c r="D219" t="s">
        <v>345</v>
      </c>
      <c r="E219" s="1">
        <v>46286</v>
      </c>
      <c r="F219" t="s">
        <v>5691</v>
      </c>
      <c r="G219" t="s">
        <v>143</v>
      </c>
      <c r="H219">
        <v>13810</v>
      </c>
      <c r="I219">
        <v>31770</v>
      </c>
      <c r="J219">
        <v>17960</v>
      </c>
      <c r="K219" t="s">
        <v>14</v>
      </c>
      <c r="L219"/>
      <c r="M219" t="s">
        <v>5905</v>
      </c>
      <c r="N219" t="s">
        <v>4045</v>
      </c>
      <c r="O219" s="228" t="s">
        <v>5241</v>
      </c>
      <c r="P219" s="99" t="s">
        <v>59</v>
      </c>
    </row>
    <row r="220" spans="1:16" ht="18.75" x14ac:dyDescent="0.3">
      <c r="A220" s="189" t="s">
        <v>4109</v>
      </c>
      <c r="B220" s="189">
        <v>794</v>
      </c>
      <c r="C220" s="1">
        <v>46286</v>
      </c>
      <c r="D220" t="s">
        <v>5692</v>
      </c>
      <c r="E220" s="1">
        <v>46286</v>
      </c>
      <c r="F220" t="s">
        <v>5693</v>
      </c>
      <c r="G220" t="s">
        <v>843</v>
      </c>
      <c r="H220">
        <v>14220</v>
      </c>
      <c r="I220">
        <v>33210</v>
      </c>
      <c r="J220">
        <v>18990</v>
      </c>
      <c r="K220" t="s">
        <v>14</v>
      </c>
      <c r="L220"/>
      <c r="M220" t="s">
        <v>5905</v>
      </c>
      <c r="N220" t="s">
        <v>4045</v>
      </c>
      <c r="O220" s="228" t="s">
        <v>5241</v>
      </c>
      <c r="P220" s="99" t="s">
        <v>111</v>
      </c>
    </row>
    <row r="221" spans="1:16" ht="18.75" x14ac:dyDescent="0.3">
      <c r="A221" s="189" t="s">
        <v>4112</v>
      </c>
      <c r="B221" s="189">
        <v>795</v>
      </c>
      <c r="C221" s="1">
        <v>46286</v>
      </c>
      <c r="D221" t="s">
        <v>5694</v>
      </c>
      <c r="E221" s="1">
        <v>46286</v>
      </c>
      <c r="F221" t="s">
        <v>5695</v>
      </c>
      <c r="G221" t="s">
        <v>337</v>
      </c>
      <c r="H221">
        <v>13860</v>
      </c>
      <c r="I221">
        <v>32950</v>
      </c>
      <c r="J221">
        <v>19090</v>
      </c>
      <c r="K221" t="s">
        <v>14</v>
      </c>
      <c r="L221"/>
      <c r="M221" t="s">
        <v>5905</v>
      </c>
      <c r="N221" t="s">
        <v>4045</v>
      </c>
      <c r="O221" s="228" t="s">
        <v>5241</v>
      </c>
      <c r="P221" s="99" t="s">
        <v>111</v>
      </c>
    </row>
    <row r="222" spans="1:16" ht="18.75" x14ac:dyDescent="0.3">
      <c r="A222" s="189" t="s">
        <v>4115</v>
      </c>
      <c r="B222" s="189">
        <v>796</v>
      </c>
      <c r="C222" s="1">
        <v>46286</v>
      </c>
      <c r="D222" t="s">
        <v>5696</v>
      </c>
      <c r="E222" s="1">
        <v>46286</v>
      </c>
      <c r="F222" t="s">
        <v>5697</v>
      </c>
      <c r="G222" t="s">
        <v>842</v>
      </c>
      <c r="H222">
        <v>13890</v>
      </c>
      <c r="I222">
        <v>33240</v>
      </c>
      <c r="J222">
        <v>19350</v>
      </c>
      <c r="K222" t="s">
        <v>14</v>
      </c>
      <c r="L222"/>
      <c r="M222" t="s">
        <v>5905</v>
      </c>
      <c r="N222" t="s">
        <v>4045</v>
      </c>
      <c r="O222" s="228" t="s">
        <v>5241</v>
      </c>
      <c r="P222" s="99" t="s">
        <v>59</v>
      </c>
    </row>
    <row r="223" spans="1:16" ht="18.75" x14ac:dyDescent="0.3">
      <c r="A223" s="189" t="s">
        <v>4118</v>
      </c>
      <c r="B223" s="189">
        <v>797</v>
      </c>
      <c r="C223" s="1">
        <v>46286</v>
      </c>
      <c r="D223" t="s">
        <v>5698</v>
      </c>
      <c r="E223" s="1">
        <v>46286</v>
      </c>
      <c r="F223" t="s">
        <v>5699</v>
      </c>
      <c r="G223" t="s">
        <v>64</v>
      </c>
      <c r="H223">
        <v>13960</v>
      </c>
      <c r="I223">
        <v>33480</v>
      </c>
      <c r="J223">
        <v>19520</v>
      </c>
      <c r="K223" t="s">
        <v>14</v>
      </c>
      <c r="L223"/>
      <c r="M223" t="s">
        <v>5905</v>
      </c>
      <c r="N223" t="s">
        <v>4045</v>
      </c>
      <c r="O223" s="228" t="s">
        <v>5241</v>
      </c>
      <c r="P223" s="99" t="s">
        <v>66</v>
      </c>
    </row>
    <row r="224" spans="1:16" ht="18.75" x14ac:dyDescent="0.3">
      <c r="A224" s="189" t="s">
        <v>4121</v>
      </c>
      <c r="B224" s="189">
        <v>798</v>
      </c>
      <c r="C224" s="1">
        <v>46286</v>
      </c>
      <c r="D224" t="s">
        <v>5700</v>
      </c>
      <c r="E224" s="1">
        <v>46286</v>
      </c>
      <c r="F224" t="s">
        <v>5701</v>
      </c>
      <c r="G224" t="s">
        <v>55</v>
      </c>
      <c r="H224">
        <v>13760</v>
      </c>
      <c r="I224">
        <v>32670</v>
      </c>
      <c r="J224">
        <v>18910</v>
      </c>
      <c r="K224" t="s">
        <v>14</v>
      </c>
      <c r="L224"/>
      <c r="M224" t="s">
        <v>5905</v>
      </c>
      <c r="N224" t="s">
        <v>4045</v>
      </c>
      <c r="O224" s="228" t="s">
        <v>5241</v>
      </c>
      <c r="P224" s="99" t="s">
        <v>59</v>
      </c>
    </row>
    <row r="225" spans="1:16" ht="18.75" x14ac:dyDescent="0.3">
      <c r="A225" s="189" t="s">
        <v>4124</v>
      </c>
      <c r="B225" s="189">
        <v>799</v>
      </c>
      <c r="C225" s="1">
        <v>46286</v>
      </c>
      <c r="D225" t="s">
        <v>5702</v>
      </c>
      <c r="E225" s="1">
        <v>46286</v>
      </c>
      <c r="F225" t="s">
        <v>5703</v>
      </c>
      <c r="G225" t="s">
        <v>85</v>
      </c>
      <c r="H225">
        <v>13980</v>
      </c>
      <c r="I225">
        <v>33650</v>
      </c>
      <c r="J225">
        <v>19670</v>
      </c>
      <c r="K225" t="s">
        <v>14</v>
      </c>
      <c r="L225"/>
      <c r="M225" t="s">
        <v>5905</v>
      </c>
      <c r="N225" t="s">
        <v>4045</v>
      </c>
      <c r="O225" s="228" t="s">
        <v>5241</v>
      </c>
      <c r="P225" s="99" t="s">
        <v>66</v>
      </c>
    </row>
    <row r="226" spans="1:16" ht="18.75" x14ac:dyDescent="0.3">
      <c r="A226" s="189" t="s">
        <v>4127</v>
      </c>
      <c r="B226" s="189">
        <v>800</v>
      </c>
      <c r="C226" s="1">
        <v>46286</v>
      </c>
      <c r="D226" t="s">
        <v>5704</v>
      </c>
      <c r="E226" s="1">
        <v>46286</v>
      </c>
      <c r="F226" t="s">
        <v>5705</v>
      </c>
      <c r="G226" t="s">
        <v>80</v>
      </c>
      <c r="H226">
        <v>14160</v>
      </c>
      <c r="I226">
        <v>33310</v>
      </c>
      <c r="J226">
        <v>19150</v>
      </c>
      <c r="K226" t="s">
        <v>14</v>
      </c>
      <c r="L226"/>
      <c r="M226" t="s">
        <v>5905</v>
      </c>
      <c r="N226" t="s">
        <v>4045</v>
      </c>
      <c r="O226" s="228" t="s">
        <v>5241</v>
      </c>
      <c r="P226" s="99" t="s">
        <v>66</v>
      </c>
    </row>
    <row r="227" spans="1:16" ht="18.75" x14ac:dyDescent="0.3">
      <c r="A227" s="189" t="s">
        <v>4130</v>
      </c>
      <c r="B227" s="189">
        <v>801</v>
      </c>
      <c r="C227" s="1">
        <v>46286</v>
      </c>
      <c r="D227" t="s">
        <v>5706</v>
      </c>
      <c r="E227" s="1">
        <v>46286</v>
      </c>
      <c r="F227" t="s">
        <v>5707</v>
      </c>
      <c r="G227" t="s">
        <v>537</v>
      </c>
      <c r="H227">
        <v>13980</v>
      </c>
      <c r="I227">
        <v>33460</v>
      </c>
      <c r="J227">
        <v>19480</v>
      </c>
      <c r="K227" t="s">
        <v>14</v>
      </c>
      <c r="L227"/>
      <c r="M227" t="s">
        <v>5905</v>
      </c>
      <c r="N227" t="s">
        <v>4045</v>
      </c>
      <c r="O227" s="228" t="s">
        <v>5241</v>
      </c>
      <c r="P227" s="99" t="s">
        <v>59</v>
      </c>
    </row>
    <row r="228" spans="1:16" ht="18.75" x14ac:dyDescent="0.3">
      <c r="A228" s="189" t="s">
        <v>4133</v>
      </c>
      <c r="B228" s="189">
        <v>802</v>
      </c>
      <c r="C228" s="1">
        <v>46286</v>
      </c>
      <c r="D228" t="s">
        <v>5708</v>
      </c>
      <c r="E228" s="1">
        <v>46286</v>
      </c>
      <c r="F228" t="s">
        <v>5709</v>
      </c>
      <c r="G228" t="s">
        <v>540</v>
      </c>
      <c r="H228">
        <v>13850</v>
      </c>
      <c r="I228">
        <v>32420</v>
      </c>
      <c r="J228">
        <v>18570</v>
      </c>
      <c r="K228" t="s">
        <v>14</v>
      </c>
      <c r="L228"/>
      <c r="M228" t="s">
        <v>5905</v>
      </c>
      <c r="N228" t="s">
        <v>4045</v>
      </c>
      <c r="O228" s="228" t="s">
        <v>5241</v>
      </c>
      <c r="P228" s="99" t="s">
        <v>59</v>
      </c>
    </row>
    <row r="229" spans="1:16" ht="18.75" x14ac:dyDescent="0.3">
      <c r="A229" s="189" t="s">
        <v>4136</v>
      </c>
      <c r="B229" s="189">
        <v>803</v>
      </c>
      <c r="C229" s="1">
        <v>46286</v>
      </c>
      <c r="D229" t="s">
        <v>5710</v>
      </c>
      <c r="E229" s="1">
        <v>46286</v>
      </c>
      <c r="F229" t="s">
        <v>5711</v>
      </c>
      <c r="G229" t="s">
        <v>43</v>
      </c>
      <c r="H229">
        <v>13870</v>
      </c>
      <c r="I229">
        <v>32500</v>
      </c>
      <c r="J229">
        <v>18630</v>
      </c>
      <c r="K229" t="s">
        <v>14</v>
      </c>
      <c r="L229"/>
      <c r="M229" t="s">
        <v>5905</v>
      </c>
      <c r="N229" t="s">
        <v>4045</v>
      </c>
      <c r="O229" s="228" t="s">
        <v>5241</v>
      </c>
      <c r="P229" s="99" t="s">
        <v>111</v>
      </c>
    </row>
    <row r="230" spans="1:16" ht="18.75" x14ac:dyDescent="0.3">
      <c r="A230" s="189" t="s">
        <v>4139</v>
      </c>
      <c r="B230" s="189">
        <v>804</v>
      </c>
      <c r="C230" s="1">
        <v>46286</v>
      </c>
      <c r="D230" t="s">
        <v>5712</v>
      </c>
      <c r="E230" s="1">
        <v>46286</v>
      </c>
      <c r="F230" t="s">
        <v>5713</v>
      </c>
      <c r="G230" t="s">
        <v>90</v>
      </c>
      <c r="H230">
        <v>13730</v>
      </c>
      <c r="I230">
        <v>32250</v>
      </c>
      <c r="J230">
        <v>18520</v>
      </c>
      <c r="K230" t="s">
        <v>14</v>
      </c>
      <c r="L230"/>
      <c r="M230" t="s">
        <v>5905</v>
      </c>
      <c r="N230" t="s">
        <v>4045</v>
      </c>
      <c r="O230" s="228" t="s">
        <v>5241</v>
      </c>
      <c r="P230" s="99" t="s">
        <v>66</v>
      </c>
    </row>
    <row r="231" spans="1:16" ht="18.75" x14ac:dyDescent="0.3">
      <c r="A231" s="189" t="s">
        <v>4142</v>
      </c>
      <c r="B231" s="189">
        <v>805</v>
      </c>
      <c r="C231" s="1">
        <v>46286</v>
      </c>
      <c r="D231" t="s">
        <v>5714</v>
      </c>
      <c r="E231" s="1">
        <v>46286</v>
      </c>
      <c r="F231" t="s">
        <v>5715</v>
      </c>
      <c r="G231" t="s">
        <v>335</v>
      </c>
      <c r="H231">
        <v>13810</v>
      </c>
      <c r="I231">
        <v>32790</v>
      </c>
      <c r="J231">
        <v>18980</v>
      </c>
      <c r="K231" t="s">
        <v>14</v>
      </c>
      <c r="L231"/>
      <c r="M231" t="s">
        <v>5905</v>
      </c>
      <c r="N231" t="s">
        <v>4045</v>
      </c>
      <c r="O231" s="228" t="s">
        <v>5241</v>
      </c>
      <c r="P231" s="99" t="s">
        <v>111</v>
      </c>
    </row>
    <row r="232" spans="1:16" ht="18.75" x14ac:dyDescent="0.3">
      <c r="A232" s="189" t="s">
        <v>4145</v>
      </c>
      <c r="B232" s="189">
        <v>806</v>
      </c>
      <c r="C232" s="1">
        <v>46286</v>
      </c>
      <c r="D232" t="s">
        <v>5716</v>
      </c>
      <c r="E232" s="1">
        <v>46286</v>
      </c>
      <c r="F232" t="s">
        <v>5717</v>
      </c>
      <c r="G232" t="s">
        <v>143</v>
      </c>
      <c r="H232">
        <v>13740</v>
      </c>
      <c r="I232">
        <v>33540</v>
      </c>
      <c r="J232">
        <v>19800</v>
      </c>
      <c r="K232" t="s">
        <v>14</v>
      </c>
      <c r="L232"/>
      <c r="M232" t="s">
        <v>5905</v>
      </c>
      <c r="N232" t="s">
        <v>4045</v>
      </c>
      <c r="O232" s="228" t="s">
        <v>5241</v>
      </c>
      <c r="P232" s="99" t="s">
        <v>59</v>
      </c>
    </row>
    <row r="233" spans="1:16" ht="18.75" x14ac:dyDescent="0.3">
      <c r="A233" s="189" t="s">
        <v>4148</v>
      </c>
      <c r="B233" s="189">
        <v>807</v>
      </c>
      <c r="C233" s="1">
        <v>46286</v>
      </c>
      <c r="D233" t="s">
        <v>5718</v>
      </c>
      <c r="E233" s="1">
        <v>46286</v>
      </c>
      <c r="F233" t="s">
        <v>5719</v>
      </c>
      <c r="G233" t="s">
        <v>71</v>
      </c>
      <c r="H233">
        <v>13960</v>
      </c>
      <c r="I233">
        <v>33510</v>
      </c>
      <c r="J233">
        <v>19550</v>
      </c>
      <c r="K233" t="s">
        <v>14</v>
      </c>
      <c r="L233"/>
      <c r="M233" t="s">
        <v>5905</v>
      </c>
      <c r="N233" t="s">
        <v>4045</v>
      </c>
      <c r="O233" s="228" t="s">
        <v>5241</v>
      </c>
      <c r="P233" s="99" t="s">
        <v>59</v>
      </c>
    </row>
    <row r="234" spans="1:16" ht="18.75" x14ac:dyDescent="0.3">
      <c r="A234" s="189" t="s">
        <v>4151</v>
      </c>
      <c r="B234" s="189">
        <v>808</v>
      </c>
      <c r="C234" s="1">
        <v>46286</v>
      </c>
      <c r="D234" t="s">
        <v>5720</v>
      </c>
      <c r="E234" s="1">
        <v>46286</v>
      </c>
      <c r="F234" t="s">
        <v>5721</v>
      </c>
      <c r="G234" t="s">
        <v>336</v>
      </c>
      <c r="H234">
        <v>13920</v>
      </c>
      <c r="I234">
        <v>32820</v>
      </c>
      <c r="J234">
        <v>18900</v>
      </c>
      <c r="K234" t="s">
        <v>14</v>
      </c>
      <c r="L234"/>
      <c r="M234" t="s">
        <v>5905</v>
      </c>
      <c r="N234" t="s">
        <v>4045</v>
      </c>
      <c r="O234" s="228" t="s">
        <v>5241</v>
      </c>
      <c r="P234" s="99" t="s">
        <v>111</v>
      </c>
    </row>
    <row r="235" spans="1:16" ht="18.75" x14ac:dyDescent="0.3">
      <c r="A235" s="189" t="s">
        <v>4154</v>
      </c>
      <c r="B235" s="189">
        <v>809</v>
      </c>
      <c r="C235" s="1">
        <v>46286</v>
      </c>
      <c r="D235" t="s">
        <v>5722</v>
      </c>
      <c r="E235" s="1">
        <v>46287</v>
      </c>
      <c r="F235" t="s">
        <v>5723</v>
      </c>
      <c r="G235" t="s">
        <v>540</v>
      </c>
      <c r="H235">
        <v>13800</v>
      </c>
      <c r="I235">
        <v>32820</v>
      </c>
      <c r="J235">
        <v>19020</v>
      </c>
      <c r="K235" t="s">
        <v>14</v>
      </c>
      <c r="L235"/>
      <c r="M235" t="s">
        <v>5905</v>
      </c>
      <c r="N235" t="s">
        <v>4045</v>
      </c>
      <c r="O235" s="228" t="s">
        <v>5241</v>
      </c>
      <c r="P235" s="99" t="s">
        <v>59</v>
      </c>
    </row>
    <row r="236" spans="1:16" ht="18.75" x14ac:dyDescent="0.3">
      <c r="A236" s="189" t="s">
        <v>4157</v>
      </c>
      <c r="B236" s="189">
        <v>810</v>
      </c>
      <c r="C236" s="1">
        <v>46287</v>
      </c>
      <c r="D236" t="s">
        <v>5724</v>
      </c>
      <c r="E236" s="1">
        <v>46287</v>
      </c>
      <c r="F236" t="s">
        <v>5725</v>
      </c>
      <c r="G236" t="s">
        <v>85</v>
      </c>
      <c r="H236">
        <v>13950</v>
      </c>
      <c r="I236">
        <v>32370</v>
      </c>
      <c r="J236">
        <v>18420</v>
      </c>
      <c r="K236" t="s">
        <v>14</v>
      </c>
      <c r="L236"/>
      <c r="M236" t="s">
        <v>5905</v>
      </c>
      <c r="N236" t="s">
        <v>4045</v>
      </c>
      <c r="O236" s="228" t="s">
        <v>5241</v>
      </c>
      <c r="P236" s="99" t="s">
        <v>66</v>
      </c>
    </row>
    <row r="237" spans="1:16" ht="18.75" x14ac:dyDescent="0.3">
      <c r="A237" s="189" t="s">
        <v>4160</v>
      </c>
      <c r="B237" s="189">
        <v>811</v>
      </c>
      <c r="C237" s="1">
        <v>46287</v>
      </c>
      <c r="D237" t="s">
        <v>5726</v>
      </c>
      <c r="E237" s="1">
        <v>46287</v>
      </c>
      <c r="F237" t="s">
        <v>5727</v>
      </c>
      <c r="G237" t="s">
        <v>76</v>
      </c>
      <c r="H237">
        <v>13970</v>
      </c>
      <c r="I237">
        <v>31710</v>
      </c>
      <c r="J237">
        <v>17740</v>
      </c>
      <c r="K237" t="s">
        <v>14</v>
      </c>
      <c r="L237"/>
      <c r="M237" t="s">
        <v>5905</v>
      </c>
      <c r="N237" t="s">
        <v>4045</v>
      </c>
      <c r="O237" s="228" t="s">
        <v>5241</v>
      </c>
      <c r="P237" s="99" t="s">
        <v>66</v>
      </c>
    </row>
    <row r="238" spans="1:16" ht="18.75" x14ac:dyDescent="0.3">
      <c r="A238" s="189" t="s">
        <v>4163</v>
      </c>
      <c r="B238" s="189">
        <v>812</v>
      </c>
      <c r="C238" s="1">
        <v>46287</v>
      </c>
      <c r="D238" t="s">
        <v>5728</v>
      </c>
      <c r="E238" s="1">
        <v>46287</v>
      </c>
      <c r="F238" t="s">
        <v>5729</v>
      </c>
      <c r="G238" t="s">
        <v>537</v>
      </c>
      <c r="H238">
        <v>13930</v>
      </c>
      <c r="I238">
        <v>32060</v>
      </c>
      <c r="J238">
        <v>18130</v>
      </c>
      <c r="K238" t="s">
        <v>14</v>
      </c>
      <c r="L238"/>
      <c r="M238" t="s">
        <v>5905</v>
      </c>
      <c r="N238" t="s">
        <v>4045</v>
      </c>
      <c r="O238" s="228" t="s">
        <v>5241</v>
      </c>
      <c r="P238" s="99" t="s">
        <v>59</v>
      </c>
    </row>
    <row r="239" spans="1:16" ht="18.75" x14ac:dyDescent="0.3">
      <c r="A239" s="189" t="s">
        <v>4166</v>
      </c>
      <c r="B239" s="189">
        <v>813</v>
      </c>
      <c r="C239" s="1">
        <v>46287</v>
      </c>
      <c r="D239" t="s">
        <v>5730</v>
      </c>
      <c r="E239" s="1">
        <v>46287</v>
      </c>
      <c r="F239" t="s">
        <v>5731</v>
      </c>
      <c r="G239" t="s">
        <v>336</v>
      </c>
      <c r="H239">
        <v>13870</v>
      </c>
      <c r="I239">
        <v>32010</v>
      </c>
      <c r="J239">
        <v>18140</v>
      </c>
      <c r="K239" t="s">
        <v>14</v>
      </c>
      <c r="L239"/>
      <c r="M239" t="s">
        <v>5905</v>
      </c>
      <c r="N239" t="s">
        <v>4045</v>
      </c>
      <c r="O239" s="228" t="s">
        <v>5241</v>
      </c>
      <c r="P239" s="99" t="s">
        <v>111</v>
      </c>
    </row>
    <row r="240" spans="1:16" ht="18.75" x14ac:dyDescent="0.3">
      <c r="A240" s="189" t="s">
        <v>4169</v>
      </c>
      <c r="B240" s="189">
        <v>814</v>
      </c>
      <c r="C240" s="1">
        <v>46287</v>
      </c>
      <c r="D240" t="s">
        <v>5732</v>
      </c>
      <c r="E240" s="1">
        <v>46287</v>
      </c>
      <c r="F240" t="s">
        <v>5733</v>
      </c>
      <c r="G240" t="s">
        <v>80</v>
      </c>
      <c r="H240">
        <v>14120</v>
      </c>
      <c r="I240">
        <v>32650</v>
      </c>
      <c r="J240">
        <v>18530</v>
      </c>
      <c r="K240" t="s">
        <v>14</v>
      </c>
      <c r="L240"/>
      <c r="M240" t="s">
        <v>5905</v>
      </c>
      <c r="N240" t="s">
        <v>4045</v>
      </c>
      <c r="O240" s="228" t="s">
        <v>5241</v>
      </c>
      <c r="P240" s="99" t="s">
        <v>66</v>
      </c>
    </row>
    <row r="241" spans="1:16" ht="18.75" x14ac:dyDescent="0.3">
      <c r="A241" s="189" t="s">
        <v>4171</v>
      </c>
      <c r="B241" s="189">
        <v>815</v>
      </c>
      <c r="C241" s="1">
        <v>46287</v>
      </c>
      <c r="D241" t="s">
        <v>5734</v>
      </c>
      <c r="E241" s="1">
        <v>46287</v>
      </c>
      <c r="F241" t="s">
        <v>5735</v>
      </c>
      <c r="G241" t="s">
        <v>143</v>
      </c>
      <c r="H241">
        <v>13710</v>
      </c>
      <c r="I241">
        <v>31200</v>
      </c>
      <c r="J241">
        <v>17490</v>
      </c>
      <c r="K241" t="s">
        <v>14</v>
      </c>
      <c r="L241"/>
      <c r="M241" t="s">
        <v>5905</v>
      </c>
      <c r="N241" t="s">
        <v>4045</v>
      </c>
      <c r="O241" s="228" t="s">
        <v>5241</v>
      </c>
      <c r="P241" s="99" t="s">
        <v>59</v>
      </c>
    </row>
    <row r="242" spans="1:16" ht="18.75" x14ac:dyDescent="0.3">
      <c r="A242" s="189" t="s">
        <v>4174</v>
      </c>
      <c r="B242" s="189">
        <v>816</v>
      </c>
      <c r="C242" s="1">
        <v>46287</v>
      </c>
      <c r="D242" t="s">
        <v>5736</v>
      </c>
      <c r="E242" s="1">
        <v>46287</v>
      </c>
      <c r="F242" t="s">
        <v>5737</v>
      </c>
      <c r="G242" t="s">
        <v>85</v>
      </c>
      <c r="H242">
        <v>13930</v>
      </c>
      <c r="I242">
        <v>31310</v>
      </c>
      <c r="J242">
        <v>17380</v>
      </c>
      <c r="K242" t="s">
        <v>14</v>
      </c>
      <c r="L242"/>
      <c r="M242" t="s">
        <v>5905</v>
      </c>
      <c r="N242" t="s">
        <v>4045</v>
      </c>
      <c r="O242" s="228" t="s">
        <v>5241</v>
      </c>
      <c r="P242" s="99" t="s">
        <v>66</v>
      </c>
    </row>
    <row r="243" spans="1:16" ht="18.75" x14ac:dyDescent="0.3">
      <c r="A243" s="189" t="s">
        <v>4177</v>
      </c>
      <c r="B243" s="189">
        <v>817</v>
      </c>
      <c r="C243" s="1">
        <v>46287</v>
      </c>
      <c r="D243" t="s">
        <v>5738</v>
      </c>
      <c r="E243" s="1">
        <v>46287</v>
      </c>
      <c r="F243" t="s">
        <v>5739</v>
      </c>
      <c r="G243" t="s">
        <v>55</v>
      </c>
      <c r="H243">
        <v>13740</v>
      </c>
      <c r="I243">
        <v>31560</v>
      </c>
      <c r="J243">
        <v>17820</v>
      </c>
      <c r="K243" t="s">
        <v>14</v>
      </c>
      <c r="L243"/>
      <c r="M243" t="s">
        <v>5905</v>
      </c>
      <c r="N243" t="s">
        <v>4045</v>
      </c>
      <c r="O243" s="228" t="s">
        <v>5241</v>
      </c>
      <c r="P243" s="99" t="s">
        <v>59</v>
      </c>
    </row>
    <row r="244" spans="1:16" ht="18.75" x14ac:dyDescent="0.3">
      <c r="A244" s="189" t="s">
        <v>4180</v>
      </c>
      <c r="B244" s="189">
        <v>818</v>
      </c>
      <c r="C244" s="1">
        <v>46287</v>
      </c>
      <c r="D244" t="s">
        <v>5740</v>
      </c>
      <c r="E244" s="1">
        <v>46287</v>
      </c>
      <c r="F244" t="s">
        <v>5741</v>
      </c>
      <c r="G244" t="s">
        <v>840</v>
      </c>
      <c r="H244">
        <v>13940</v>
      </c>
      <c r="I244">
        <v>32500</v>
      </c>
      <c r="J244">
        <v>18560</v>
      </c>
      <c r="K244" t="s">
        <v>14</v>
      </c>
      <c r="L244"/>
      <c r="M244" t="s">
        <v>5905</v>
      </c>
      <c r="N244" t="s">
        <v>4045</v>
      </c>
      <c r="O244" s="228" t="s">
        <v>5241</v>
      </c>
      <c r="P244" s="99" t="s">
        <v>59</v>
      </c>
    </row>
    <row r="245" spans="1:16" ht="18.75" x14ac:dyDescent="0.3">
      <c r="A245" s="189" t="s">
        <v>4183</v>
      </c>
      <c r="B245" s="189">
        <v>819</v>
      </c>
      <c r="C245" s="1">
        <v>46287</v>
      </c>
      <c r="D245" t="s">
        <v>5742</v>
      </c>
      <c r="E245" s="1">
        <v>46287</v>
      </c>
      <c r="F245" t="s">
        <v>5743</v>
      </c>
      <c r="G245" t="s">
        <v>842</v>
      </c>
      <c r="H245">
        <v>13810</v>
      </c>
      <c r="I245">
        <v>32370</v>
      </c>
      <c r="J245">
        <v>18560</v>
      </c>
      <c r="K245" t="s">
        <v>14</v>
      </c>
      <c r="L245"/>
      <c r="M245" t="s">
        <v>5905</v>
      </c>
      <c r="N245" t="s">
        <v>4045</v>
      </c>
      <c r="O245" s="228" t="s">
        <v>5241</v>
      </c>
      <c r="P245" s="99" t="s">
        <v>59</v>
      </c>
    </row>
    <row r="246" spans="1:16" ht="18.75" x14ac:dyDescent="0.3">
      <c r="A246" s="189" t="s">
        <v>4186</v>
      </c>
      <c r="B246" s="189">
        <v>820</v>
      </c>
      <c r="C246" s="1">
        <v>46287</v>
      </c>
      <c r="D246" t="s">
        <v>5744</v>
      </c>
      <c r="E246" s="1">
        <v>46287</v>
      </c>
      <c r="F246" t="s">
        <v>5745</v>
      </c>
      <c r="G246" t="s">
        <v>337</v>
      </c>
      <c r="H246">
        <v>13850</v>
      </c>
      <c r="I246">
        <v>32800</v>
      </c>
      <c r="J246">
        <v>18950</v>
      </c>
      <c r="K246" t="s">
        <v>14</v>
      </c>
      <c r="L246"/>
      <c r="M246" t="s">
        <v>5905</v>
      </c>
      <c r="N246" t="s">
        <v>4045</v>
      </c>
      <c r="O246" s="228" t="s">
        <v>5241</v>
      </c>
      <c r="P246" s="99" t="s">
        <v>111</v>
      </c>
    </row>
    <row r="247" spans="1:16" ht="18.75" x14ac:dyDescent="0.3">
      <c r="A247" s="189" t="s">
        <v>4189</v>
      </c>
      <c r="B247" s="189">
        <v>821</v>
      </c>
      <c r="C247" s="1">
        <v>46287</v>
      </c>
      <c r="D247" t="s">
        <v>5746</v>
      </c>
      <c r="E247" s="1">
        <v>46287</v>
      </c>
      <c r="F247" t="s">
        <v>5747</v>
      </c>
      <c r="G247" t="s">
        <v>64</v>
      </c>
      <c r="H247">
        <v>13970</v>
      </c>
      <c r="I247">
        <v>32590</v>
      </c>
      <c r="J247">
        <v>18620</v>
      </c>
      <c r="K247" t="s">
        <v>14</v>
      </c>
      <c r="L247"/>
      <c r="M247" t="s">
        <v>5905</v>
      </c>
      <c r="N247" t="s">
        <v>4045</v>
      </c>
      <c r="O247" s="228" t="s">
        <v>5241</v>
      </c>
      <c r="P247" s="99" t="s">
        <v>66</v>
      </c>
    </row>
    <row r="248" spans="1:16" ht="18.75" x14ac:dyDescent="0.3">
      <c r="A248" s="189" t="s">
        <v>4191</v>
      </c>
      <c r="B248" s="189">
        <v>822</v>
      </c>
      <c r="C248" s="1">
        <v>46287</v>
      </c>
      <c r="D248" t="s">
        <v>5748</v>
      </c>
      <c r="E248" s="1">
        <v>46287</v>
      </c>
      <c r="F248" t="s">
        <v>5749</v>
      </c>
      <c r="G248" t="s">
        <v>540</v>
      </c>
      <c r="H248">
        <v>13870</v>
      </c>
      <c r="I248">
        <v>32220</v>
      </c>
      <c r="J248">
        <v>18350</v>
      </c>
      <c r="K248" t="s">
        <v>14</v>
      </c>
      <c r="L248"/>
      <c r="M248" t="s">
        <v>5905</v>
      </c>
      <c r="N248" t="s">
        <v>4045</v>
      </c>
      <c r="O248" s="228" t="s">
        <v>5241</v>
      </c>
      <c r="P248" s="99" t="s">
        <v>59</v>
      </c>
    </row>
    <row r="249" spans="1:16" ht="18.75" x14ac:dyDescent="0.3">
      <c r="A249" s="189" t="s">
        <v>4194</v>
      </c>
      <c r="B249" s="189">
        <v>823</v>
      </c>
      <c r="C249" s="1">
        <v>46287</v>
      </c>
      <c r="D249" t="s">
        <v>5750</v>
      </c>
      <c r="E249" s="1">
        <v>46287</v>
      </c>
      <c r="F249" t="s">
        <v>5751</v>
      </c>
      <c r="G249" t="s">
        <v>843</v>
      </c>
      <c r="H249">
        <v>14240</v>
      </c>
      <c r="I249">
        <v>32230</v>
      </c>
      <c r="J249">
        <v>17990</v>
      </c>
      <c r="K249" t="s">
        <v>14</v>
      </c>
      <c r="L249"/>
      <c r="M249" t="s">
        <v>5905</v>
      </c>
      <c r="N249" t="s">
        <v>4045</v>
      </c>
      <c r="O249" s="228" t="s">
        <v>5241</v>
      </c>
      <c r="P249" s="99" t="s">
        <v>111</v>
      </c>
    </row>
    <row r="250" spans="1:16" ht="18.75" x14ac:dyDescent="0.3">
      <c r="A250" s="189" t="s">
        <v>4197</v>
      </c>
      <c r="B250" s="189">
        <v>824</v>
      </c>
      <c r="C250" s="1">
        <v>46287</v>
      </c>
      <c r="D250" t="s">
        <v>5752</v>
      </c>
      <c r="E250" s="1">
        <v>46287</v>
      </c>
      <c r="F250" t="s">
        <v>5753</v>
      </c>
      <c r="G250" t="s">
        <v>335</v>
      </c>
      <c r="H250">
        <v>13930</v>
      </c>
      <c r="I250">
        <v>31940</v>
      </c>
      <c r="J250">
        <v>18010</v>
      </c>
      <c r="K250" t="s">
        <v>14</v>
      </c>
      <c r="L250"/>
      <c r="M250" t="s">
        <v>5905</v>
      </c>
      <c r="N250" t="s">
        <v>4045</v>
      </c>
      <c r="O250" s="228" t="s">
        <v>5241</v>
      </c>
      <c r="P250" s="99" t="s">
        <v>111</v>
      </c>
    </row>
    <row r="251" spans="1:16" ht="18.75" x14ac:dyDescent="0.3">
      <c r="A251" s="189" t="s">
        <v>4200</v>
      </c>
      <c r="B251" s="189">
        <v>825</v>
      </c>
      <c r="C251" s="1">
        <v>46287</v>
      </c>
      <c r="D251" t="s">
        <v>5754</v>
      </c>
      <c r="E251" s="1">
        <v>46287</v>
      </c>
      <c r="F251" t="s">
        <v>5755</v>
      </c>
      <c r="G251" t="s">
        <v>43</v>
      </c>
      <c r="H251">
        <v>13860</v>
      </c>
      <c r="I251">
        <v>31530</v>
      </c>
      <c r="J251">
        <v>17670</v>
      </c>
      <c r="K251" t="s">
        <v>14</v>
      </c>
      <c r="L251"/>
      <c r="M251" t="s">
        <v>5905</v>
      </c>
      <c r="N251" t="s">
        <v>4045</v>
      </c>
      <c r="O251" s="228" t="s">
        <v>5241</v>
      </c>
      <c r="P251" s="99" t="s">
        <v>111</v>
      </c>
    </row>
    <row r="252" spans="1:16" ht="18.75" x14ac:dyDescent="0.3">
      <c r="A252" s="189" t="s">
        <v>4203</v>
      </c>
      <c r="B252" s="189">
        <v>826</v>
      </c>
      <c r="C252" s="1">
        <v>46287</v>
      </c>
      <c r="D252" t="s">
        <v>5756</v>
      </c>
      <c r="E252" s="1">
        <v>46287</v>
      </c>
      <c r="F252" t="s">
        <v>5757</v>
      </c>
      <c r="G252" t="s">
        <v>71</v>
      </c>
      <c r="H252">
        <v>14010</v>
      </c>
      <c r="I252">
        <v>32750</v>
      </c>
      <c r="J252">
        <v>18740</v>
      </c>
      <c r="K252" t="s">
        <v>14</v>
      </c>
      <c r="L252"/>
      <c r="M252" t="s">
        <v>5905</v>
      </c>
      <c r="N252" t="s">
        <v>4045</v>
      </c>
      <c r="O252" s="228" t="s">
        <v>5241</v>
      </c>
      <c r="P252" s="99" t="s">
        <v>59</v>
      </c>
    </row>
    <row r="253" spans="1:16" ht="18.75" x14ac:dyDescent="0.3">
      <c r="A253" s="189" t="s">
        <v>4206</v>
      </c>
      <c r="B253" s="189">
        <v>827</v>
      </c>
      <c r="C253" s="1">
        <v>46287</v>
      </c>
      <c r="D253" t="s">
        <v>5758</v>
      </c>
      <c r="E253" s="1">
        <v>46287</v>
      </c>
      <c r="F253" t="s">
        <v>5759</v>
      </c>
      <c r="G253" t="s">
        <v>143</v>
      </c>
      <c r="H253">
        <v>13750</v>
      </c>
      <c r="I253">
        <v>30870</v>
      </c>
      <c r="J253">
        <v>17120</v>
      </c>
      <c r="K253" t="s">
        <v>14</v>
      </c>
      <c r="L253"/>
      <c r="M253" t="s">
        <v>5905</v>
      </c>
      <c r="N253" t="s">
        <v>4045</v>
      </c>
      <c r="O253" s="228" t="s">
        <v>5241</v>
      </c>
      <c r="P253" s="99" t="s">
        <v>59</v>
      </c>
    </row>
    <row r="254" spans="1:16" ht="18.75" x14ac:dyDescent="0.3">
      <c r="A254" s="189" t="s">
        <v>4209</v>
      </c>
      <c r="B254" s="189">
        <v>828</v>
      </c>
      <c r="C254" s="1">
        <v>46287</v>
      </c>
      <c r="D254" t="s">
        <v>5760</v>
      </c>
      <c r="E254" s="1">
        <v>46287</v>
      </c>
      <c r="F254" t="s">
        <v>5761</v>
      </c>
      <c r="G254" t="s">
        <v>840</v>
      </c>
      <c r="H254">
        <v>13950</v>
      </c>
      <c r="I254">
        <v>31170</v>
      </c>
      <c r="J254">
        <v>17220</v>
      </c>
      <c r="K254" t="s">
        <v>14</v>
      </c>
      <c r="L254"/>
      <c r="M254" t="s">
        <v>5905</v>
      </c>
      <c r="N254" t="s">
        <v>4045</v>
      </c>
      <c r="O254" s="228" t="s">
        <v>5241</v>
      </c>
      <c r="P254" s="99" t="s">
        <v>59</v>
      </c>
    </row>
    <row r="255" spans="1:16" ht="18.75" x14ac:dyDescent="0.3">
      <c r="A255" s="189" t="s">
        <v>4212</v>
      </c>
      <c r="B255" s="189">
        <v>829</v>
      </c>
      <c r="C255" s="1">
        <v>46287</v>
      </c>
      <c r="D255" t="s">
        <v>5762</v>
      </c>
      <c r="E255" s="1">
        <v>46287</v>
      </c>
      <c r="F255" t="s">
        <v>5763</v>
      </c>
      <c r="G255" t="s">
        <v>80</v>
      </c>
      <c r="H255">
        <v>14170</v>
      </c>
      <c r="I255">
        <v>31740</v>
      </c>
      <c r="J255">
        <v>17570</v>
      </c>
      <c r="K255" t="s">
        <v>14</v>
      </c>
      <c r="L255"/>
      <c r="M255" t="s">
        <v>5905</v>
      </c>
      <c r="N255" t="s">
        <v>4045</v>
      </c>
      <c r="O255" s="228" t="s">
        <v>5241</v>
      </c>
      <c r="P255" s="99" t="s">
        <v>66</v>
      </c>
    </row>
    <row r="256" spans="1:16" ht="18.75" x14ac:dyDescent="0.3">
      <c r="A256" s="189" t="s">
        <v>4214</v>
      </c>
      <c r="B256" s="189">
        <v>830</v>
      </c>
      <c r="C256" s="1">
        <v>46287</v>
      </c>
      <c r="D256" t="s">
        <v>5764</v>
      </c>
      <c r="E256" s="1">
        <v>46287</v>
      </c>
      <c r="F256" t="s">
        <v>5765</v>
      </c>
      <c r="G256" t="s">
        <v>336</v>
      </c>
      <c r="H256">
        <v>13910</v>
      </c>
      <c r="I256">
        <v>31880</v>
      </c>
      <c r="J256">
        <v>17970</v>
      </c>
      <c r="K256" t="s">
        <v>14</v>
      </c>
      <c r="L256"/>
      <c r="M256" t="s">
        <v>5905</v>
      </c>
      <c r="N256" t="s">
        <v>4045</v>
      </c>
      <c r="O256" s="228" t="s">
        <v>5241</v>
      </c>
      <c r="P256" s="99" t="s">
        <v>111</v>
      </c>
    </row>
    <row r="257" spans="1:16" ht="18.75" x14ac:dyDescent="0.3">
      <c r="A257" s="189" t="s">
        <v>4217</v>
      </c>
      <c r="B257" s="189">
        <v>831</v>
      </c>
      <c r="C257" s="1">
        <v>46287</v>
      </c>
      <c r="D257" t="s">
        <v>5766</v>
      </c>
      <c r="E257" s="1">
        <v>46287</v>
      </c>
      <c r="F257" t="s">
        <v>5767</v>
      </c>
      <c r="G257" t="s">
        <v>537</v>
      </c>
      <c r="H257">
        <v>13980</v>
      </c>
      <c r="I257">
        <v>33900</v>
      </c>
      <c r="J257">
        <v>19920</v>
      </c>
      <c r="K257" t="s">
        <v>14</v>
      </c>
      <c r="L257"/>
      <c r="M257" t="s">
        <v>5905</v>
      </c>
      <c r="N257" t="s">
        <v>4045</v>
      </c>
      <c r="O257" s="228" t="s">
        <v>5241</v>
      </c>
      <c r="P257" s="99" t="s">
        <v>59</v>
      </c>
    </row>
    <row r="258" spans="1:16" ht="18.75" x14ac:dyDescent="0.3">
      <c r="A258" s="189" t="s">
        <v>4220</v>
      </c>
      <c r="B258" s="189">
        <v>832</v>
      </c>
      <c r="C258" s="1">
        <v>46287</v>
      </c>
      <c r="D258" t="s">
        <v>5768</v>
      </c>
      <c r="E258" s="1">
        <v>46287</v>
      </c>
      <c r="F258" t="s">
        <v>5769</v>
      </c>
      <c r="G258" t="s">
        <v>76</v>
      </c>
      <c r="H258">
        <v>14000</v>
      </c>
      <c r="I258">
        <v>33300</v>
      </c>
      <c r="J258">
        <v>19300</v>
      </c>
      <c r="K258" t="s">
        <v>14</v>
      </c>
      <c r="L258"/>
      <c r="M258" t="s">
        <v>5905</v>
      </c>
      <c r="N258" t="s">
        <v>4045</v>
      </c>
      <c r="O258" s="228" t="s">
        <v>5241</v>
      </c>
      <c r="P258" s="99" t="s">
        <v>66</v>
      </c>
    </row>
    <row r="259" spans="1:16" ht="18.75" x14ac:dyDescent="0.3">
      <c r="A259" s="189" t="s">
        <v>4221</v>
      </c>
      <c r="B259" s="189">
        <v>833</v>
      </c>
      <c r="C259" s="1">
        <v>46287</v>
      </c>
      <c r="D259" t="s">
        <v>5770</v>
      </c>
      <c r="E259" s="1">
        <v>46287</v>
      </c>
      <c r="F259" t="s">
        <v>5771</v>
      </c>
      <c r="G259" t="s">
        <v>55</v>
      </c>
      <c r="H259">
        <v>14090</v>
      </c>
      <c r="I259">
        <v>32190</v>
      </c>
      <c r="J259">
        <v>18100</v>
      </c>
      <c r="K259" t="s">
        <v>14</v>
      </c>
      <c r="L259"/>
      <c r="M259" t="s">
        <v>5905</v>
      </c>
      <c r="N259" t="s">
        <v>4045</v>
      </c>
      <c r="O259" s="228" t="s">
        <v>5241</v>
      </c>
      <c r="P259" s="99" t="s">
        <v>59</v>
      </c>
    </row>
    <row r="260" spans="1:16" ht="18.75" x14ac:dyDescent="0.3">
      <c r="A260" s="189" t="s">
        <v>4224</v>
      </c>
      <c r="B260" s="189">
        <v>834</v>
      </c>
      <c r="C260" s="1">
        <v>46287</v>
      </c>
      <c r="D260" t="s">
        <v>5772</v>
      </c>
      <c r="E260" s="1">
        <v>46287</v>
      </c>
      <c r="F260" t="s">
        <v>5773</v>
      </c>
      <c r="G260" t="s">
        <v>90</v>
      </c>
      <c r="H260">
        <v>14060</v>
      </c>
      <c r="I260">
        <v>32490</v>
      </c>
      <c r="J260">
        <v>18430</v>
      </c>
      <c r="K260" t="s">
        <v>14</v>
      </c>
      <c r="L260"/>
      <c r="M260" t="s">
        <v>5905</v>
      </c>
      <c r="N260" t="s">
        <v>4045</v>
      </c>
      <c r="O260" s="228" t="s">
        <v>5241</v>
      </c>
      <c r="P260" s="99" t="s">
        <v>66</v>
      </c>
    </row>
    <row r="261" spans="1:16" ht="18.75" x14ac:dyDescent="0.3">
      <c r="A261" s="189" t="s">
        <v>4228</v>
      </c>
      <c r="B261" s="189">
        <v>835</v>
      </c>
      <c r="C261" s="1">
        <v>46287</v>
      </c>
      <c r="D261" t="s">
        <v>996</v>
      </c>
      <c r="E261" s="1">
        <v>46287</v>
      </c>
      <c r="F261" t="s">
        <v>5774</v>
      </c>
      <c r="G261" t="s">
        <v>64</v>
      </c>
      <c r="H261">
        <v>14000</v>
      </c>
      <c r="I261">
        <v>33310</v>
      </c>
      <c r="J261">
        <v>19310</v>
      </c>
      <c r="K261" t="s">
        <v>14</v>
      </c>
      <c r="L261"/>
      <c r="M261" t="s">
        <v>5905</v>
      </c>
      <c r="N261" t="s">
        <v>4045</v>
      </c>
      <c r="O261" s="228" t="s">
        <v>5241</v>
      </c>
      <c r="P261" s="99" t="s">
        <v>66</v>
      </c>
    </row>
    <row r="262" spans="1:16" ht="18.75" x14ac:dyDescent="0.3">
      <c r="A262" s="189" t="s">
        <v>4232</v>
      </c>
      <c r="B262" s="189">
        <v>836</v>
      </c>
      <c r="C262" s="1">
        <v>46287</v>
      </c>
      <c r="D262" t="s">
        <v>5775</v>
      </c>
      <c r="E262" s="1">
        <v>46287</v>
      </c>
      <c r="F262" t="s">
        <v>5776</v>
      </c>
      <c r="G262" t="s">
        <v>337</v>
      </c>
      <c r="H262">
        <v>13870</v>
      </c>
      <c r="I262">
        <v>33780</v>
      </c>
      <c r="J262">
        <v>19910</v>
      </c>
      <c r="K262" t="s">
        <v>14</v>
      </c>
      <c r="L262"/>
      <c r="M262" t="s">
        <v>5905</v>
      </c>
      <c r="N262" t="s">
        <v>4045</v>
      </c>
      <c r="O262" s="228" t="s">
        <v>5241</v>
      </c>
      <c r="P262" s="99" t="s">
        <v>111</v>
      </c>
    </row>
    <row r="263" spans="1:16" ht="18.75" x14ac:dyDescent="0.3">
      <c r="A263" s="189" t="s">
        <v>4236</v>
      </c>
      <c r="B263" s="189">
        <v>837</v>
      </c>
      <c r="C263" s="1">
        <v>46287</v>
      </c>
      <c r="D263" t="s">
        <v>5777</v>
      </c>
      <c r="E263" s="1">
        <v>46287</v>
      </c>
      <c r="F263" t="s">
        <v>5778</v>
      </c>
      <c r="G263" t="s">
        <v>540</v>
      </c>
      <c r="H263">
        <v>14040</v>
      </c>
      <c r="I263">
        <v>33680</v>
      </c>
      <c r="J263">
        <v>19640</v>
      </c>
      <c r="K263" t="s">
        <v>14</v>
      </c>
      <c r="L263"/>
      <c r="M263" t="s">
        <v>5905</v>
      </c>
      <c r="N263" t="s">
        <v>4045</v>
      </c>
      <c r="O263" s="228" t="s">
        <v>5241</v>
      </c>
      <c r="P263" s="99" t="s">
        <v>59</v>
      </c>
    </row>
    <row r="264" spans="1:16" ht="18.75" x14ac:dyDescent="0.3">
      <c r="A264" s="189" t="s">
        <v>4240</v>
      </c>
      <c r="B264" s="189">
        <v>838</v>
      </c>
      <c r="C264" s="1">
        <v>46287</v>
      </c>
      <c r="D264" t="s">
        <v>5779</v>
      </c>
      <c r="E264" s="1">
        <v>46287</v>
      </c>
      <c r="F264" t="s">
        <v>5780</v>
      </c>
      <c r="G264" t="s">
        <v>842</v>
      </c>
      <c r="H264">
        <v>14190</v>
      </c>
      <c r="I264">
        <v>34460</v>
      </c>
      <c r="J264">
        <v>20270</v>
      </c>
      <c r="K264" t="s">
        <v>14</v>
      </c>
      <c r="L264"/>
      <c r="M264" t="s">
        <v>5905</v>
      </c>
      <c r="N264" t="s">
        <v>4045</v>
      </c>
      <c r="O264" s="228" t="s">
        <v>5241</v>
      </c>
      <c r="P264" s="99" t="s">
        <v>59</v>
      </c>
    </row>
    <row r="265" spans="1:16" ht="18.75" x14ac:dyDescent="0.3">
      <c r="A265" s="189" t="s">
        <v>4244</v>
      </c>
      <c r="B265" s="189">
        <v>839</v>
      </c>
      <c r="C265" s="1">
        <v>46287</v>
      </c>
      <c r="D265" t="s">
        <v>5781</v>
      </c>
      <c r="E265" s="1">
        <v>46287</v>
      </c>
      <c r="F265" t="s">
        <v>5782</v>
      </c>
      <c r="G265" t="s">
        <v>843</v>
      </c>
      <c r="H265">
        <v>14190</v>
      </c>
      <c r="I265">
        <v>33520</v>
      </c>
      <c r="J265">
        <v>19330</v>
      </c>
      <c r="K265" t="s">
        <v>14</v>
      </c>
      <c r="L265"/>
      <c r="M265" t="s">
        <v>5905</v>
      </c>
      <c r="N265" t="s">
        <v>4045</v>
      </c>
      <c r="O265" s="228" t="s">
        <v>5241</v>
      </c>
      <c r="P265" s="99" t="s">
        <v>111</v>
      </c>
    </row>
    <row r="266" spans="1:16" ht="18.75" x14ac:dyDescent="0.3">
      <c r="A266" s="189" t="s">
        <v>4248</v>
      </c>
      <c r="B266" s="189">
        <v>840</v>
      </c>
      <c r="C266" s="1">
        <v>46287</v>
      </c>
      <c r="D266" t="s">
        <v>5783</v>
      </c>
      <c r="E266" s="1">
        <v>46287</v>
      </c>
      <c r="F266" t="s">
        <v>5784</v>
      </c>
      <c r="G266" t="s">
        <v>335</v>
      </c>
      <c r="H266">
        <v>14180</v>
      </c>
      <c r="I266">
        <v>32600</v>
      </c>
      <c r="J266">
        <v>18420</v>
      </c>
      <c r="K266" t="s">
        <v>14</v>
      </c>
      <c r="L266"/>
      <c r="M266" t="s">
        <v>5905</v>
      </c>
      <c r="N266" t="s">
        <v>4045</v>
      </c>
      <c r="O266" s="228" t="s">
        <v>5241</v>
      </c>
      <c r="P266" s="99" t="s">
        <v>111</v>
      </c>
    </row>
    <row r="267" spans="1:16" ht="18.75" x14ac:dyDescent="0.3">
      <c r="A267" s="189" t="s">
        <v>4252</v>
      </c>
      <c r="B267" s="189">
        <v>841</v>
      </c>
      <c r="C267" s="1">
        <v>46287</v>
      </c>
      <c r="D267" t="s">
        <v>5785</v>
      </c>
      <c r="E267" s="1">
        <v>46287</v>
      </c>
      <c r="F267" t="s">
        <v>5786</v>
      </c>
      <c r="G267" t="s">
        <v>43</v>
      </c>
      <c r="H267">
        <v>13890</v>
      </c>
      <c r="I267">
        <v>32470</v>
      </c>
      <c r="J267">
        <v>18580</v>
      </c>
      <c r="K267" t="s">
        <v>14</v>
      </c>
      <c r="L267"/>
      <c r="M267" t="s">
        <v>5905</v>
      </c>
      <c r="N267" t="s">
        <v>4045</v>
      </c>
      <c r="O267" s="228" t="s">
        <v>5241</v>
      </c>
      <c r="P267" s="99" t="s">
        <v>111</v>
      </c>
    </row>
    <row r="268" spans="1:16" ht="18.75" x14ac:dyDescent="0.3">
      <c r="A268" s="189" t="s">
        <v>4256</v>
      </c>
      <c r="B268" s="189">
        <v>842</v>
      </c>
      <c r="C268" s="1">
        <v>46287</v>
      </c>
      <c r="D268" t="s">
        <v>5787</v>
      </c>
      <c r="E268" s="1">
        <v>46287</v>
      </c>
      <c r="F268" t="s">
        <v>5788</v>
      </c>
      <c r="G268" t="s">
        <v>71</v>
      </c>
      <c r="H268">
        <v>14000</v>
      </c>
      <c r="I268">
        <v>33930</v>
      </c>
      <c r="J268">
        <v>19930</v>
      </c>
      <c r="K268" t="s">
        <v>14</v>
      </c>
      <c r="L268"/>
      <c r="M268" t="s">
        <v>5905</v>
      </c>
      <c r="N268" t="s">
        <v>4045</v>
      </c>
      <c r="O268" s="228" t="s">
        <v>5241</v>
      </c>
      <c r="P268" s="99" t="s">
        <v>59</v>
      </c>
    </row>
    <row r="269" spans="1:16" ht="18.75" x14ac:dyDescent="0.3">
      <c r="A269" s="189" t="s">
        <v>4260</v>
      </c>
      <c r="B269" s="189">
        <v>843</v>
      </c>
      <c r="C269" s="1">
        <v>46287</v>
      </c>
      <c r="D269" t="s">
        <v>5789</v>
      </c>
      <c r="E269" s="1">
        <v>46287</v>
      </c>
      <c r="F269" t="s">
        <v>5790</v>
      </c>
      <c r="G269" t="s">
        <v>85</v>
      </c>
      <c r="H269">
        <v>13930</v>
      </c>
      <c r="I269">
        <v>33240</v>
      </c>
      <c r="J269">
        <v>19310</v>
      </c>
      <c r="K269" t="s">
        <v>14</v>
      </c>
      <c r="L269"/>
      <c r="M269" t="s">
        <v>5905</v>
      </c>
      <c r="N269" t="s">
        <v>4045</v>
      </c>
      <c r="O269" s="228" t="s">
        <v>5241</v>
      </c>
      <c r="P269" s="99" t="s">
        <v>66</v>
      </c>
    </row>
    <row r="270" spans="1:16" ht="18.75" x14ac:dyDescent="0.3">
      <c r="A270" s="189" t="s">
        <v>4264</v>
      </c>
      <c r="B270" s="189">
        <v>844</v>
      </c>
      <c r="C270" s="1">
        <v>46287</v>
      </c>
      <c r="D270" t="s">
        <v>5791</v>
      </c>
      <c r="E270" s="1">
        <v>46287</v>
      </c>
      <c r="F270" t="s">
        <v>5792</v>
      </c>
      <c r="G270" t="s">
        <v>90</v>
      </c>
      <c r="H270">
        <v>14030</v>
      </c>
      <c r="I270">
        <v>31840</v>
      </c>
      <c r="J270">
        <v>17810</v>
      </c>
      <c r="K270" t="s">
        <v>14</v>
      </c>
      <c r="L270"/>
      <c r="M270" t="s">
        <v>5905</v>
      </c>
      <c r="N270" t="s">
        <v>4045</v>
      </c>
      <c r="O270" s="228" t="s">
        <v>5241</v>
      </c>
      <c r="P270" s="99" t="s">
        <v>66</v>
      </c>
    </row>
    <row r="271" spans="1:16" ht="18.75" x14ac:dyDescent="0.3">
      <c r="A271" s="189" t="s">
        <v>4268</v>
      </c>
      <c r="B271" s="189">
        <v>845</v>
      </c>
      <c r="C271" s="1">
        <v>46287</v>
      </c>
      <c r="D271" t="s">
        <v>5793</v>
      </c>
      <c r="E271" s="1">
        <v>46287</v>
      </c>
      <c r="F271" t="s">
        <v>5794</v>
      </c>
      <c r="G271" t="s">
        <v>840</v>
      </c>
      <c r="H271">
        <v>13880</v>
      </c>
      <c r="I271">
        <v>32520</v>
      </c>
      <c r="J271">
        <v>18640</v>
      </c>
      <c r="K271" t="s">
        <v>14</v>
      </c>
      <c r="L271"/>
      <c r="M271" t="s">
        <v>5905</v>
      </c>
      <c r="N271" t="s">
        <v>4045</v>
      </c>
      <c r="O271" s="228" t="s">
        <v>5241</v>
      </c>
      <c r="P271" s="99" t="s">
        <v>59</v>
      </c>
    </row>
    <row r="272" spans="1:16" ht="18.75" x14ac:dyDescent="0.3">
      <c r="A272" s="189" t="s">
        <v>4272</v>
      </c>
      <c r="B272" s="189">
        <v>846</v>
      </c>
      <c r="C272" s="1">
        <v>46287</v>
      </c>
      <c r="D272" t="s">
        <v>5795</v>
      </c>
      <c r="E272" s="1">
        <v>46287</v>
      </c>
      <c r="F272" t="s">
        <v>5796</v>
      </c>
      <c r="G272" t="s">
        <v>143</v>
      </c>
      <c r="H272">
        <v>14080</v>
      </c>
      <c r="I272">
        <v>32610</v>
      </c>
      <c r="J272">
        <v>18530</v>
      </c>
      <c r="K272" t="s">
        <v>14</v>
      </c>
      <c r="L272"/>
      <c r="M272" t="s">
        <v>5905</v>
      </c>
      <c r="N272" t="s">
        <v>4045</v>
      </c>
      <c r="O272" s="228" t="s">
        <v>5241</v>
      </c>
      <c r="P272" s="99" t="s">
        <v>59</v>
      </c>
    </row>
    <row r="273" spans="1:16" ht="18.75" x14ac:dyDescent="0.3">
      <c r="A273" s="189" t="s">
        <v>4276</v>
      </c>
      <c r="B273" s="189">
        <v>847</v>
      </c>
      <c r="C273" s="1">
        <v>46287</v>
      </c>
      <c r="D273" t="s">
        <v>5797</v>
      </c>
      <c r="E273" s="1">
        <v>46287</v>
      </c>
      <c r="F273" t="s">
        <v>5798</v>
      </c>
      <c r="G273" t="s">
        <v>76</v>
      </c>
      <c r="H273">
        <v>13940</v>
      </c>
      <c r="I273">
        <v>32030</v>
      </c>
      <c r="J273">
        <v>18090</v>
      </c>
      <c r="K273" t="s">
        <v>14</v>
      </c>
      <c r="L273"/>
      <c r="M273" t="s">
        <v>5905</v>
      </c>
      <c r="N273" t="s">
        <v>4045</v>
      </c>
      <c r="O273" s="228" t="s">
        <v>5241</v>
      </c>
      <c r="P273" s="99" t="s">
        <v>66</v>
      </c>
    </row>
    <row r="274" spans="1:16" ht="18.75" x14ac:dyDescent="0.3">
      <c r="A274" s="189" t="s">
        <v>4280</v>
      </c>
      <c r="B274" s="189">
        <v>848</v>
      </c>
      <c r="C274" s="1">
        <v>46287</v>
      </c>
      <c r="D274" t="s">
        <v>5799</v>
      </c>
      <c r="E274" s="1">
        <v>46287</v>
      </c>
      <c r="F274" t="s">
        <v>5800</v>
      </c>
      <c r="G274" t="s">
        <v>80</v>
      </c>
      <c r="H274">
        <v>14040</v>
      </c>
      <c r="I274">
        <v>31480</v>
      </c>
      <c r="J274">
        <v>17440</v>
      </c>
      <c r="K274" t="s">
        <v>14</v>
      </c>
      <c r="L274"/>
      <c r="M274" t="s">
        <v>5905</v>
      </c>
      <c r="N274" t="s">
        <v>4045</v>
      </c>
      <c r="O274" s="228" t="s">
        <v>5241</v>
      </c>
      <c r="P274" s="99" t="s">
        <v>66</v>
      </c>
    </row>
    <row r="275" spans="1:16" ht="18.75" x14ac:dyDescent="0.3">
      <c r="A275" s="189" t="s">
        <v>4284</v>
      </c>
      <c r="B275" s="189">
        <v>849</v>
      </c>
      <c r="C275" s="1">
        <v>46287</v>
      </c>
      <c r="D275" t="s">
        <v>5801</v>
      </c>
      <c r="E275" s="1">
        <v>46287</v>
      </c>
      <c r="F275" t="s">
        <v>5802</v>
      </c>
      <c r="G275" t="s">
        <v>336</v>
      </c>
      <c r="H275">
        <v>13960</v>
      </c>
      <c r="I275">
        <v>31420</v>
      </c>
      <c r="J275">
        <v>17460</v>
      </c>
      <c r="K275" t="s">
        <v>14</v>
      </c>
      <c r="L275"/>
      <c r="M275" t="s">
        <v>5905</v>
      </c>
      <c r="N275" t="s">
        <v>4045</v>
      </c>
      <c r="O275" s="228" t="s">
        <v>5241</v>
      </c>
      <c r="P275" s="99" t="s">
        <v>111</v>
      </c>
    </row>
    <row r="276" spans="1:16" ht="18.75" x14ac:dyDescent="0.3">
      <c r="A276" s="189" t="s">
        <v>4287</v>
      </c>
      <c r="B276" s="189">
        <v>850</v>
      </c>
      <c r="C276" s="1">
        <v>46287</v>
      </c>
      <c r="D276" t="s">
        <v>5803</v>
      </c>
      <c r="E276" s="1">
        <v>46287</v>
      </c>
      <c r="F276" t="s">
        <v>5804</v>
      </c>
      <c r="G276" t="s">
        <v>55</v>
      </c>
      <c r="H276">
        <v>13980</v>
      </c>
      <c r="I276">
        <v>31370</v>
      </c>
      <c r="J276">
        <v>17390</v>
      </c>
      <c r="K276" t="s">
        <v>14</v>
      </c>
      <c r="L276"/>
      <c r="M276" t="s">
        <v>5905</v>
      </c>
      <c r="N276" t="s">
        <v>4045</v>
      </c>
      <c r="O276" s="228" t="s">
        <v>5241</v>
      </c>
      <c r="P276" s="99" t="s">
        <v>59</v>
      </c>
    </row>
    <row r="277" spans="1:16" ht="18.75" x14ac:dyDescent="0.3">
      <c r="A277" s="189" t="s">
        <v>4291</v>
      </c>
      <c r="B277" s="189">
        <v>851</v>
      </c>
      <c r="C277" s="1">
        <v>46287</v>
      </c>
      <c r="D277" t="s">
        <v>5805</v>
      </c>
      <c r="E277" s="1">
        <v>46287</v>
      </c>
      <c r="F277" t="s">
        <v>5806</v>
      </c>
      <c r="G277" t="s">
        <v>540</v>
      </c>
      <c r="H277">
        <v>13880</v>
      </c>
      <c r="I277">
        <v>31440</v>
      </c>
      <c r="J277">
        <v>17560</v>
      </c>
      <c r="K277" t="s">
        <v>14</v>
      </c>
      <c r="L277"/>
      <c r="M277" t="s">
        <v>5905</v>
      </c>
      <c r="N277" t="s">
        <v>4045</v>
      </c>
      <c r="O277" s="228" t="s">
        <v>5241</v>
      </c>
      <c r="P277" s="99" t="s">
        <v>59</v>
      </c>
    </row>
    <row r="278" spans="1:16" ht="18.75" x14ac:dyDescent="0.3">
      <c r="A278" s="189" t="s">
        <v>4295</v>
      </c>
      <c r="B278" s="189">
        <v>852</v>
      </c>
      <c r="C278" s="1">
        <v>46287</v>
      </c>
      <c r="D278" t="s">
        <v>5807</v>
      </c>
      <c r="E278" s="1">
        <v>46287</v>
      </c>
      <c r="F278" t="s">
        <v>5808</v>
      </c>
      <c r="G278" t="s">
        <v>64</v>
      </c>
      <c r="H278">
        <v>13940</v>
      </c>
      <c r="I278">
        <v>31610</v>
      </c>
      <c r="J278">
        <v>17670</v>
      </c>
      <c r="K278" t="s">
        <v>14</v>
      </c>
      <c r="L278"/>
      <c r="M278" t="s">
        <v>5905</v>
      </c>
      <c r="N278" t="s">
        <v>4045</v>
      </c>
      <c r="O278" s="228" t="s">
        <v>5241</v>
      </c>
      <c r="P278" s="99" t="s">
        <v>66</v>
      </c>
    </row>
    <row r="279" spans="1:16" ht="18.75" x14ac:dyDescent="0.3">
      <c r="A279" s="189" t="s">
        <v>4299</v>
      </c>
      <c r="B279" s="189">
        <v>853</v>
      </c>
      <c r="C279" s="1">
        <v>46287</v>
      </c>
      <c r="D279" t="s">
        <v>5809</v>
      </c>
      <c r="E279" s="1">
        <v>46287</v>
      </c>
      <c r="F279" t="s">
        <v>5810</v>
      </c>
      <c r="G279" t="s">
        <v>842</v>
      </c>
      <c r="H279">
        <v>14090</v>
      </c>
      <c r="I279">
        <v>32370</v>
      </c>
      <c r="J279">
        <v>18280</v>
      </c>
      <c r="K279" t="s">
        <v>14</v>
      </c>
      <c r="L279"/>
      <c r="M279" t="s">
        <v>5905</v>
      </c>
      <c r="N279" t="s">
        <v>4045</v>
      </c>
      <c r="O279" s="228" t="s">
        <v>5241</v>
      </c>
      <c r="P279" s="99" t="s">
        <v>59</v>
      </c>
    </row>
    <row r="280" spans="1:16" ht="18.75" x14ac:dyDescent="0.3">
      <c r="A280" s="189" t="s">
        <v>4303</v>
      </c>
      <c r="B280" s="189">
        <v>854</v>
      </c>
      <c r="C280" s="1">
        <v>46287</v>
      </c>
      <c r="D280" t="s">
        <v>5811</v>
      </c>
      <c r="E280" s="1">
        <v>46287</v>
      </c>
      <c r="F280" t="s">
        <v>5812</v>
      </c>
      <c r="G280" t="s">
        <v>337</v>
      </c>
      <c r="H280">
        <v>14030</v>
      </c>
      <c r="I280">
        <v>31620</v>
      </c>
      <c r="J280">
        <v>17590</v>
      </c>
      <c r="K280" t="s">
        <v>14</v>
      </c>
      <c r="L280"/>
      <c r="M280" t="s">
        <v>5905</v>
      </c>
      <c r="N280" t="s">
        <v>4045</v>
      </c>
      <c r="O280" s="228" t="s">
        <v>5241</v>
      </c>
      <c r="P280" s="99" t="s">
        <v>111</v>
      </c>
    </row>
    <row r="281" spans="1:16" ht="18.75" x14ac:dyDescent="0.3">
      <c r="A281" s="189" t="s">
        <v>4307</v>
      </c>
      <c r="B281" s="189">
        <v>855</v>
      </c>
      <c r="C281" s="1">
        <v>46287</v>
      </c>
      <c r="D281" t="s">
        <v>5813</v>
      </c>
      <c r="E281" s="1">
        <v>46287</v>
      </c>
      <c r="F281" t="s">
        <v>5814</v>
      </c>
      <c r="G281" t="s">
        <v>537</v>
      </c>
      <c r="H281">
        <v>13920</v>
      </c>
      <c r="I281">
        <v>31400</v>
      </c>
      <c r="J281">
        <v>17480</v>
      </c>
      <c r="K281" t="s">
        <v>14</v>
      </c>
      <c r="L281"/>
      <c r="M281" t="s">
        <v>5905</v>
      </c>
      <c r="N281" t="s">
        <v>4045</v>
      </c>
      <c r="O281" s="228" t="s">
        <v>5241</v>
      </c>
      <c r="P281" s="99" t="s">
        <v>59</v>
      </c>
    </row>
    <row r="282" spans="1:16" ht="18.75" x14ac:dyDescent="0.3">
      <c r="A282" s="189" t="s">
        <v>4311</v>
      </c>
      <c r="B282" s="189">
        <v>856</v>
      </c>
      <c r="C282" s="1">
        <v>46287</v>
      </c>
      <c r="D282" t="s">
        <v>5815</v>
      </c>
      <c r="E282" s="1">
        <v>46287</v>
      </c>
      <c r="F282" t="s">
        <v>5816</v>
      </c>
      <c r="G282" t="s">
        <v>335</v>
      </c>
      <c r="H282">
        <v>14050</v>
      </c>
      <c r="I282">
        <v>31380</v>
      </c>
      <c r="J282">
        <v>17330</v>
      </c>
      <c r="K282" t="s">
        <v>14</v>
      </c>
      <c r="L282"/>
      <c r="M282" t="s">
        <v>5905</v>
      </c>
      <c r="N282" t="s">
        <v>4045</v>
      </c>
      <c r="O282" s="228" t="s">
        <v>5241</v>
      </c>
      <c r="P282" s="99" t="s">
        <v>111</v>
      </c>
    </row>
    <row r="283" spans="1:16" ht="18.75" x14ac:dyDescent="0.3">
      <c r="A283" s="189" t="s">
        <v>4315</v>
      </c>
      <c r="B283" s="189">
        <v>857</v>
      </c>
      <c r="C283" s="1">
        <v>46287</v>
      </c>
      <c r="D283" t="s">
        <v>5817</v>
      </c>
      <c r="E283" s="1">
        <v>46287</v>
      </c>
      <c r="F283" t="s">
        <v>5818</v>
      </c>
      <c r="G283" t="s">
        <v>43</v>
      </c>
      <c r="H283">
        <v>14070</v>
      </c>
      <c r="I283">
        <v>31050</v>
      </c>
      <c r="J283">
        <v>16980</v>
      </c>
      <c r="K283" t="s">
        <v>14</v>
      </c>
      <c r="L283"/>
      <c r="M283" t="s">
        <v>5905</v>
      </c>
      <c r="N283" t="s">
        <v>4045</v>
      </c>
      <c r="O283" s="228" t="s">
        <v>5241</v>
      </c>
      <c r="P283" s="99" t="s">
        <v>111</v>
      </c>
    </row>
    <row r="284" spans="1:16" ht="18.75" x14ac:dyDescent="0.3">
      <c r="A284" s="189" t="s">
        <v>4319</v>
      </c>
      <c r="B284" s="189">
        <v>858</v>
      </c>
      <c r="C284" s="1">
        <v>46287</v>
      </c>
      <c r="D284" t="s">
        <v>5819</v>
      </c>
      <c r="E284" s="1">
        <v>46287</v>
      </c>
      <c r="F284" t="s">
        <v>5820</v>
      </c>
      <c r="G284" t="s">
        <v>71</v>
      </c>
      <c r="H284">
        <v>13940</v>
      </c>
      <c r="I284">
        <v>30640</v>
      </c>
      <c r="J284">
        <v>16700</v>
      </c>
      <c r="K284" t="s">
        <v>14</v>
      </c>
      <c r="L284"/>
      <c r="M284" t="s">
        <v>5905</v>
      </c>
      <c r="N284" t="s">
        <v>4045</v>
      </c>
      <c r="O284" s="228" t="s">
        <v>5241</v>
      </c>
      <c r="P284" s="99" t="s">
        <v>59</v>
      </c>
    </row>
    <row r="285" spans="1:16" ht="18.75" x14ac:dyDescent="0.3">
      <c r="A285" s="189" t="s">
        <v>4323</v>
      </c>
      <c r="B285" s="189">
        <v>859</v>
      </c>
      <c r="C285" s="1">
        <v>46287</v>
      </c>
      <c r="D285" t="s">
        <v>5821</v>
      </c>
      <c r="E285" s="1">
        <v>46287</v>
      </c>
      <c r="F285" t="s">
        <v>5822</v>
      </c>
      <c r="G285" t="s">
        <v>843</v>
      </c>
      <c r="H285">
        <v>14160</v>
      </c>
      <c r="I285">
        <v>31780</v>
      </c>
      <c r="J285">
        <v>17620</v>
      </c>
      <c r="K285" t="s">
        <v>14</v>
      </c>
      <c r="L285"/>
      <c r="M285" t="s">
        <v>5905</v>
      </c>
      <c r="N285" t="s">
        <v>4045</v>
      </c>
      <c r="O285" s="228" t="s">
        <v>5241</v>
      </c>
      <c r="P285" s="99" t="s">
        <v>111</v>
      </c>
    </row>
    <row r="286" spans="1:16" ht="18.75" x14ac:dyDescent="0.3">
      <c r="A286" s="189" t="s">
        <v>4327</v>
      </c>
      <c r="B286" s="189">
        <v>860</v>
      </c>
      <c r="C286" s="1">
        <v>46287</v>
      </c>
      <c r="D286" t="s">
        <v>5823</v>
      </c>
      <c r="E286" s="1">
        <v>46287</v>
      </c>
      <c r="F286" t="s">
        <v>5824</v>
      </c>
      <c r="G286" t="s">
        <v>840</v>
      </c>
      <c r="H286">
        <v>13820</v>
      </c>
      <c r="I286">
        <v>31610</v>
      </c>
      <c r="J286">
        <v>17790</v>
      </c>
      <c r="K286" t="s">
        <v>14</v>
      </c>
      <c r="L286"/>
      <c r="M286" t="s">
        <v>5905</v>
      </c>
      <c r="N286" t="s">
        <v>4045</v>
      </c>
      <c r="O286" s="228" t="s">
        <v>5241</v>
      </c>
      <c r="P286" s="99" t="s">
        <v>59</v>
      </c>
    </row>
    <row r="287" spans="1:16" ht="18.75" x14ac:dyDescent="0.3">
      <c r="A287" s="189" t="s">
        <v>4331</v>
      </c>
      <c r="B287" s="189">
        <v>861</v>
      </c>
      <c r="C287" s="1">
        <v>46287</v>
      </c>
      <c r="D287" t="s">
        <v>5825</v>
      </c>
      <c r="E287" s="1">
        <v>46287</v>
      </c>
      <c r="F287" t="s">
        <v>5826</v>
      </c>
      <c r="G287" t="s">
        <v>85</v>
      </c>
      <c r="H287">
        <v>13880</v>
      </c>
      <c r="I287">
        <v>31450</v>
      </c>
      <c r="J287">
        <v>17570</v>
      </c>
      <c r="K287" t="s">
        <v>14</v>
      </c>
      <c r="L287"/>
      <c r="M287" t="s">
        <v>5905</v>
      </c>
      <c r="N287" t="s">
        <v>4045</v>
      </c>
      <c r="O287" s="228" t="s">
        <v>5241</v>
      </c>
      <c r="P287" s="99" t="s">
        <v>66</v>
      </c>
    </row>
    <row r="288" spans="1:16" ht="18.75" x14ac:dyDescent="0.3">
      <c r="A288" s="189" t="s">
        <v>4335</v>
      </c>
      <c r="B288" s="189">
        <v>862</v>
      </c>
      <c r="C288" s="1">
        <v>46287</v>
      </c>
      <c r="D288" t="s">
        <v>5827</v>
      </c>
      <c r="E288" s="1">
        <v>46287</v>
      </c>
      <c r="F288" t="s">
        <v>5828</v>
      </c>
      <c r="G288" t="s">
        <v>143</v>
      </c>
      <c r="H288">
        <v>13960</v>
      </c>
      <c r="I288">
        <v>32230</v>
      </c>
      <c r="J288">
        <v>18270</v>
      </c>
      <c r="K288" t="s">
        <v>14</v>
      </c>
      <c r="L288"/>
      <c r="M288" t="s">
        <v>5905</v>
      </c>
      <c r="N288" t="s">
        <v>4045</v>
      </c>
      <c r="O288" s="228" t="s">
        <v>5241</v>
      </c>
      <c r="P288" s="99" t="s">
        <v>59</v>
      </c>
    </row>
    <row r="289" spans="1:16" ht="18.75" x14ac:dyDescent="0.3">
      <c r="A289" s="189" t="s">
        <v>4339</v>
      </c>
      <c r="B289" s="189">
        <v>863</v>
      </c>
      <c r="C289" s="1">
        <v>46287</v>
      </c>
      <c r="D289" t="s">
        <v>5829</v>
      </c>
      <c r="E289" s="1">
        <v>46287</v>
      </c>
      <c r="F289" t="s">
        <v>5830</v>
      </c>
      <c r="G289" t="s">
        <v>90</v>
      </c>
      <c r="H289">
        <v>13940</v>
      </c>
      <c r="I289">
        <v>33160</v>
      </c>
      <c r="J289">
        <v>19220</v>
      </c>
      <c r="K289" t="s">
        <v>14</v>
      </c>
      <c r="L289"/>
      <c r="M289" t="s">
        <v>5905</v>
      </c>
      <c r="N289" t="s">
        <v>4045</v>
      </c>
      <c r="O289" s="228" t="s">
        <v>5241</v>
      </c>
      <c r="P289" s="99" t="s">
        <v>66</v>
      </c>
    </row>
    <row r="290" spans="1:16" ht="18.75" x14ac:dyDescent="0.3">
      <c r="A290" s="189" t="s">
        <v>4343</v>
      </c>
      <c r="B290" s="189">
        <v>864</v>
      </c>
      <c r="C290" s="1">
        <v>46287</v>
      </c>
      <c r="D290" t="s">
        <v>5831</v>
      </c>
      <c r="E290" s="1">
        <v>46287</v>
      </c>
      <c r="F290" t="s">
        <v>5832</v>
      </c>
      <c r="G290" t="s">
        <v>76</v>
      </c>
      <c r="H290">
        <v>13890</v>
      </c>
      <c r="I290">
        <v>31910</v>
      </c>
      <c r="J290">
        <v>18020</v>
      </c>
      <c r="K290" t="s">
        <v>14</v>
      </c>
      <c r="L290"/>
      <c r="M290" t="s">
        <v>5905</v>
      </c>
      <c r="N290" t="s">
        <v>4045</v>
      </c>
      <c r="O290" s="228" t="s">
        <v>5241</v>
      </c>
      <c r="P290" s="99" t="s">
        <v>66</v>
      </c>
    </row>
    <row r="291" spans="1:16" ht="18.75" x14ac:dyDescent="0.3">
      <c r="A291" s="189" t="s">
        <v>4347</v>
      </c>
      <c r="B291" s="189">
        <v>865</v>
      </c>
      <c r="C291" s="1">
        <v>46287</v>
      </c>
      <c r="D291" t="s">
        <v>5833</v>
      </c>
      <c r="E291" s="1">
        <v>46287</v>
      </c>
      <c r="F291" t="s">
        <v>5834</v>
      </c>
      <c r="G291" t="s">
        <v>540</v>
      </c>
      <c r="H291">
        <v>13810</v>
      </c>
      <c r="I291">
        <v>32170</v>
      </c>
      <c r="J291">
        <v>18360</v>
      </c>
      <c r="K291" t="s">
        <v>14</v>
      </c>
      <c r="L291"/>
      <c r="M291" t="s">
        <v>5905</v>
      </c>
      <c r="N291" t="s">
        <v>4045</v>
      </c>
      <c r="O291" s="228" t="s">
        <v>5241</v>
      </c>
      <c r="P291" s="99" t="s">
        <v>59</v>
      </c>
    </row>
    <row r="292" spans="1:16" ht="18.75" x14ac:dyDescent="0.3">
      <c r="A292" s="189" t="s">
        <v>4351</v>
      </c>
      <c r="B292" s="189">
        <v>866</v>
      </c>
      <c r="C292" s="1">
        <v>46287</v>
      </c>
      <c r="D292" t="s">
        <v>5835</v>
      </c>
      <c r="E292" s="1">
        <v>46287</v>
      </c>
      <c r="F292" t="s">
        <v>5836</v>
      </c>
      <c r="G292" t="s">
        <v>336</v>
      </c>
      <c r="H292">
        <v>13760</v>
      </c>
      <c r="I292">
        <v>30910</v>
      </c>
      <c r="J292">
        <v>17150</v>
      </c>
      <c r="K292" t="s">
        <v>14</v>
      </c>
      <c r="L292"/>
      <c r="M292" t="s">
        <v>5905</v>
      </c>
      <c r="N292" t="s">
        <v>4045</v>
      </c>
      <c r="O292" s="228" t="s">
        <v>5241</v>
      </c>
      <c r="P292" s="99" t="s">
        <v>111</v>
      </c>
    </row>
    <row r="293" spans="1:16" ht="18.75" x14ac:dyDescent="0.3">
      <c r="A293" s="189" t="s">
        <v>4354</v>
      </c>
      <c r="B293" s="189">
        <v>867</v>
      </c>
      <c r="C293" s="1">
        <v>46287</v>
      </c>
      <c r="D293" t="s">
        <v>5837</v>
      </c>
      <c r="E293" s="1">
        <v>46287</v>
      </c>
      <c r="F293" t="s">
        <v>5838</v>
      </c>
      <c r="G293" t="s">
        <v>64</v>
      </c>
      <c r="H293">
        <v>14050</v>
      </c>
      <c r="I293">
        <v>31730</v>
      </c>
      <c r="J293">
        <v>17680</v>
      </c>
      <c r="K293" t="s">
        <v>14</v>
      </c>
      <c r="L293"/>
      <c r="M293" t="s">
        <v>5905</v>
      </c>
      <c r="N293" t="s">
        <v>4045</v>
      </c>
      <c r="O293" s="228" t="s">
        <v>5241</v>
      </c>
      <c r="P293" s="99" t="s">
        <v>66</v>
      </c>
    </row>
    <row r="294" spans="1:16" ht="18.75" x14ac:dyDescent="0.3">
      <c r="A294" s="189" t="s">
        <v>4357</v>
      </c>
      <c r="B294" s="189">
        <v>868</v>
      </c>
      <c r="C294" s="1">
        <v>46287</v>
      </c>
      <c r="D294" t="s">
        <v>5839</v>
      </c>
      <c r="E294" s="1">
        <v>46287</v>
      </c>
      <c r="F294" t="s">
        <v>5840</v>
      </c>
      <c r="G294" t="s">
        <v>55</v>
      </c>
      <c r="H294">
        <v>13990</v>
      </c>
      <c r="I294">
        <v>31740</v>
      </c>
      <c r="J294">
        <v>17750</v>
      </c>
      <c r="K294" t="s">
        <v>14</v>
      </c>
      <c r="L294"/>
      <c r="M294" t="s">
        <v>5905</v>
      </c>
      <c r="N294" t="s">
        <v>4045</v>
      </c>
      <c r="O294" s="228" t="s">
        <v>5241</v>
      </c>
      <c r="P294" s="99" t="s">
        <v>59</v>
      </c>
    </row>
    <row r="295" spans="1:16" ht="18.75" x14ac:dyDescent="0.3">
      <c r="A295" s="189" t="s">
        <v>4361</v>
      </c>
      <c r="B295" s="189">
        <v>869</v>
      </c>
      <c r="C295" s="1">
        <v>46287</v>
      </c>
      <c r="D295" t="s">
        <v>5841</v>
      </c>
      <c r="E295" s="1">
        <v>46287</v>
      </c>
      <c r="F295" t="s">
        <v>5842</v>
      </c>
      <c r="G295" t="s">
        <v>842</v>
      </c>
      <c r="H295">
        <v>14040</v>
      </c>
      <c r="I295">
        <v>32400</v>
      </c>
      <c r="J295">
        <v>18360</v>
      </c>
      <c r="K295" t="s">
        <v>14</v>
      </c>
      <c r="L295"/>
      <c r="M295" t="s">
        <v>5905</v>
      </c>
      <c r="N295" t="s">
        <v>4045</v>
      </c>
      <c r="O295" s="228" t="s">
        <v>5241</v>
      </c>
      <c r="P295" s="99" t="s">
        <v>59</v>
      </c>
    </row>
    <row r="296" spans="1:16" ht="18.75" x14ac:dyDescent="0.3">
      <c r="A296" s="189" t="s">
        <v>4365</v>
      </c>
      <c r="B296" s="189">
        <v>870</v>
      </c>
      <c r="C296" s="1">
        <v>46287</v>
      </c>
      <c r="D296" t="s">
        <v>5843</v>
      </c>
      <c r="E296" s="1">
        <v>46287</v>
      </c>
      <c r="F296" t="s">
        <v>5844</v>
      </c>
      <c r="G296" t="s">
        <v>337</v>
      </c>
      <c r="H296">
        <v>13960</v>
      </c>
      <c r="I296">
        <v>32660</v>
      </c>
      <c r="J296">
        <v>18700</v>
      </c>
      <c r="K296" t="s">
        <v>14</v>
      </c>
      <c r="L296"/>
      <c r="M296" t="s">
        <v>5905</v>
      </c>
      <c r="N296" t="s">
        <v>4045</v>
      </c>
      <c r="O296" s="228" t="s">
        <v>5241</v>
      </c>
      <c r="P296" s="99" t="s">
        <v>111</v>
      </c>
    </row>
    <row r="297" spans="1:16" ht="18.75" x14ac:dyDescent="0.3">
      <c r="A297" s="189" t="s">
        <v>4369</v>
      </c>
      <c r="B297" s="189">
        <v>871</v>
      </c>
      <c r="C297" s="1">
        <v>46287</v>
      </c>
      <c r="D297" t="s">
        <v>5845</v>
      </c>
      <c r="E297" s="1">
        <v>46287</v>
      </c>
      <c r="F297" t="s">
        <v>5846</v>
      </c>
      <c r="G297" t="s">
        <v>335</v>
      </c>
      <c r="H297">
        <v>13980</v>
      </c>
      <c r="I297">
        <v>33330</v>
      </c>
      <c r="J297">
        <v>19350</v>
      </c>
      <c r="K297" t="s">
        <v>14</v>
      </c>
      <c r="L297"/>
      <c r="M297" t="s">
        <v>5905</v>
      </c>
      <c r="N297" t="s">
        <v>4045</v>
      </c>
      <c r="O297" s="228" t="s">
        <v>5241</v>
      </c>
      <c r="P297" s="99" t="s">
        <v>111</v>
      </c>
    </row>
    <row r="298" spans="1:16" ht="18.75" x14ac:dyDescent="0.3">
      <c r="A298" s="189" t="s">
        <v>4373</v>
      </c>
      <c r="B298" s="189">
        <v>872</v>
      </c>
      <c r="C298" s="1">
        <v>46287</v>
      </c>
      <c r="D298" t="s">
        <v>5847</v>
      </c>
      <c r="E298" s="1">
        <v>46287</v>
      </c>
      <c r="F298" t="s">
        <v>5848</v>
      </c>
      <c r="G298" t="s">
        <v>43</v>
      </c>
      <c r="H298">
        <v>13990</v>
      </c>
      <c r="I298">
        <v>31740</v>
      </c>
      <c r="J298">
        <v>17750</v>
      </c>
      <c r="K298" t="s">
        <v>14</v>
      </c>
      <c r="L298"/>
      <c r="M298" t="s">
        <v>5905</v>
      </c>
      <c r="N298" t="s">
        <v>4045</v>
      </c>
      <c r="O298" s="228" t="s">
        <v>5241</v>
      </c>
      <c r="P298" s="99" t="s">
        <v>111</v>
      </c>
    </row>
    <row r="299" spans="1:16" ht="18.75" x14ac:dyDescent="0.3">
      <c r="A299" s="189" t="s">
        <v>4377</v>
      </c>
      <c r="B299" s="189">
        <v>873</v>
      </c>
      <c r="C299" s="1">
        <v>46287</v>
      </c>
      <c r="D299" t="s">
        <v>5849</v>
      </c>
      <c r="E299" s="1">
        <v>46287</v>
      </c>
      <c r="F299" t="s">
        <v>5850</v>
      </c>
      <c r="G299" t="s">
        <v>71</v>
      </c>
      <c r="H299">
        <v>13810</v>
      </c>
      <c r="I299">
        <v>31500</v>
      </c>
      <c r="J299">
        <v>17690</v>
      </c>
      <c r="K299" t="s">
        <v>14</v>
      </c>
      <c r="L299"/>
      <c r="M299" t="s">
        <v>5905</v>
      </c>
      <c r="N299" t="s">
        <v>4045</v>
      </c>
      <c r="O299" s="228" t="s">
        <v>5241</v>
      </c>
      <c r="P299" s="99" t="s">
        <v>59</v>
      </c>
    </row>
    <row r="300" spans="1:16" ht="18.75" x14ac:dyDescent="0.3">
      <c r="A300" s="189" t="s">
        <v>4381</v>
      </c>
      <c r="B300" s="189">
        <v>874</v>
      </c>
      <c r="C300" s="1">
        <v>46287</v>
      </c>
      <c r="D300" t="s">
        <v>5851</v>
      </c>
      <c r="E300" s="1">
        <v>46287</v>
      </c>
      <c r="F300" t="s">
        <v>5852</v>
      </c>
      <c r="G300" t="s">
        <v>843</v>
      </c>
      <c r="H300">
        <v>14070</v>
      </c>
      <c r="I300">
        <v>31400</v>
      </c>
      <c r="J300">
        <v>17330</v>
      </c>
      <c r="K300" t="s">
        <v>14</v>
      </c>
      <c r="L300"/>
      <c r="M300" t="s">
        <v>5905</v>
      </c>
      <c r="N300" t="s">
        <v>4045</v>
      </c>
      <c r="O300" s="228" t="s">
        <v>5241</v>
      </c>
      <c r="P300" s="99" t="s">
        <v>111</v>
      </c>
    </row>
    <row r="301" spans="1:16" ht="18.75" x14ac:dyDescent="0.3">
      <c r="A301" s="189" t="s">
        <v>4385</v>
      </c>
      <c r="B301" s="189">
        <v>875</v>
      </c>
      <c r="C301" s="1">
        <v>46287</v>
      </c>
      <c r="D301" t="s">
        <v>5853</v>
      </c>
      <c r="E301" s="1">
        <v>46288</v>
      </c>
      <c r="F301" t="s">
        <v>5854</v>
      </c>
      <c r="G301" t="s">
        <v>143</v>
      </c>
      <c r="H301">
        <v>13950</v>
      </c>
      <c r="I301">
        <v>31040</v>
      </c>
      <c r="J301">
        <v>17090</v>
      </c>
      <c r="K301" t="s">
        <v>14</v>
      </c>
      <c r="L301"/>
      <c r="M301" t="s">
        <v>5905</v>
      </c>
      <c r="N301" t="s">
        <v>4045</v>
      </c>
      <c r="O301" s="228" t="s">
        <v>5241</v>
      </c>
      <c r="P301" s="99" t="s">
        <v>59</v>
      </c>
    </row>
    <row r="302" spans="1:16" ht="18.75" x14ac:dyDescent="0.3">
      <c r="A302" s="189" t="s">
        <v>4389</v>
      </c>
      <c r="B302" s="189">
        <v>876</v>
      </c>
      <c r="C302" s="1">
        <v>46287</v>
      </c>
      <c r="D302" t="s">
        <v>5855</v>
      </c>
      <c r="E302" s="1">
        <v>46288</v>
      </c>
      <c r="F302" t="s">
        <v>5856</v>
      </c>
      <c r="G302" t="s">
        <v>540</v>
      </c>
      <c r="H302">
        <v>13780</v>
      </c>
      <c r="I302">
        <v>30830</v>
      </c>
      <c r="J302">
        <v>17050</v>
      </c>
      <c r="K302" t="s">
        <v>14</v>
      </c>
      <c r="L302"/>
      <c r="M302" t="s">
        <v>5905</v>
      </c>
      <c r="N302" t="s">
        <v>4045</v>
      </c>
      <c r="O302" s="228" t="s">
        <v>5241</v>
      </c>
      <c r="P302" s="99" t="s">
        <v>59</v>
      </c>
    </row>
    <row r="303" spans="1:16" ht="18.75" x14ac:dyDescent="0.3">
      <c r="A303" s="189" t="s">
        <v>4393</v>
      </c>
      <c r="B303" s="189">
        <v>877</v>
      </c>
      <c r="C303" s="1">
        <v>46288</v>
      </c>
      <c r="D303" t="s">
        <v>5857</v>
      </c>
      <c r="E303" s="1">
        <v>46288</v>
      </c>
      <c r="F303" t="s">
        <v>5858</v>
      </c>
      <c r="G303" t="s">
        <v>76</v>
      </c>
      <c r="H303">
        <v>13800</v>
      </c>
      <c r="I303">
        <v>30460</v>
      </c>
      <c r="J303">
        <v>16660</v>
      </c>
      <c r="K303" t="s">
        <v>14</v>
      </c>
      <c r="L303"/>
      <c r="M303" t="s">
        <v>5905</v>
      </c>
      <c r="N303" t="s">
        <v>4045</v>
      </c>
      <c r="O303" s="228" t="s">
        <v>5241</v>
      </c>
      <c r="P303" s="99" t="s">
        <v>66</v>
      </c>
    </row>
    <row r="304" spans="1:16" ht="18.75" x14ac:dyDescent="0.3">
      <c r="A304" s="189" t="s">
        <v>4397</v>
      </c>
      <c r="B304" s="189">
        <v>878</v>
      </c>
      <c r="C304" s="1">
        <v>46288</v>
      </c>
      <c r="D304" t="s">
        <v>5859</v>
      </c>
      <c r="E304" s="1">
        <v>46288</v>
      </c>
      <c r="F304" t="s">
        <v>5860</v>
      </c>
      <c r="G304" t="s">
        <v>80</v>
      </c>
      <c r="H304">
        <v>14040</v>
      </c>
      <c r="I304">
        <v>30830</v>
      </c>
      <c r="J304">
        <v>16790</v>
      </c>
      <c r="K304" t="s">
        <v>14</v>
      </c>
      <c r="L304"/>
      <c r="M304" t="s">
        <v>5905</v>
      </c>
      <c r="N304" t="s">
        <v>4045</v>
      </c>
      <c r="O304" s="228" t="s">
        <v>5241</v>
      </c>
      <c r="P304" s="99" t="s">
        <v>66</v>
      </c>
    </row>
    <row r="305" spans="1:16" ht="18.75" x14ac:dyDescent="0.3">
      <c r="A305" s="189" t="s">
        <v>4401</v>
      </c>
      <c r="B305" s="189">
        <v>879</v>
      </c>
      <c r="C305" s="1">
        <v>46288</v>
      </c>
      <c r="D305" t="s">
        <v>5861</v>
      </c>
      <c r="E305" s="1">
        <v>46288</v>
      </c>
      <c r="F305" t="s">
        <v>5862</v>
      </c>
      <c r="G305" t="s">
        <v>43</v>
      </c>
      <c r="H305">
        <v>14040</v>
      </c>
      <c r="I305">
        <v>30910</v>
      </c>
      <c r="J305">
        <v>16870</v>
      </c>
      <c r="K305" t="s">
        <v>14</v>
      </c>
      <c r="L305"/>
      <c r="M305" t="s">
        <v>5905</v>
      </c>
      <c r="N305" t="s">
        <v>4045</v>
      </c>
      <c r="O305" s="228" t="s">
        <v>5241</v>
      </c>
      <c r="P305" s="99" t="s">
        <v>111</v>
      </c>
    </row>
    <row r="306" spans="1:16" ht="18.75" x14ac:dyDescent="0.3">
      <c r="A306" s="189" t="s">
        <v>4405</v>
      </c>
      <c r="B306" s="189">
        <v>880</v>
      </c>
      <c r="C306" s="1">
        <v>46288</v>
      </c>
      <c r="D306" t="s">
        <v>5863</v>
      </c>
      <c r="E306" s="1">
        <v>46288</v>
      </c>
      <c r="F306" t="s">
        <v>5864</v>
      </c>
      <c r="G306" t="s">
        <v>537</v>
      </c>
      <c r="H306">
        <v>13870</v>
      </c>
      <c r="I306">
        <v>31730</v>
      </c>
      <c r="J306">
        <v>17860</v>
      </c>
      <c r="K306" t="s">
        <v>14</v>
      </c>
      <c r="L306"/>
      <c r="M306" t="s">
        <v>5905</v>
      </c>
      <c r="N306" t="s">
        <v>4045</v>
      </c>
      <c r="O306" s="228" t="s">
        <v>5241</v>
      </c>
      <c r="P306" s="99" t="s">
        <v>59</v>
      </c>
    </row>
    <row r="307" spans="1:16" ht="18.75" x14ac:dyDescent="0.3">
      <c r="A307" s="189" t="s">
        <v>4409</v>
      </c>
      <c r="B307" s="189">
        <v>881</v>
      </c>
      <c r="C307" s="1">
        <v>46288</v>
      </c>
      <c r="D307" t="s">
        <v>5865</v>
      </c>
      <c r="E307" s="1">
        <v>46288</v>
      </c>
      <c r="F307" t="s">
        <v>5866</v>
      </c>
      <c r="G307" t="s">
        <v>90</v>
      </c>
      <c r="H307">
        <v>13880</v>
      </c>
      <c r="I307">
        <v>30560</v>
      </c>
      <c r="J307">
        <v>16680</v>
      </c>
      <c r="K307" t="s">
        <v>14</v>
      </c>
      <c r="L307"/>
      <c r="M307" t="s">
        <v>5905</v>
      </c>
      <c r="N307" t="s">
        <v>4045</v>
      </c>
      <c r="O307" s="228" t="s">
        <v>5241</v>
      </c>
      <c r="P307" s="99" t="s">
        <v>66</v>
      </c>
    </row>
    <row r="308" spans="1:16" ht="18.75" x14ac:dyDescent="0.3">
      <c r="A308" s="189" t="s">
        <v>4413</v>
      </c>
      <c r="B308" s="189">
        <v>882</v>
      </c>
      <c r="C308" s="1">
        <v>46288</v>
      </c>
      <c r="D308" t="s">
        <v>5867</v>
      </c>
      <c r="E308" s="1">
        <v>46288</v>
      </c>
      <c r="F308" t="s">
        <v>5868</v>
      </c>
      <c r="G308" t="s">
        <v>85</v>
      </c>
      <c r="H308">
        <v>13840</v>
      </c>
      <c r="I308">
        <v>31130</v>
      </c>
      <c r="J308">
        <v>17290</v>
      </c>
      <c r="K308" t="s">
        <v>14</v>
      </c>
      <c r="L308"/>
      <c r="M308" t="s">
        <v>5905</v>
      </c>
      <c r="N308" t="s">
        <v>4045</v>
      </c>
      <c r="O308" s="228" t="s">
        <v>5241</v>
      </c>
      <c r="P308" s="99" t="s">
        <v>66</v>
      </c>
    </row>
    <row r="309" spans="1:16" ht="18.75" x14ac:dyDescent="0.3">
      <c r="A309" s="189" t="s">
        <v>4417</v>
      </c>
      <c r="B309" s="189">
        <v>883</v>
      </c>
      <c r="C309" s="1">
        <v>46288</v>
      </c>
      <c r="D309" t="s">
        <v>5869</v>
      </c>
      <c r="E309" s="1">
        <v>46288</v>
      </c>
      <c r="F309" t="s">
        <v>5870</v>
      </c>
      <c r="G309" t="s">
        <v>840</v>
      </c>
      <c r="H309">
        <v>13820</v>
      </c>
      <c r="I309">
        <v>32550</v>
      </c>
      <c r="J309">
        <v>18730</v>
      </c>
      <c r="K309" t="s">
        <v>14</v>
      </c>
      <c r="L309"/>
      <c r="M309" t="s">
        <v>5905</v>
      </c>
      <c r="N309" t="s">
        <v>4045</v>
      </c>
      <c r="O309" s="228" t="s">
        <v>5241</v>
      </c>
      <c r="P309" s="99" t="s">
        <v>59</v>
      </c>
    </row>
    <row r="310" spans="1:16" ht="18.75" x14ac:dyDescent="0.3">
      <c r="A310" s="189" t="s">
        <v>4421</v>
      </c>
      <c r="B310" s="189">
        <v>884</v>
      </c>
      <c r="C310" s="1">
        <v>46288</v>
      </c>
      <c r="D310" t="s">
        <v>5871</v>
      </c>
      <c r="E310" s="1">
        <v>46288</v>
      </c>
      <c r="F310" t="s">
        <v>5872</v>
      </c>
      <c r="G310" t="s">
        <v>143</v>
      </c>
      <c r="H310">
        <v>13960</v>
      </c>
      <c r="I310">
        <v>31540</v>
      </c>
      <c r="J310">
        <v>17580</v>
      </c>
      <c r="K310" t="s">
        <v>14</v>
      </c>
      <c r="L310"/>
      <c r="M310" t="s">
        <v>5905</v>
      </c>
      <c r="N310" t="s">
        <v>4045</v>
      </c>
      <c r="O310" s="228" t="s">
        <v>5241</v>
      </c>
      <c r="P310" s="99" t="s">
        <v>59</v>
      </c>
    </row>
    <row r="311" spans="1:16" ht="18.75" x14ac:dyDescent="0.3">
      <c r="A311" s="189" t="s">
        <v>4425</v>
      </c>
      <c r="B311" s="189">
        <v>885</v>
      </c>
      <c r="C311" s="1">
        <v>46288</v>
      </c>
      <c r="D311" t="s">
        <v>5873</v>
      </c>
      <c r="E311" s="1">
        <v>46288</v>
      </c>
      <c r="F311" t="s">
        <v>5874</v>
      </c>
      <c r="G311" t="s">
        <v>64</v>
      </c>
      <c r="H311">
        <v>14040</v>
      </c>
      <c r="I311">
        <v>31380</v>
      </c>
      <c r="J311">
        <v>17340</v>
      </c>
      <c r="K311" t="s">
        <v>14</v>
      </c>
      <c r="L311"/>
      <c r="M311" t="s">
        <v>5905</v>
      </c>
      <c r="N311" t="s">
        <v>4045</v>
      </c>
      <c r="O311" s="228" t="s">
        <v>5241</v>
      </c>
      <c r="P311" s="99" t="s">
        <v>66</v>
      </c>
    </row>
    <row r="312" spans="1:16" ht="18.75" x14ac:dyDescent="0.3">
      <c r="A312" s="189" t="s">
        <v>4429</v>
      </c>
      <c r="B312" s="189">
        <v>886</v>
      </c>
      <c r="C312" s="1">
        <v>46288</v>
      </c>
      <c r="D312" t="s">
        <v>5875</v>
      </c>
      <c r="E312" s="1">
        <v>46288</v>
      </c>
      <c r="F312" t="s">
        <v>5876</v>
      </c>
      <c r="G312" t="s">
        <v>335</v>
      </c>
      <c r="H312">
        <v>13980</v>
      </c>
      <c r="I312">
        <v>31100</v>
      </c>
      <c r="J312">
        <v>17120</v>
      </c>
      <c r="K312" t="s">
        <v>14</v>
      </c>
      <c r="L312"/>
      <c r="M312" t="s">
        <v>5905</v>
      </c>
      <c r="N312" t="s">
        <v>4045</v>
      </c>
      <c r="O312" s="228" t="s">
        <v>5241</v>
      </c>
      <c r="P312" s="99" t="s">
        <v>111</v>
      </c>
    </row>
    <row r="313" spans="1:16" ht="18.75" x14ac:dyDescent="0.3">
      <c r="A313" s="189" t="s">
        <v>4433</v>
      </c>
      <c r="B313" s="189">
        <v>887</v>
      </c>
      <c r="C313" s="1">
        <v>46288</v>
      </c>
      <c r="D313" t="s">
        <v>5877</v>
      </c>
      <c r="E313" s="1">
        <v>46288</v>
      </c>
      <c r="F313" t="s">
        <v>5878</v>
      </c>
      <c r="G313" t="s">
        <v>540</v>
      </c>
      <c r="H313">
        <v>13790</v>
      </c>
      <c r="I313">
        <v>31210</v>
      </c>
      <c r="J313">
        <v>17420</v>
      </c>
      <c r="K313" t="s">
        <v>14</v>
      </c>
      <c r="L313"/>
      <c r="M313" t="s">
        <v>5905</v>
      </c>
      <c r="N313" t="s">
        <v>4045</v>
      </c>
      <c r="O313" s="228" t="s">
        <v>5241</v>
      </c>
      <c r="P313" s="99" t="s">
        <v>59</v>
      </c>
    </row>
    <row r="314" spans="1:16" ht="18.75" x14ac:dyDescent="0.3">
      <c r="A314" s="189" t="s">
        <v>4437</v>
      </c>
      <c r="B314" s="189">
        <v>888</v>
      </c>
      <c r="C314" s="1">
        <v>46288</v>
      </c>
      <c r="D314" t="s">
        <v>5879</v>
      </c>
      <c r="E314" s="1">
        <v>46288</v>
      </c>
      <c r="F314" t="s">
        <v>5880</v>
      </c>
      <c r="G314" t="s">
        <v>55</v>
      </c>
      <c r="H314">
        <v>13950</v>
      </c>
      <c r="I314">
        <v>31810</v>
      </c>
      <c r="J314">
        <v>17860</v>
      </c>
      <c r="K314" t="s">
        <v>14</v>
      </c>
      <c r="L314"/>
      <c r="M314" t="s">
        <v>5905</v>
      </c>
      <c r="N314" t="s">
        <v>4045</v>
      </c>
      <c r="O314" s="228" t="s">
        <v>5241</v>
      </c>
      <c r="P314" s="99" t="s">
        <v>59</v>
      </c>
    </row>
    <row r="315" spans="1:16" ht="18.75" x14ac:dyDescent="0.3">
      <c r="A315" s="189" t="s">
        <v>4441</v>
      </c>
      <c r="B315" s="189">
        <v>889</v>
      </c>
      <c r="C315" s="1">
        <v>46288</v>
      </c>
      <c r="D315" t="s">
        <v>5881</v>
      </c>
      <c r="E315" s="1">
        <v>46288</v>
      </c>
      <c r="F315" t="s">
        <v>5882</v>
      </c>
      <c r="G315" t="s">
        <v>842</v>
      </c>
      <c r="H315">
        <v>14030</v>
      </c>
      <c r="I315">
        <v>33050</v>
      </c>
      <c r="J315">
        <v>19020</v>
      </c>
      <c r="K315" t="s">
        <v>14</v>
      </c>
      <c r="L315"/>
      <c r="M315" t="s">
        <v>5905</v>
      </c>
      <c r="N315" t="s">
        <v>4045</v>
      </c>
      <c r="O315" s="228" t="s">
        <v>5241</v>
      </c>
      <c r="P315" s="99" t="s">
        <v>59</v>
      </c>
    </row>
    <row r="316" spans="1:16" ht="18.75" x14ac:dyDescent="0.3">
      <c r="A316" s="189" t="s">
        <v>4445</v>
      </c>
      <c r="B316" s="189">
        <v>890</v>
      </c>
      <c r="C316" s="1">
        <v>46288</v>
      </c>
      <c r="D316" t="s">
        <v>5883</v>
      </c>
      <c r="E316" s="1">
        <v>46288</v>
      </c>
      <c r="F316" t="s">
        <v>5884</v>
      </c>
      <c r="G316" t="s">
        <v>43</v>
      </c>
      <c r="H316">
        <v>14030</v>
      </c>
      <c r="I316">
        <v>33590</v>
      </c>
      <c r="J316">
        <v>19560</v>
      </c>
      <c r="K316" t="s">
        <v>14</v>
      </c>
      <c r="L316"/>
      <c r="M316" t="s">
        <v>5905</v>
      </c>
      <c r="N316" t="s">
        <v>4045</v>
      </c>
      <c r="O316" s="228" t="s">
        <v>5241</v>
      </c>
      <c r="P316" s="99" t="s">
        <v>111</v>
      </c>
    </row>
    <row r="317" spans="1:16" ht="18.75" x14ac:dyDescent="0.3">
      <c r="A317" s="189" t="s">
        <v>4449</v>
      </c>
      <c r="B317" s="189">
        <v>891</v>
      </c>
      <c r="C317" s="1">
        <v>46288</v>
      </c>
      <c r="D317" t="s">
        <v>5885</v>
      </c>
      <c r="E317" s="1">
        <v>46288</v>
      </c>
      <c r="F317" t="s">
        <v>5886</v>
      </c>
      <c r="G317" t="s">
        <v>337</v>
      </c>
      <c r="H317">
        <v>13980</v>
      </c>
      <c r="I317">
        <v>32860</v>
      </c>
      <c r="J317">
        <v>18880</v>
      </c>
      <c r="K317" t="s">
        <v>14</v>
      </c>
      <c r="L317"/>
      <c r="M317" t="s">
        <v>5905</v>
      </c>
      <c r="N317" t="s">
        <v>4045</v>
      </c>
      <c r="O317" s="228" t="s">
        <v>5241</v>
      </c>
      <c r="P317" s="99" t="s">
        <v>111</v>
      </c>
    </row>
    <row r="318" spans="1:16" ht="18.75" x14ac:dyDescent="0.3">
      <c r="A318" s="189" t="s">
        <v>4452</v>
      </c>
      <c r="B318" s="189">
        <v>892</v>
      </c>
      <c r="C318" s="1">
        <v>46288</v>
      </c>
      <c r="D318" t="s">
        <v>5887</v>
      </c>
      <c r="E318" s="1">
        <v>46288</v>
      </c>
      <c r="F318" t="s">
        <v>5888</v>
      </c>
      <c r="G318" t="s">
        <v>80</v>
      </c>
      <c r="H318">
        <v>13980</v>
      </c>
      <c r="I318">
        <v>33570</v>
      </c>
      <c r="J318">
        <v>19590</v>
      </c>
      <c r="K318" t="s">
        <v>14</v>
      </c>
      <c r="L318"/>
      <c r="M318" t="s">
        <v>5905</v>
      </c>
      <c r="N318" t="s">
        <v>4045</v>
      </c>
      <c r="O318" s="228" t="s">
        <v>5241</v>
      </c>
      <c r="P318" s="99" t="s">
        <v>66</v>
      </c>
    </row>
    <row r="319" spans="1:16" ht="18.75" x14ac:dyDescent="0.3">
      <c r="A319" s="189" t="s">
        <v>4456</v>
      </c>
      <c r="B319" s="189">
        <v>893</v>
      </c>
      <c r="C319" s="1">
        <v>46288</v>
      </c>
      <c r="D319" t="s">
        <v>5889</v>
      </c>
      <c r="E319" s="1">
        <v>46288</v>
      </c>
      <c r="F319" t="s">
        <v>5890</v>
      </c>
      <c r="G319" t="s">
        <v>843</v>
      </c>
      <c r="H319">
        <v>14000</v>
      </c>
      <c r="I319">
        <v>32680</v>
      </c>
      <c r="J319">
        <v>18680</v>
      </c>
      <c r="K319" t="s">
        <v>14</v>
      </c>
      <c r="L319"/>
      <c r="M319" t="s">
        <v>5905</v>
      </c>
      <c r="N319" t="s">
        <v>4045</v>
      </c>
      <c r="O319" s="228" t="s">
        <v>5241</v>
      </c>
      <c r="P319" s="99" t="s">
        <v>111</v>
      </c>
    </row>
    <row r="320" spans="1:16" ht="18.75" x14ac:dyDescent="0.3">
      <c r="A320" s="189" t="s">
        <v>4459</v>
      </c>
      <c r="B320" s="189">
        <v>894</v>
      </c>
      <c r="C320" s="1">
        <v>46288</v>
      </c>
      <c r="D320" t="s">
        <v>5891</v>
      </c>
      <c r="E320" s="1">
        <v>46288</v>
      </c>
      <c r="F320" t="s">
        <v>5892</v>
      </c>
      <c r="G320" t="s">
        <v>71</v>
      </c>
      <c r="H320">
        <v>14100</v>
      </c>
      <c r="I320">
        <v>33300</v>
      </c>
      <c r="J320">
        <v>19200</v>
      </c>
      <c r="K320" t="s">
        <v>14</v>
      </c>
      <c r="L320"/>
      <c r="M320" t="s">
        <v>5905</v>
      </c>
      <c r="N320" t="s">
        <v>4045</v>
      </c>
      <c r="O320" s="228" t="s">
        <v>5241</v>
      </c>
      <c r="P320" s="99" t="s">
        <v>59</v>
      </c>
    </row>
    <row r="321" spans="1:16" ht="18.75" x14ac:dyDescent="0.3">
      <c r="A321" s="189" t="s">
        <v>4463</v>
      </c>
      <c r="B321" s="189">
        <v>895</v>
      </c>
      <c r="C321" s="1">
        <v>46288</v>
      </c>
      <c r="D321" t="s">
        <v>2993</v>
      </c>
      <c r="E321" s="1">
        <v>46288</v>
      </c>
      <c r="F321" t="s">
        <v>5893</v>
      </c>
      <c r="G321" t="s">
        <v>143</v>
      </c>
      <c r="H321">
        <v>13890</v>
      </c>
      <c r="I321">
        <v>33550</v>
      </c>
      <c r="J321">
        <v>19660</v>
      </c>
      <c r="K321" t="s">
        <v>14</v>
      </c>
      <c r="L321"/>
      <c r="M321" t="s">
        <v>5905</v>
      </c>
      <c r="N321" t="s">
        <v>4045</v>
      </c>
      <c r="O321" s="228" t="s">
        <v>5241</v>
      </c>
      <c r="P321" s="99" t="s">
        <v>59</v>
      </c>
    </row>
    <row r="322" spans="1:16" ht="18.75" x14ac:dyDescent="0.3">
      <c r="A322" s="189" t="s">
        <v>4467</v>
      </c>
      <c r="B322" s="189">
        <v>896</v>
      </c>
      <c r="C322" s="1">
        <v>46288</v>
      </c>
      <c r="D322" t="s">
        <v>4786</v>
      </c>
      <c r="E322" s="1">
        <v>46288</v>
      </c>
      <c r="F322" t="s">
        <v>5894</v>
      </c>
      <c r="G322" t="s">
        <v>537</v>
      </c>
      <c r="H322">
        <v>13810</v>
      </c>
      <c r="I322">
        <v>33050</v>
      </c>
      <c r="J322">
        <v>19240</v>
      </c>
      <c r="K322" t="s">
        <v>14</v>
      </c>
      <c r="L322"/>
      <c r="M322" t="s">
        <v>5905</v>
      </c>
      <c r="N322" t="s">
        <v>4045</v>
      </c>
      <c r="O322" s="228" t="s">
        <v>5241</v>
      </c>
      <c r="P322" s="99" t="s">
        <v>59</v>
      </c>
    </row>
    <row r="323" spans="1:16" ht="18.75" x14ac:dyDescent="0.3">
      <c r="A323" s="189" t="s">
        <v>4471</v>
      </c>
      <c r="B323" s="245">
        <v>897</v>
      </c>
      <c r="C323" s="1">
        <v>46288</v>
      </c>
      <c r="D323" t="s">
        <v>5895</v>
      </c>
      <c r="E323" s="1">
        <v>46288</v>
      </c>
      <c r="F323" t="s">
        <v>5896</v>
      </c>
      <c r="G323" t="s">
        <v>76</v>
      </c>
      <c r="H323">
        <v>14070</v>
      </c>
      <c r="I323">
        <v>32870</v>
      </c>
      <c r="J323">
        <v>18800</v>
      </c>
      <c r="K323" t="s">
        <v>14</v>
      </c>
      <c r="L323"/>
      <c r="M323" t="s">
        <v>5905</v>
      </c>
      <c r="N323" t="s">
        <v>4045</v>
      </c>
      <c r="O323" s="228" t="s">
        <v>5241</v>
      </c>
      <c r="P323" s="99" t="s">
        <v>66</v>
      </c>
    </row>
    <row r="324" spans="1:16" ht="18.75" x14ac:dyDescent="0.3">
      <c r="A324" s="264" t="s">
        <v>4475</v>
      </c>
      <c r="B324" s="265">
        <v>898</v>
      </c>
      <c r="C324" s="266">
        <v>46288</v>
      </c>
      <c r="D324" s="99" t="s">
        <v>5897</v>
      </c>
      <c r="E324" s="100">
        <v>46288</v>
      </c>
      <c r="F324" s="99" t="s">
        <v>5898</v>
      </c>
      <c r="G324" s="99" t="s">
        <v>335</v>
      </c>
      <c r="H324" s="267">
        <v>14050</v>
      </c>
      <c r="I324" s="267">
        <v>32670</v>
      </c>
      <c r="J324" s="267">
        <v>18620</v>
      </c>
      <c r="K324" t="s">
        <v>14</v>
      </c>
      <c r="L324" s="99"/>
      <c r="M324" t="s">
        <v>5905</v>
      </c>
      <c r="N324" s="99" t="s">
        <v>4045</v>
      </c>
      <c r="O324" s="228" t="s">
        <v>5241</v>
      </c>
      <c r="P324" s="99" t="s">
        <v>111</v>
      </c>
    </row>
    <row r="325" spans="1:16" ht="18.75" x14ac:dyDescent="0.3">
      <c r="A325" s="264" t="s">
        <v>4479</v>
      </c>
      <c r="B325" s="265">
        <v>899</v>
      </c>
      <c r="C325" s="266">
        <v>46288</v>
      </c>
      <c r="D325" s="99" t="s">
        <v>5899</v>
      </c>
      <c r="E325" s="100">
        <v>46288</v>
      </c>
      <c r="F325" s="99" t="s">
        <v>5900</v>
      </c>
      <c r="G325" s="99" t="s">
        <v>90</v>
      </c>
      <c r="H325" s="267">
        <v>13820</v>
      </c>
      <c r="I325" s="267">
        <v>32630</v>
      </c>
      <c r="J325" s="267">
        <v>18810</v>
      </c>
      <c r="K325" t="s">
        <v>14</v>
      </c>
      <c r="L325" s="99"/>
      <c r="M325" t="s">
        <v>5905</v>
      </c>
      <c r="N325" s="99" t="s">
        <v>4045</v>
      </c>
      <c r="O325" s="228" t="s">
        <v>5241</v>
      </c>
      <c r="P325" s="99" t="s">
        <v>66</v>
      </c>
    </row>
    <row r="326" spans="1:16" ht="18.75" x14ac:dyDescent="0.3">
      <c r="A326" s="264" t="s">
        <v>4483</v>
      </c>
      <c r="B326" s="265">
        <v>901</v>
      </c>
      <c r="C326" s="266">
        <v>46288</v>
      </c>
      <c r="D326" s="99" t="s">
        <v>5901</v>
      </c>
      <c r="E326" s="100">
        <v>46288</v>
      </c>
      <c r="F326" s="99" t="s">
        <v>5902</v>
      </c>
      <c r="G326" s="99" t="s">
        <v>85</v>
      </c>
      <c r="H326" s="267">
        <v>13740</v>
      </c>
      <c r="I326" s="267">
        <v>32910</v>
      </c>
      <c r="J326" s="267">
        <v>19170</v>
      </c>
      <c r="K326" t="s">
        <v>14</v>
      </c>
      <c r="L326" s="99"/>
      <c r="M326" t="s">
        <v>5905</v>
      </c>
      <c r="N326" s="99" t="s">
        <v>4045</v>
      </c>
      <c r="O326" s="228" t="s">
        <v>5241</v>
      </c>
      <c r="P326" s="99" t="s">
        <v>66</v>
      </c>
    </row>
    <row r="327" spans="1:16" ht="18.75" x14ac:dyDescent="0.3">
      <c r="A327" s="264" t="s">
        <v>4487</v>
      </c>
      <c r="B327" s="265">
        <v>902</v>
      </c>
      <c r="C327" s="266">
        <v>46288</v>
      </c>
      <c r="D327" s="99" t="s">
        <v>5903</v>
      </c>
      <c r="E327" s="100">
        <v>46288</v>
      </c>
      <c r="F327" s="99" t="s">
        <v>5904</v>
      </c>
      <c r="G327" s="99" t="s">
        <v>840</v>
      </c>
      <c r="H327" s="267">
        <v>13760</v>
      </c>
      <c r="I327" s="267">
        <v>33270</v>
      </c>
      <c r="J327" s="267">
        <v>19510</v>
      </c>
      <c r="K327" t="s">
        <v>14</v>
      </c>
      <c r="L327" s="99"/>
      <c r="M327" t="s">
        <v>5905</v>
      </c>
      <c r="N327" s="99" t="s">
        <v>4045</v>
      </c>
      <c r="O327" s="228" t="s">
        <v>5241</v>
      </c>
      <c r="P327" s="99" t="s">
        <v>59</v>
      </c>
    </row>
    <row r="328" spans="1:16" ht="18.75" x14ac:dyDescent="0.3">
      <c r="J328" s="190" t="s">
        <v>3111</v>
      </c>
      <c r="K328" t="s">
        <v>3112</v>
      </c>
      <c r="L328" t="s">
        <v>4033</v>
      </c>
      <c r="M328"/>
      <c r="N328"/>
      <c r="O328"/>
      <c r="P328"/>
    </row>
    <row r="329" spans="1:16" ht="18.75" x14ac:dyDescent="0.3">
      <c r="J329" s="189" t="s">
        <v>337</v>
      </c>
      <c r="K329" s="348">
        <v>19</v>
      </c>
      <c r="L329" s="348">
        <v>360010</v>
      </c>
      <c r="M329"/>
      <c r="N329"/>
      <c r="O329"/>
      <c r="P329"/>
    </row>
    <row r="330" spans="1:16" ht="18.75" x14ac:dyDescent="0.3">
      <c r="J330" s="189" t="s">
        <v>43</v>
      </c>
      <c r="K330" s="348">
        <v>21</v>
      </c>
      <c r="L330" s="348">
        <v>387230</v>
      </c>
      <c r="M330"/>
      <c r="N330"/>
      <c r="O330"/>
      <c r="P330"/>
    </row>
    <row r="331" spans="1:16" ht="18.75" x14ac:dyDescent="0.3">
      <c r="J331" s="189" t="s">
        <v>843</v>
      </c>
      <c r="K331" s="348">
        <v>19</v>
      </c>
      <c r="L331" s="348">
        <v>353770</v>
      </c>
      <c r="M331"/>
      <c r="N331"/>
      <c r="O331"/>
      <c r="P331"/>
    </row>
    <row r="332" spans="1:16" ht="18.75" x14ac:dyDescent="0.3">
      <c r="J332" s="189" t="s">
        <v>336</v>
      </c>
      <c r="K332" s="348">
        <v>18</v>
      </c>
      <c r="L332" s="348">
        <v>337360</v>
      </c>
      <c r="M332"/>
      <c r="N332"/>
      <c r="O332"/>
      <c r="P332"/>
    </row>
    <row r="333" spans="1:16" ht="18.75" x14ac:dyDescent="0.3">
      <c r="J333" s="189" t="s">
        <v>335</v>
      </c>
      <c r="K333" s="348">
        <v>23</v>
      </c>
      <c r="L333" s="348">
        <v>432010</v>
      </c>
      <c r="M333"/>
      <c r="N333"/>
      <c r="O333"/>
      <c r="P333"/>
    </row>
    <row r="334" spans="1:16" ht="18.75" x14ac:dyDescent="0.3">
      <c r="J334" s="189" t="s">
        <v>80</v>
      </c>
      <c r="K334" s="348">
        <v>15</v>
      </c>
      <c r="L334" s="348">
        <v>279980</v>
      </c>
      <c r="M334"/>
      <c r="N334"/>
      <c r="O334"/>
      <c r="P334"/>
    </row>
    <row r="335" spans="1:16" ht="18.75" x14ac:dyDescent="0.3">
      <c r="J335" s="189" t="s">
        <v>90</v>
      </c>
      <c r="K335" s="348">
        <v>12</v>
      </c>
      <c r="L335" s="348">
        <v>224990</v>
      </c>
    </row>
    <row r="336" spans="1:16" ht="18.75" x14ac:dyDescent="0.3">
      <c r="J336" s="189" t="s">
        <v>85</v>
      </c>
      <c r="K336" s="348">
        <v>16</v>
      </c>
      <c r="L336" s="348">
        <v>303200</v>
      </c>
    </row>
    <row r="337" spans="10:12" ht="18.75" x14ac:dyDescent="0.3">
      <c r="J337" s="189" t="s">
        <v>64</v>
      </c>
      <c r="K337" s="348">
        <v>19</v>
      </c>
      <c r="L337" s="348">
        <v>356520</v>
      </c>
    </row>
    <row r="338" spans="10:12" ht="18.75" x14ac:dyDescent="0.3">
      <c r="J338" s="189" t="s">
        <v>55</v>
      </c>
      <c r="K338" s="348">
        <v>20</v>
      </c>
      <c r="L338" s="348">
        <v>378280</v>
      </c>
    </row>
    <row r="339" spans="10:12" ht="18.75" x14ac:dyDescent="0.3">
      <c r="J339" s="189" t="s">
        <v>143</v>
      </c>
      <c r="K339" s="348">
        <v>25</v>
      </c>
      <c r="L339" s="348">
        <v>466470</v>
      </c>
    </row>
    <row r="340" spans="10:12" ht="18.75" x14ac:dyDescent="0.3">
      <c r="J340" s="189" t="s">
        <v>840</v>
      </c>
      <c r="K340" s="348">
        <v>21</v>
      </c>
      <c r="L340" s="348">
        <v>396960</v>
      </c>
    </row>
    <row r="341" spans="10:12" ht="18.75" x14ac:dyDescent="0.3">
      <c r="J341" s="189" t="s">
        <v>537</v>
      </c>
      <c r="K341" s="348">
        <v>19</v>
      </c>
      <c r="L341" s="348">
        <v>362840</v>
      </c>
    </row>
    <row r="342" spans="10:12" ht="18.75" x14ac:dyDescent="0.3">
      <c r="J342" s="189" t="s">
        <v>71</v>
      </c>
      <c r="K342" s="348">
        <v>21</v>
      </c>
      <c r="L342" s="348">
        <v>397310</v>
      </c>
    </row>
    <row r="343" spans="10:12" ht="18.75" x14ac:dyDescent="0.3">
      <c r="J343" s="189" t="s">
        <v>76</v>
      </c>
      <c r="K343" s="348">
        <v>15</v>
      </c>
      <c r="L343" s="348">
        <v>287440</v>
      </c>
    </row>
    <row r="344" spans="10:12" ht="18.75" x14ac:dyDescent="0.3">
      <c r="J344" s="189" t="s">
        <v>842</v>
      </c>
      <c r="K344" s="348">
        <v>19</v>
      </c>
      <c r="L344" s="348">
        <v>364120</v>
      </c>
    </row>
    <row r="345" spans="10:12" ht="18.75" x14ac:dyDescent="0.3">
      <c r="J345" s="189" t="s">
        <v>540</v>
      </c>
      <c r="K345" s="348">
        <v>24</v>
      </c>
      <c r="L345" s="348">
        <v>455190</v>
      </c>
    </row>
    <row r="346" spans="10:12" ht="18.75" x14ac:dyDescent="0.3">
      <c r="J346" s="189" t="s">
        <v>3081</v>
      </c>
      <c r="K346" s="348">
        <v>326</v>
      </c>
      <c r="L346" s="348">
        <v>6143680</v>
      </c>
    </row>
    <row r="347" spans="10:12" ht="18.75" x14ac:dyDescent="0.3">
      <c r="J347"/>
      <c r="K347"/>
      <c r="L347"/>
    </row>
    <row r="348" spans="10:12" ht="18.75" x14ac:dyDescent="0.3">
      <c r="J348"/>
      <c r="K348"/>
      <c r="L348"/>
    </row>
    <row r="349" spans="10:12" ht="18.75" x14ac:dyDescent="0.3">
      <c r="J349"/>
      <c r="K349"/>
      <c r="L349"/>
    </row>
    <row r="350" spans="10:12" ht="18.75" x14ac:dyDescent="0.3">
      <c r="J350"/>
      <c r="K350"/>
      <c r="L350"/>
    </row>
    <row r="351" spans="10:12" ht="18.75" x14ac:dyDescent="0.3">
      <c r="J351"/>
      <c r="K351"/>
      <c r="L351"/>
    </row>
    <row r="352" spans="10:12" ht="18.75" x14ac:dyDescent="0.3">
      <c r="J352"/>
      <c r="K352"/>
      <c r="L352"/>
    </row>
    <row r="353" spans="10:12" ht="18.75" x14ac:dyDescent="0.3">
      <c r="J353"/>
      <c r="K353"/>
      <c r="L353"/>
    </row>
    <row r="354" spans="10:12" ht="18.75" x14ac:dyDescent="0.3">
      <c r="J354"/>
      <c r="K354"/>
      <c r="L354"/>
    </row>
    <row r="355" spans="10:12" ht="18.75" x14ac:dyDescent="0.3">
      <c r="J355"/>
      <c r="K355"/>
      <c r="L355"/>
    </row>
    <row r="356" spans="10:12" ht="18.75" x14ac:dyDescent="0.3">
      <c r="J356"/>
      <c r="K356"/>
      <c r="L356"/>
    </row>
    <row r="357" spans="10:12" ht="18.75" x14ac:dyDescent="0.3">
      <c r="J357"/>
      <c r="K357"/>
      <c r="L357"/>
    </row>
    <row r="358" spans="10:12" ht="18.75" x14ac:dyDescent="0.3">
      <c r="J358"/>
      <c r="K358"/>
      <c r="L358"/>
    </row>
    <row r="359" spans="10:12" ht="18.75" x14ac:dyDescent="0.3">
      <c r="J359"/>
      <c r="K359"/>
      <c r="L359"/>
    </row>
    <row r="360" spans="10:12" ht="18.75" x14ac:dyDescent="0.3">
      <c r="J360"/>
      <c r="K360"/>
      <c r="L360"/>
    </row>
    <row r="361" spans="10:12" ht="18.75" x14ac:dyDescent="0.3">
      <c r="J361"/>
      <c r="K361"/>
      <c r="L361"/>
    </row>
  </sheetData>
  <phoneticPr fontId="13" type="noConversion"/>
  <conditionalFormatting sqref="K2:K327">
    <cfRule type="expression" dxfId="27" priority="1">
      <formula>AND(#REF!&gt;0,#REF!="QC")</formula>
    </cfRule>
  </conditionalFormatting>
  <pageMargins left="0.7" right="0.7" top="0.75" bottom="0.75" header="0.3" footer="0.3"/>
  <pageSetup paperSize="9" orientation="portrait" verticalDpi="0"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workbookViewId="0">
      <selection activeCell="G8" sqref="G8"/>
    </sheetView>
  </sheetViews>
  <sheetFormatPr defaultColWidth="7.77734375" defaultRowHeight="18.75" x14ac:dyDescent="0.3"/>
  <cols>
    <col min="1" max="1" width="13.21875" style="229" customWidth="1"/>
    <col min="2" max="2" width="7.77734375" style="230"/>
    <col min="3" max="3" width="16.33203125" style="228" customWidth="1"/>
    <col min="4" max="4" width="7.77734375" style="228"/>
    <col min="5" max="5" width="16.88671875" style="228" customWidth="1"/>
    <col min="6" max="6" width="16.109375" style="228" customWidth="1"/>
    <col min="7" max="7" width="20.33203125" style="228" customWidth="1"/>
    <col min="8" max="16384" width="7.77734375" style="228"/>
  </cols>
  <sheetData>
    <row r="1" spans="1:8" ht="36" customHeight="1" x14ac:dyDescent="0.3">
      <c r="A1" s="314" t="s">
        <v>3084</v>
      </c>
      <c r="B1" s="314"/>
      <c r="C1" s="314"/>
      <c r="D1" s="314"/>
      <c r="E1" s="314"/>
      <c r="F1" s="314"/>
      <c r="G1" s="314"/>
    </row>
    <row r="2" spans="1:8" x14ac:dyDescent="0.3">
      <c r="A2" s="229" t="s">
        <v>15</v>
      </c>
      <c r="B2" s="230" t="s">
        <v>21</v>
      </c>
      <c r="C2" s="228" t="s">
        <v>22</v>
      </c>
      <c r="D2" s="228" t="s">
        <v>16</v>
      </c>
      <c r="E2" s="228" t="s">
        <v>18</v>
      </c>
      <c r="F2" s="228" t="s">
        <v>19</v>
      </c>
      <c r="G2" s="228" t="s">
        <v>20</v>
      </c>
      <c r="H2" s="228" t="s">
        <v>24</v>
      </c>
    </row>
    <row r="3" spans="1:8" x14ac:dyDescent="0.3">
      <c r="A3" s="347">
        <v>46285</v>
      </c>
      <c r="B3" s="228" t="s">
        <v>5241</v>
      </c>
      <c r="C3" s="231" t="s">
        <v>3104</v>
      </c>
      <c r="D3" s="228" t="s">
        <v>334</v>
      </c>
      <c r="E3" s="232">
        <v>385</v>
      </c>
      <c r="F3">
        <v>29940</v>
      </c>
      <c r="G3" s="256">
        <v>46282</v>
      </c>
      <c r="H3" s="228" t="s">
        <v>527</v>
      </c>
    </row>
    <row r="4" spans="1:8" x14ac:dyDescent="0.3">
      <c r="A4" s="347">
        <v>46285</v>
      </c>
      <c r="B4" s="228" t="s">
        <v>5241</v>
      </c>
      <c r="C4" s="231" t="s">
        <v>3106</v>
      </c>
      <c r="D4" s="228" t="s">
        <v>334</v>
      </c>
      <c r="E4" s="232">
        <v>427</v>
      </c>
      <c r="F4">
        <v>29940</v>
      </c>
      <c r="G4" s="256">
        <v>46282</v>
      </c>
      <c r="H4" s="228" t="s">
        <v>527</v>
      </c>
    </row>
    <row r="5" spans="1:8" x14ac:dyDescent="0.3">
      <c r="A5" s="347">
        <v>46285</v>
      </c>
      <c r="B5" s="228" t="s">
        <v>5241</v>
      </c>
      <c r="C5" s="231" t="s">
        <v>3107</v>
      </c>
      <c r="D5" s="228" t="s">
        <v>334</v>
      </c>
      <c r="E5" s="232">
        <v>447</v>
      </c>
      <c r="F5">
        <v>29940</v>
      </c>
      <c r="G5" s="256">
        <v>46282</v>
      </c>
      <c r="H5" s="228" t="s">
        <v>527</v>
      </c>
    </row>
    <row r="6" spans="1:8" x14ac:dyDescent="0.3">
      <c r="A6" s="347">
        <v>46285</v>
      </c>
      <c r="B6" s="228" t="s">
        <v>5241</v>
      </c>
      <c r="C6" s="231" t="s">
        <v>3108</v>
      </c>
      <c r="D6" s="228" t="s">
        <v>334</v>
      </c>
      <c r="E6" s="232">
        <v>365</v>
      </c>
      <c r="F6">
        <v>29940</v>
      </c>
      <c r="G6" s="256">
        <v>46282</v>
      </c>
      <c r="H6" s="228" t="s">
        <v>527</v>
      </c>
    </row>
    <row r="7" spans="1:8" x14ac:dyDescent="0.3">
      <c r="A7" s="347">
        <v>46285</v>
      </c>
      <c r="B7" s="228" t="s">
        <v>5241</v>
      </c>
      <c r="C7" s="231" t="s">
        <v>298</v>
      </c>
      <c r="D7" s="228" t="s">
        <v>334</v>
      </c>
      <c r="E7" s="232">
        <v>402</v>
      </c>
      <c r="F7">
        <v>29940</v>
      </c>
      <c r="G7" s="256">
        <v>46282</v>
      </c>
      <c r="H7" s="228" t="s">
        <v>527</v>
      </c>
    </row>
    <row r="8" spans="1:8" x14ac:dyDescent="0.3">
      <c r="A8" s="347">
        <v>46285</v>
      </c>
      <c r="B8" s="228" t="s">
        <v>5241</v>
      </c>
      <c r="C8" s="231" t="s">
        <v>5239</v>
      </c>
      <c r="D8" s="228" t="s">
        <v>334</v>
      </c>
      <c r="E8" s="232">
        <v>293</v>
      </c>
      <c r="F8">
        <v>29940</v>
      </c>
      <c r="G8" s="256">
        <v>46282</v>
      </c>
      <c r="H8" s="228" t="s">
        <v>527</v>
      </c>
    </row>
    <row r="9" spans="1:8" x14ac:dyDescent="0.3">
      <c r="A9" s="347">
        <v>46285</v>
      </c>
      <c r="B9" s="228" t="s">
        <v>5241</v>
      </c>
      <c r="C9" s="231" t="s">
        <v>307</v>
      </c>
      <c r="D9" s="228" t="s">
        <v>334</v>
      </c>
      <c r="E9" s="232">
        <v>389</v>
      </c>
      <c r="F9">
        <v>29940</v>
      </c>
      <c r="G9" s="256">
        <v>46282</v>
      </c>
      <c r="H9" s="228" t="s">
        <v>527</v>
      </c>
    </row>
    <row r="10" spans="1:8" x14ac:dyDescent="0.3">
      <c r="A10" s="347">
        <v>46285</v>
      </c>
      <c r="B10" s="228" t="s">
        <v>5241</v>
      </c>
      <c r="C10" s="231" t="s">
        <v>5240</v>
      </c>
      <c r="D10" s="228" t="s">
        <v>334</v>
      </c>
      <c r="E10" s="232">
        <v>184</v>
      </c>
      <c r="F10">
        <v>29940</v>
      </c>
      <c r="G10" s="256">
        <v>46282</v>
      </c>
      <c r="H10" s="228" t="s">
        <v>527</v>
      </c>
    </row>
    <row r="11" spans="1:8" x14ac:dyDescent="0.3">
      <c r="A11" s="347">
        <v>46286</v>
      </c>
      <c r="B11" s="228" t="s">
        <v>5241</v>
      </c>
      <c r="C11" s="231" t="s">
        <v>4032</v>
      </c>
      <c r="D11" s="228" t="s">
        <v>334</v>
      </c>
      <c r="E11" s="232">
        <v>373</v>
      </c>
      <c r="F11">
        <v>29940</v>
      </c>
      <c r="G11" s="256">
        <v>46282</v>
      </c>
      <c r="H11" s="228" t="s">
        <v>527</v>
      </c>
    </row>
    <row r="12" spans="1:8" x14ac:dyDescent="0.3">
      <c r="A12" s="347">
        <v>46286</v>
      </c>
      <c r="B12" s="228" t="s">
        <v>5241</v>
      </c>
      <c r="C12" s="231" t="s">
        <v>3107</v>
      </c>
      <c r="D12" s="228" t="s">
        <v>334</v>
      </c>
      <c r="E12" s="232">
        <v>367</v>
      </c>
      <c r="F12">
        <v>29940</v>
      </c>
      <c r="G12" s="256">
        <v>46282</v>
      </c>
      <c r="H12" s="228" t="s">
        <v>527</v>
      </c>
    </row>
    <row r="13" spans="1:8" x14ac:dyDescent="0.3">
      <c r="A13" s="347">
        <v>46286</v>
      </c>
      <c r="B13" s="228" t="s">
        <v>5241</v>
      </c>
      <c r="C13" s="231" t="s">
        <v>307</v>
      </c>
      <c r="D13" s="228" t="s">
        <v>334</v>
      </c>
      <c r="E13" s="232">
        <v>383</v>
      </c>
      <c r="F13">
        <v>29940</v>
      </c>
      <c r="G13" s="256">
        <v>46282</v>
      </c>
      <c r="H13" s="228" t="s">
        <v>527</v>
      </c>
    </row>
    <row r="14" spans="1:8" x14ac:dyDescent="0.3">
      <c r="A14" s="347">
        <v>46286</v>
      </c>
      <c r="B14" s="228" t="s">
        <v>5241</v>
      </c>
      <c r="C14" s="231" t="s">
        <v>5240</v>
      </c>
      <c r="D14" s="228" t="s">
        <v>334</v>
      </c>
      <c r="E14" s="232">
        <v>171</v>
      </c>
      <c r="F14">
        <v>29940</v>
      </c>
      <c r="G14" s="256">
        <v>46282</v>
      </c>
      <c r="H14" s="228" t="s">
        <v>527</v>
      </c>
    </row>
    <row r="15" spans="1:8" x14ac:dyDescent="0.3">
      <c r="A15" s="347">
        <v>46287</v>
      </c>
      <c r="B15" s="228" t="s">
        <v>5241</v>
      </c>
      <c r="C15" s="231" t="s">
        <v>3104</v>
      </c>
      <c r="D15" s="228" t="s">
        <v>334</v>
      </c>
      <c r="E15" s="232">
        <v>289</v>
      </c>
      <c r="F15">
        <v>29940</v>
      </c>
      <c r="G15" s="256">
        <v>46287</v>
      </c>
      <c r="H15" s="228" t="s">
        <v>527</v>
      </c>
    </row>
    <row r="16" spans="1:8" x14ac:dyDescent="0.3">
      <c r="A16" s="347">
        <v>46287</v>
      </c>
      <c r="B16" s="228" t="s">
        <v>5241</v>
      </c>
      <c r="C16" s="231" t="s">
        <v>301</v>
      </c>
      <c r="D16" s="228" t="s">
        <v>334</v>
      </c>
      <c r="E16" s="232">
        <v>336</v>
      </c>
      <c r="F16">
        <v>29940</v>
      </c>
      <c r="G16" s="256">
        <v>46287</v>
      </c>
      <c r="H16" s="228" t="s">
        <v>527</v>
      </c>
    </row>
    <row r="17" spans="1:8" x14ac:dyDescent="0.3">
      <c r="A17" s="347">
        <v>46288</v>
      </c>
      <c r="B17" s="228" t="s">
        <v>5241</v>
      </c>
      <c r="C17" s="231" t="s">
        <v>3103</v>
      </c>
      <c r="D17" s="228" t="s">
        <v>334</v>
      </c>
      <c r="E17" s="232">
        <v>370</v>
      </c>
      <c r="F17">
        <v>29940</v>
      </c>
      <c r="G17" s="256">
        <v>46287</v>
      </c>
      <c r="H17" s="228" t="s">
        <v>527</v>
      </c>
    </row>
    <row r="18" spans="1:8" x14ac:dyDescent="0.3">
      <c r="A18" s="347">
        <v>46288</v>
      </c>
      <c r="B18" s="228" t="s">
        <v>5241</v>
      </c>
      <c r="C18" s="231" t="s">
        <v>3105</v>
      </c>
      <c r="D18" s="228" t="s">
        <v>334</v>
      </c>
      <c r="E18" s="232">
        <v>472</v>
      </c>
      <c r="F18">
        <v>29940</v>
      </c>
      <c r="G18" s="256">
        <v>46287</v>
      </c>
      <c r="H18" s="228" t="s">
        <v>527</v>
      </c>
    </row>
    <row r="19" spans="1:8" x14ac:dyDescent="0.3">
      <c r="A19" s="347">
        <v>46288</v>
      </c>
      <c r="B19" s="228" t="s">
        <v>5241</v>
      </c>
      <c r="C19" s="231" t="s">
        <v>5240</v>
      </c>
      <c r="D19" s="228" t="s">
        <v>334</v>
      </c>
      <c r="E19" s="232">
        <v>168</v>
      </c>
      <c r="F19">
        <v>29940</v>
      </c>
      <c r="G19" s="256">
        <v>46287</v>
      </c>
      <c r="H19" s="228" t="s">
        <v>527</v>
      </c>
    </row>
    <row r="20" spans="1:8" x14ac:dyDescent="0.3">
      <c r="A20" s="347">
        <v>46288</v>
      </c>
      <c r="B20" s="228" t="s">
        <v>5241</v>
      </c>
      <c r="C20" s="231" t="s">
        <v>5240</v>
      </c>
      <c r="D20" s="228" t="s">
        <v>334</v>
      </c>
      <c r="E20" s="232">
        <v>32</v>
      </c>
      <c r="F20">
        <v>29940</v>
      </c>
      <c r="G20" s="256">
        <v>46287</v>
      </c>
      <c r="H20" s="228" t="s">
        <v>527</v>
      </c>
    </row>
    <row r="21" spans="1:8" x14ac:dyDescent="0.3">
      <c r="A21" s="342"/>
      <c r="B21" s="343"/>
      <c r="C21" s="344"/>
      <c r="D21" s="344"/>
      <c r="E21" s="345"/>
      <c r="F21" s="344"/>
      <c r="G21" s="343"/>
      <c r="H21" s="346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9"/>
  <sheetViews>
    <sheetView workbookViewId="0">
      <selection activeCell="D15" sqref="D15"/>
    </sheetView>
  </sheetViews>
  <sheetFormatPr defaultColWidth="8.88671875" defaultRowHeight="15" x14ac:dyDescent="0.25"/>
  <cols>
    <col min="1" max="1" width="4.21875" style="11" customWidth="1"/>
    <col min="2" max="2" width="6.44140625" style="11" customWidth="1"/>
    <col min="3" max="3" width="9.109375" style="40" customWidth="1"/>
    <col min="4" max="4" width="8.21875" style="11" customWidth="1"/>
    <col min="5" max="5" width="9.109375" style="11" customWidth="1"/>
    <col min="6" max="6" width="8.21875" style="11" customWidth="1"/>
    <col min="7" max="7" width="8.109375" style="11" customWidth="1"/>
    <col min="8" max="9" width="8.21875" style="11" customWidth="1"/>
    <col min="10" max="10" width="10.88671875" style="11" customWidth="1"/>
    <col min="11" max="11" width="8.88671875" style="41" customWidth="1"/>
    <col min="12" max="12" width="17.33203125" style="11" bestFit="1" customWidth="1"/>
    <col min="13" max="13" width="12.21875" style="11" customWidth="1"/>
    <col min="14" max="14" width="9.44140625" style="11" bestFit="1" customWidth="1"/>
    <col min="15" max="15" width="31.5546875" style="11" bestFit="1" customWidth="1"/>
    <col min="16" max="16" width="23.109375" style="11" customWidth="1"/>
    <col min="17" max="17" width="11.6640625" style="12" customWidth="1"/>
    <col min="18" max="16384" width="8.88671875" style="11"/>
  </cols>
  <sheetData>
    <row r="1" spans="1:17" ht="15.75" x14ac:dyDescent="0.25">
      <c r="A1" s="325" t="s">
        <v>45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10"/>
    </row>
    <row r="2" spans="1:17" ht="15.75" x14ac:dyDescent="0.25">
      <c r="A2" s="9" t="s">
        <v>46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</row>
    <row r="3" spans="1:17" ht="20.25" customHeight="1" x14ac:dyDescent="0.3">
      <c r="A3" s="13" t="s">
        <v>47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4"/>
      <c r="O3" s="15"/>
      <c r="P3" s="15"/>
      <c r="Q3" s="16"/>
    </row>
    <row r="4" spans="1:17" ht="15.75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/>
      <c r="O4" s="12"/>
      <c r="P4" s="12"/>
    </row>
    <row r="5" spans="1:17" x14ac:dyDescent="0.25">
      <c r="A5" s="17"/>
      <c r="B5" s="17"/>
      <c r="C5" s="18"/>
      <c r="D5" s="17"/>
      <c r="E5" s="17"/>
      <c r="F5" s="17"/>
      <c r="G5" s="17">
        <f>SUBTOTAL(3,G7:G8744)</f>
        <v>63</v>
      </c>
      <c r="H5" s="17"/>
      <c r="I5" s="17"/>
      <c r="J5" s="19">
        <f>SUBTOTAL(9,$J$7:$J$8744)</f>
        <v>1146690</v>
      </c>
      <c r="K5" s="20"/>
      <c r="L5" s="17"/>
      <c r="M5" s="17"/>
      <c r="N5" s="17"/>
      <c r="O5" s="21"/>
      <c r="P5" s="21"/>
      <c r="Q5" s="12">
        <f>SUBTOTAL(9,$Q$7:$Q$8744)</f>
        <v>1146.69</v>
      </c>
    </row>
    <row r="6" spans="1:17" s="15" customFormat="1" ht="30" customHeight="1" x14ac:dyDescent="0.25">
      <c r="A6" s="22" t="s">
        <v>0</v>
      </c>
      <c r="B6" s="23" t="s">
        <v>1</v>
      </c>
      <c r="C6" s="24" t="s">
        <v>2</v>
      </c>
      <c r="D6" s="25" t="s">
        <v>3</v>
      </c>
      <c r="E6" s="26" t="s">
        <v>4</v>
      </c>
      <c r="F6" s="26" t="s">
        <v>5</v>
      </c>
      <c r="G6" s="26" t="s">
        <v>6</v>
      </c>
      <c r="H6" s="26" t="s">
        <v>7</v>
      </c>
      <c r="I6" s="26" t="s">
        <v>8</v>
      </c>
      <c r="J6" s="26" t="s">
        <v>9</v>
      </c>
      <c r="K6" s="26" t="s">
        <v>10</v>
      </c>
      <c r="L6" s="26" t="s">
        <v>11</v>
      </c>
      <c r="M6" s="27" t="s">
        <v>48</v>
      </c>
      <c r="N6" s="28" t="s">
        <v>13</v>
      </c>
      <c r="O6" s="29" t="s">
        <v>49</v>
      </c>
      <c r="P6" s="29" t="s">
        <v>50</v>
      </c>
      <c r="Q6" s="30" t="s">
        <v>44</v>
      </c>
    </row>
    <row r="7" spans="1:17" x14ac:dyDescent="0.25">
      <c r="A7" s="31" t="s">
        <v>51</v>
      </c>
      <c r="B7" s="32">
        <v>4442</v>
      </c>
      <c r="C7" s="33" t="s">
        <v>52</v>
      </c>
      <c r="D7" s="34" t="s">
        <v>53</v>
      </c>
      <c r="E7" s="33" t="s">
        <v>52</v>
      </c>
      <c r="F7" s="34" t="s">
        <v>54</v>
      </c>
      <c r="G7" s="35" t="s">
        <v>55</v>
      </c>
      <c r="H7" s="36">
        <v>14020</v>
      </c>
      <c r="I7" s="36">
        <v>30870</v>
      </c>
      <c r="J7" s="36">
        <v>16850</v>
      </c>
      <c r="K7" s="35" t="s">
        <v>14</v>
      </c>
      <c r="L7" s="35" t="s">
        <v>56</v>
      </c>
      <c r="M7" s="37" t="s">
        <v>57</v>
      </c>
      <c r="N7" s="32" t="s">
        <v>58</v>
      </c>
      <c r="O7" s="38" t="s">
        <v>59</v>
      </c>
      <c r="P7" s="38" t="s">
        <v>60</v>
      </c>
      <c r="Q7" s="39">
        <f t="shared" ref="Q7:Q69" si="0">+J7/1000</f>
        <v>16.850000000000001</v>
      </c>
    </row>
    <row r="8" spans="1:17" x14ac:dyDescent="0.25">
      <c r="A8" s="31" t="s">
        <v>61</v>
      </c>
      <c r="B8" s="32">
        <f>+B7+1</f>
        <v>4443</v>
      </c>
      <c r="C8" s="33" t="s">
        <v>52</v>
      </c>
      <c r="D8" s="34" t="s">
        <v>62</v>
      </c>
      <c r="E8" s="33" t="s">
        <v>52</v>
      </c>
      <c r="F8" s="34" t="s">
        <v>63</v>
      </c>
      <c r="G8" s="35" t="s">
        <v>64</v>
      </c>
      <c r="H8" s="36">
        <v>14180</v>
      </c>
      <c r="I8" s="36">
        <v>32310</v>
      </c>
      <c r="J8" s="36">
        <v>18130</v>
      </c>
      <c r="K8" s="35" t="s">
        <v>14</v>
      </c>
      <c r="L8" s="35" t="s">
        <v>65</v>
      </c>
      <c r="M8" s="37" t="s">
        <v>57</v>
      </c>
      <c r="N8" s="32" t="s">
        <v>58</v>
      </c>
      <c r="O8" s="38" t="s">
        <v>66</v>
      </c>
      <c r="P8" s="38" t="s">
        <v>67</v>
      </c>
      <c r="Q8" s="39">
        <f t="shared" si="0"/>
        <v>18.13</v>
      </c>
    </row>
    <row r="9" spans="1:17" x14ac:dyDescent="0.25">
      <c r="A9" s="31" t="s">
        <v>68</v>
      </c>
      <c r="B9" s="32">
        <f t="shared" ref="B9:B69" si="1">+B8+1</f>
        <v>4444</v>
      </c>
      <c r="C9" s="33" t="s">
        <v>52</v>
      </c>
      <c r="D9" s="34" t="s">
        <v>69</v>
      </c>
      <c r="E9" s="33" t="s">
        <v>52</v>
      </c>
      <c r="F9" s="34" t="s">
        <v>70</v>
      </c>
      <c r="G9" s="35" t="s">
        <v>71</v>
      </c>
      <c r="H9" s="36">
        <v>13780</v>
      </c>
      <c r="I9" s="36">
        <v>32520</v>
      </c>
      <c r="J9" s="36">
        <v>18740</v>
      </c>
      <c r="K9" s="35" t="s">
        <v>14</v>
      </c>
      <c r="L9" s="35" t="s">
        <v>72</v>
      </c>
      <c r="M9" s="37" t="s">
        <v>57</v>
      </c>
      <c r="N9" s="32" t="s">
        <v>58</v>
      </c>
      <c r="O9" s="38" t="s">
        <v>59</v>
      </c>
      <c r="P9" s="38" t="s">
        <v>60</v>
      </c>
      <c r="Q9" s="39">
        <f t="shared" si="0"/>
        <v>18.739999999999998</v>
      </c>
    </row>
    <row r="10" spans="1:17" x14ac:dyDescent="0.25">
      <c r="A10" s="31" t="s">
        <v>73</v>
      </c>
      <c r="B10" s="32">
        <f t="shared" si="1"/>
        <v>4445</v>
      </c>
      <c r="C10" s="33" t="s">
        <v>52</v>
      </c>
      <c r="D10" s="34" t="s">
        <v>74</v>
      </c>
      <c r="E10" s="33" t="s">
        <v>52</v>
      </c>
      <c r="F10" s="34" t="s">
        <v>75</v>
      </c>
      <c r="G10" s="35" t="s">
        <v>76</v>
      </c>
      <c r="H10" s="36">
        <v>14110</v>
      </c>
      <c r="I10" s="36">
        <v>31450</v>
      </c>
      <c r="J10" s="36">
        <v>17340</v>
      </c>
      <c r="K10" s="35" t="s">
        <v>14</v>
      </c>
      <c r="L10" s="35" t="s">
        <v>77</v>
      </c>
      <c r="M10" s="37" t="s">
        <v>57</v>
      </c>
      <c r="N10" s="32" t="s">
        <v>58</v>
      </c>
      <c r="O10" s="38" t="s">
        <v>66</v>
      </c>
      <c r="P10" s="38" t="s">
        <v>67</v>
      </c>
      <c r="Q10" s="39">
        <f t="shared" si="0"/>
        <v>17.34</v>
      </c>
    </row>
    <row r="11" spans="1:17" x14ac:dyDescent="0.25">
      <c r="A11" s="31" t="s">
        <v>42</v>
      </c>
      <c r="B11" s="32">
        <f t="shared" si="1"/>
        <v>4446</v>
      </c>
      <c r="C11" s="33" t="s">
        <v>52</v>
      </c>
      <c r="D11" s="34" t="s">
        <v>78</v>
      </c>
      <c r="E11" s="33" t="s">
        <v>52</v>
      </c>
      <c r="F11" s="34" t="s">
        <v>79</v>
      </c>
      <c r="G11" s="35" t="s">
        <v>80</v>
      </c>
      <c r="H11" s="36">
        <v>14260</v>
      </c>
      <c r="I11" s="36">
        <v>32120</v>
      </c>
      <c r="J11" s="36">
        <v>17860</v>
      </c>
      <c r="K11" s="35" t="s">
        <v>14</v>
      </c>
      <c r="L11" s="35" t="s">
        <v>81</v>
      </c>
      <c r="M11" s="37" t="s">
        <v>57</v>
      </c>
      <c r="N11" s="32" t="s">
        <v>58</v>
      </c>
      <c r="O11" s="38" t="s">
        <v>66</v>
      </c>
      <c r="P11" s="38" t="s">
        <v>67</v>
      </c>
      <c r="Q11" s="39">
        <f t="shared" si="0"/>
        <v>17.86</v>
      </c>
    </row>
    <row r="12" spans="1:17" x14ac:dyDescent="0.25">
      <c r="A12" s="31" t="s">
        <v>82</v>
      </c>
      <c r="B12" s="32">
        <f t="shared" si="1"/>
        <v>4447</v>
      </c>
      <c r="C12" s="33" t="s">
        <v>52</v>
      </c>
      <c r="D12" s="34" t="s">
        <v>83</v>
      </c>
      <c r="E12" s="33" t="s">
        <v>52</v>
      </c>
      <c r="F12" s="34" t="s">
        <v>84</v>
      </c>
      <c r="G12" s="35" t="s">
        <v>85</v>
      </c>
      <c r="H12" s="36">
        <v>31800</v>
      </c>
      <c r="I12" s="36">
        <v>13740</v>
      </c>
      <c r="J12" s="36">
        <v>18060</v>
      </c>
      <c r="K12" s="35" t="s">
        <v>14</v>
      </c>
      <c r="L12" s="35" t="s">
        <v>86</v>
      </c>
      <c r="M12" s="37" t="s">
        <v>57</v>
      </c>
      <c r="N12" s="32" t="s">
        <v>58</v>
      </c>
      <c r="O12" s="38" t="s">
        <v>66</v>
      </c>
      <c r="P12" s="38" t="s">
        <v>67</v>
      </c>
      <c r="Q12" s="39">
        <f t="shared" si="0"/>
        <v>18.059999999999999</v>
      </c>
    </row>
    <row r="13" spans="1:17" x14ac:dyDescent="0.25">
      <c r="A13" s="31" t="s">
        <v>87</v>
      </c>
      <c r="B13" s="32">
        <f t="shared" si="1"/>
        <v>4448</v>
      </c>
      <c r="C13" s="33" t="s">
        <v>52</v>
      </c>
      <c r="D13" s="34" t="s">
        <v>88</v>
      </c>
      <c r="E13" s="33" t="s">
        <v>52</v>
      </c>
      <c r="F13" s="34" t="s">
        <v>89</v>
      </c>
      <c r="G13" s="35" t="s">
        <v>90</v>
      </c>
      <c r="H13" s="36">
        <v>13910</v>
      </c>
      <c r="I13" s="36">
        <v>31150</v>
      </c>
      <c r="J13" s="36">
        <v>17240</v>
      </c>
      <c r="K13" s="35" t="s">
        <v>14</v>
      </c>
      <c r="L13" s="35" t="s">
        <v>91</v>
      </c>
      <c r="M13" s="37" t="s">
        <v>57</v>
      </c>
      <c r="N13" s="32" t="s">
        <v>58</v>
      </c>
      <c r="O13" s="38" t="s">
        <v>66</v>
      </c>
      <c r="P13" s="38" t="s">
        <v>67</v>
      </c>
      <c r="Q13" s="39">
        <f t="shared" si="0"/>
        <v>17.239999999999998</v>
      </c>
    </row>
    <row r="14" spans="1:17" x14ac:dyDescent="0.25">
      <c r="A14" s="31" t="s">
        <v>92</v>
      </c>
      <c r="B14" s="32">
        <f t="shared" si="1"/>
        <v>4449</v>
      </c>
      <c r="C14" s="33" t="s">
        <v>52</v>
      </c>
      <c r="D14" s="34" t="s">
        <v>93</v>
      </c>
      <c r="E14" s="33" t="s">
        <v>52</v>
      </c>
      <c r="F14" s="34" t="s">
        <v>94</v>
      </c>
      <c r="G14" s="35" t="s">
        <v>55</v>
      </c>
      <c r="H14" s="36">
        <v>13990</v>
      </c>
      <c r="I14" s="36">
        <v>32120</v>
      </c>
      <c r="J14" s="36">
        <v>18130</v>
      </c>
      <c r="K14" s="35" t="s">
        <v>14</v>
      </c>
      <c r="L14" s="35" t="s">
        <v>56</v>
      </c>
      <c r="M14" s="37" t="s">
        <v>57</v>
      </c>
      <c r="N14" s="32" t="s">
        <v>58</v>
      </c>
      <c r="O14" s="38" t="s">
        <v>59</v>
      </c>
      <c r="P14" s="38" t="s">
        <v>60</v>
      </c>
      <c r="Q14" s="39">
        <f t="shared" si="0"/>
        <v>18.13</v>
      </c>
    </row>
    <row r="15" spans="1:17" x14ac:dyDescent="0.25">
      <c r="A15" s="31" t="s">
        <v>95</v>
      </c>
      <c r="B15" s="32">
        <f t="shared" si="1"/>
        <v>4450</v>
      </c>
      <c r="C15" s="33" t="s">
        <v>52</v>
      </c>
      <c r="D15" s="34" t="s">
        <v>96</v>
      </c>
      <c r="E15" s="33" t="s">
        <v>52</v>
      </c>
      <c r="F15" s="34" t="s">
        <v>97</v>
      </c>
      <c r="G15" s="35" t="s">
        <v>85</v>
      </c>
      <c r="H15" s="36">
        <v>13790</v>
      </c>
      <c r="I15" s="36">
        <v>31720</v>
      </c>
      <c r="J15" s="36">
        <v>17930</v>
      </c>
      <c r="K15" s="35" t="s">
        <v>14</v>
      </c>
      <c r="L15" s="35" t="s">
        <v>86</v>
      </c>
      <c r="M15" s="37" t="s">
        <v>57</v>
      </c>
      <c r="N15" s="32" t="s">
        <v>58</v>
      </c>
      <c r="O15" s="38" t="s">
        <v>66</v>
      </c>
      <c r="P15" s="38" t="s">
        <v>67</v>
      </c>
      <c r="Q15" s="39">
        <f t="shared" si="0"/>
        <v>17.93</v>
      </c>
    </row>
    <row r="16" spans="1:17" x14ac:dyDescent="0.25">
      <c r="A16" s="31" t="s">
        <v>98</v>
      </c>
      <c r="B16" s="32">
        <f t="shared" si="1"/>
        <v>4451</v>
      </c>
      <c r="C16" s="33" t="s">
        <v>52</v>
      </c>
      <c r="D16" s="34" t="s">
        <v>99</v>
      </c>
      <c r="E16" s="33" t="s">
        <v>52</v>
      </c>
      <c r="F16" s="34" t="s">
        <v>100</v>
      </c>
      <c r="G16" s="35" t="s">
        <v>71</v>
      </c>
      <c r="H16" s="36">
        <v>13150</v>
      </c>
      <c r="I16" s="36">
        <v>32330</v>
      </c>
      <c r="J16" s="36">
        <v>19180</v>
      </c>
      <c r="K16" s="35" t="s">
        <v>14</v>
      </c>
      <c r="L16" s="35" t="s">
        <v>72</v>
      </c>
      <c r="M16" s="37" t="s">
        <v>57</v>
      </c>
      <c r="N16" s="32" t="s">
        <v>58</v>
      </c>
      <c r="O16" s="38" t="s">
        <v>59</v>
      </c>
      <c r="P16" s="38" t="s">
        <v>60</v>
      </c>
      <c r="Q16" s="39">
        <f t="shared" si="0"/>
        <v>19.18</v>
      </c>
    </row>
    <row r="17" spans="1:17" x14ac:dyDescent="0.25">
      <c r="A17" s="31" t="s">
        <v>101</v>
      </c>
      <c r="B17" s="32">
        <f t="shared" si="1"/>
        <v>4452</v>
      </c>
      <c r="C17" s="33" t="s">
        <v>52</v>
      </c>
      <c r="D17" s="34" t="s">
        <v>102</v>
      </c>
      <c r="E17" s="33" t="s">
        <v>52</v>
      </c>
      <c r="F17" s="34" t="s">
        <v>103</v>
      </c>
      <c r="G17" s="35" t="s">
        <v>64</v>
      </c>
      <c r="H17" s="36">
        <v>14120</v>
      </c>
      <c r="I17" s="36">
        <v>32720</v>
      </c>
      <c r="J17" s="36">
        <v>18600</v>
      </c>
      <c r="K17" s="35" t="s">
        <v>14</v>
      </c>
      <c r="L17" s="35" t="s">
        <v>65</v>
      </c>
      <c r="M17" s="37" t="s">
        <v>57</v>
      </c>
      <c r="N17" s="32" t="s">
        <v>58</v>
      </c>
      <c r="O17" s="38" t="s">
        <v>66</v>
      </c>
      <c r="P17" s="38" t="s">
        <v>67</v>
      </c>
      <c r="Q17" s="39">
        <f t="shared" si="0"/>
        <v>18.600000000000001</v>
      </c>
    </row>
    <row r="18" spans="1:17" x14ac:dyDescent="0.25">
      <c r="A18" s="31" t="s">
        <v>104</v>
      </c>
      <c r="B18" s="32">
        <f t="shared" si="1"/>
        <v>4453</v>
      </c>
      <c r="C18" s="33" t="s">
        <v>52</v>
      </c>
      <c r="D18" s="34" t="s">
        <v>105</v>
      </c>
      <c r="E18" s="33" t="s">
        <v>52</v>
      </c>
      <c r="F18" s="34" t="s">
        <v>106</v>
      </c>
      <c r="G18" s="35" t="s">
        <v>76</v>
      </c>
      <c r="H18" s="36">
        <v>14080</v>
      </c>
      <c r="I18" s="36">
        <v>32170</v>
      </c>
      <c r="J18" s="36">
        <v>18090</v>
      </c>
      <c r="K18" s="35" t="s">
        <v>14</v>
      </c>
      <c r="L18" s="35" t="s">
        <v>77</v>
      </c>
      <c r="M18" s="37" t="s">
        <v>57</v>
      </c>
      <c r="N18" s="32" t="s">
        <v>58</v>
      </c>
      <c r="O18" s="38" t="s">
        <v>66</v>
      </c>
      <c r="P18" s="38" t="s">
        <v>67</v>
      </c>
      <c r="Q18" s="39">
        <f t="shared" si="0"/>
        <v>18.09</v>
      </c>
    </row>
    <row r="19" spans="1:17" x14ac:dyDescent="0.25">
      <c r="A19" s="31" t="s">
        <v>107</v>
      </c>
      <c r="B19" s="32">
        <f t="shared" si="1"/>
        <v>4454</v>
      </c>
      <c r="C19" s="33" t="s">
        <v>52</v>
      </c>
      <c r="D19" s="34" t="s">
        <v>108</v>
      </c>
      <c r="E19" s="33" t="s">
        <v>52</v>
      </c>
      <c r="F19" s="34" t="s">
        <v>109</v>
      </c>
      <c r="G19" s="35" t="s">
        <v>43</v>
      </c>
      <c r="H19" s="36">
        <v>32180</v>
      </c>
      <c r="I19" s="36">
        <v>14180</v>
      </c>
      <c r="J19" s="36">
        <v>18000</v>
      </c>
      <c r="K19" s="35" t="s">
        <v>14</v>
      </c>
      <c r="L19" s="35" t="s">
        <v>110</v>
      </c>
      <c r="M19" s="37" t="s">
        <v>57</v>
      </c>
      <c r="N19" s="32" t="s">
        <v>58</v>
      </c>
      <c r="O19" s="38" t="s">
        <v>111</v>
      </c>
      <c r="P19" s="38" t="s">
        <v>112</v>
      </c>
      <c r="Q19" s="39">
        <f t="shared" si="0"/>
        <v>18</v>
      </c>
    </row>
    <row r="20" spans="1:17" x14ac:dyDescent="0.25">
      <c r="A20" s="31" t="s">
        <v>113</v>
      </c>
      <c r="B20" s="32">
        <f t="shared" si="1"/>
        <v>4455</v>
      </c>
      <c r="C20" s="33" t="s">
        <v>52</v>
      </c>
      <c r="D20" s="34" t="s">
        <v>114</v>
      </c>
      <c r="E20" s="33" t="s">
        <v>52</v>
      </c>
      <c r="F20" s="34" t="s">
        <v>115</v>
      </c>
      <c r="G20" s="35" t="s">
        <v>80</v>
      </c>
      <c r="H20" s="36">
        <v>14220</v>
      </c>
      <c r="I20" s="36">
        <v>32380</v>
      </c>
      <c r="J20" s="36">
        <v>18160</v>
      </c>
      <c r="K20" s="35" t="s">
        <v>14</v>
      </c>
      <c r="L20" s="35" t="s">
        <v>81</v>
      </c>
      <c r="M20" s="37" t="s">
        <v>57</v>
      </c>
      <c r="N20" s="32" t="s">
        <v>58</v>
      </c>
      <c r="O20" s="38" t="s">
        <v>66</v>
      </c>
      <c r="P20" s="38" t="s">
        <v>67</v>
      </c>
      <c r="Q20" s="39">
        <f t="shared" si="0"/>
        <v>18.16</v>
      </c>
    </row>
    <row r="21" spans="1:17" x14ac:dyDescent="0.25">
      <c r="A21" s="31" t="s">
        <v>116</v>
      </c>
      <c r="B21" s="32">
        <f t="shared" si="1"/>
        <v>4456</v>
      </c>
      <c r="C21" s="33" t="s">
        <v>52</v>
      </c>
      <c r="D21" s="34" t="s">
        <v>117</v>
      </c>
      <c r="E21" s="33" t="s">
        <v>52</v>
      </c>
      <c r="F21" s="34" t="s">
        <v>118</v>
      </c>
      <c r="G21" s="35" t="s">
        <v>90</v>
      </c>
      <c r="H21" s="36">
        <v>13890</v>
      </c>
      <c r="I21" s="36">
        <v>32280</v>
      </c>
      <c r="J21" s="36">
        <v>18390</v>
      </c>
      <c r="K21" s="35" t="s">
        <v>14</v>
      </c>
      <c r="L21" s="35" t="s">
        <v>91</v>
      </c>
      <c r="M21" s="37" t="s">
        <v>57</v>
      </c>
      <c r="N21" s="32" t="s">
        <v>58</v>
      </c>
      <c r="O21" s="38" t="s">
        <v>66</v>
      </c>
      <c r="P21" s="38" t="s">
        <v>67</v>
      </c>
      <c r="Q21" s="39">
        <f t="shared" si="0"/>
        <v>18.39</v>
      </c>
    </row>
    <row r="22" spans="1:17" x14ac:dyDescent="0.25">
      <c r="A22" s="31" t="s">
        <v>119</v>
      </c>
      <c r="B22" s="32">
        <f t="shared" si="1"/>
        <v>4457</v>
      </c>
      <c r="C22" s="33" t="s">
        <v>52</v>
      </c>
      <c r="D22" s="34" t="s">
        <v>120</v>
      </c>
      <c r="E22" s="33" t="s">
        <v>52</v>
      </c>
      <c r="F22" s="34" t="s">
        <v>121</v>
      </c>
      <c r="G22" s="35" t="s">
        <v>55</v>
      </c>
      <c r="H22" s="36">
        <v>13960</v>
      </c>
      <c r="I22" s="36">
        <v>32470</v>
      </c>
      <c r="J22" s="36">
        <v>18510</v>
      </c>
      <c r="K22" s="35" t="s">
        <v>14</v>
      </c>
      <c r="L22" s="35" t="s">
        <v>56</v>
      </c>
      <c r="M22" s="37" t="s">
        <v>57</v>
      </c>
      <c r="N22" s="32" t="s">
        <v>58</v>
      </c>
      <c r="O22" s="38" t="s">
        <v>59</v>
      </c>
      <c r="P22" s="38" t="s">
        <v>60</v>
      </c>
      <c r="Q22" s="39">
        <f t="shared" si="0"/>
        <v>18.510000000000002</v>
      </c>
    </row>
    <row r="23" spans="1:17" x14ac:dyDescent="0.25">
      <c r="A23" s="31" t="s">
        <v>122</v>
      </c>
      <c r="B23" s="32">
        <f t="shared" si="1"/>
        <v>4458</v>
      </c>
      <c r="C23" s="33" t="s">
        <v>52</v>
      </c>
      <c r="D23" s="34" t="s">
        <v>123</v>
      </c>
      <c r="E23" s="33" t="s">
        <v>52</v>
      </c>
      <c r="F23" s="34" t="s">
        <v>124</v>
      </c>
      <c r="G23" s="35" t="s">
        <v>64</v>
      </c>
      <c r="H23" s="36">
        <v>14120</v>
      </c>
      <c r="I23" s="36">
        <v>32460</v>
      </c>
      <c r="J23" s="36">
        <v>18340</v>
      </c>
      <c r="K23" s="35" t="s">
        <v>14</v>
      </c>
      <c r="L23" s="35" t="s">
        <v>65</v>
      </c>
      <c r="M23" s="37" t="s">
        <v>57</v>
      </c>
      <c r="N23" s="32" t="s">
        <v>58</v>
      </c>
      <c r="O23" s="38" t="s">
        <v>66</v>
      </c>
      <c r="P23" s="38" t="s">
        <v>67</v>
      </c>
      <c r="Q23" s="39">
        <f t="shared" si="0"/>
        <v>18.34</v>
      </c>
    </row>
    <row r="24" spans="1:17" x14ac:dyDescent="0.25">
      <c r="A24" s="31" t="s">
        <v>125</v>
      </c>
      <c r="B24" s="32">
        <f t="shared" si="1"/>
        <v>4459</v>
      </c>
      <c r="C24" s="33" t="s">
        <v>52</v>
      </c>
      <c r="D24" s="34" t="s">
        <v>126</v>
      </c>
      <c r="E24" s="33" t="s">
        <v>52</v>
      </c>
      <c r="F24" s="34" t="s">
        <v>127</v>
      </c>
      <c r="G24" s="35" t="s">
        <v>71</v>
      </c>
      <c r="H24" s="36">
        <v>13720</v>
      </c>
      <c r="I24" s="36">
        <v>33200</v>
      </c>
      <c r="J24" s="36">
        <v>19480</v>
      </c>
      <c r="K24" s="35" t="s">
        <v>14</v>
      </c>
      <c r="L24" s="35" t="s">
        <v>72</v>
      </c>
      <c r="M24" s="37" t="s">
        <v>57</v>
      </c>
      <c r="N24" s="32" t="s">
        <v>58</v>
      </c>
      <c r="O24" s="38" t="s">
        <v>59</v>
      </c>
      <c r="P24" s="38" t="s">
        <v>60</v>
      </c>
      <c r="Q24" s="39">
        <f t="shared" si="0"/>
        <v>19.48</v>
      </c>
    </row>
    <row r="25" spans="1:17" x14ac:dyDescent="0.25">
      <c r="A25" s="31" t="s">
        <v>128</v>
      </c>
      <c r="B25" s="32">
        <f t="shared" si="1"/>
        <v>4460</v>
      </c>
      <c r="C25" s="33" t="s">
        <v>52</v>
      </c>
      <c r="D25" s="34" t="s">
        <v>129</v>
      </c>
      <c r="E25" s="33" t="s">
        <v>52</v>
      </c>
      <c r="F25" s="34" t="s">
        <v>130</v>
      </c>
      <c r="G25" s="35" t="s">
        <v>85</v>
      </c>
      <c r="H25" s="36">
        <v>14090</v>
      </c>
      <c r="I25" s="36">
        <v>32950</v>
      </c>
      <c r="J25" s="36">
        <v>18860</v>
      </c>
      <c r="K25" s="35" t="s">
        <v>14</v>
      </c>
      <c r="L25" s="35" t="s">
        <v>86</v>
      </c>
      <c r="M25" s="37" t="s">
        <v>57</v>
      </c>
      <c r="N25" s="32" t="s">
        <v>58</v>
      </c>
      <c r="O25" s="38" t="s">
        <v>66</v>
      </c>
      <c r="P25" s="38" t="s">
        <v>67</v>
      </c>
      <c r="Q25" s="39">
        <f t="shared" si="0"/>
        <v>18.86</v>
      </c>
    </row>
    <row r="26" spans="1:17" x14ac:dyDescent="0.25">
      <c r="A26" s="31" t="s">
        <v>131</v>
      </c>
      <c r="B26" s="32">
        <f t="shared" si="1"/>
        <v>4461</v>
      </c>
      <c r="C26" s="33" t="s">
        <v>52</v>
      </c>
      <c r="D26" s="34" t="s">
        <v>132</v>
      </c>
      <c r="E26" s="33" t="s">
        <v>52</v>
      </c>
      <c r="F26" s="34" t="s">
        <v>133</v>
      </c>
      <c r="G26" s="35" t="s">
        <v>76</v>
      </c>
      <c r="H26" s="36">
        <v>14040</v>
      </c>
      <c r="I26" s="36">
        <v>32530</v>
      </c>
      <c r="J26" s="36">
        <v>18490</v>
      </c>
      <c r="K26" s="35" t="s">
        <v>14</v>
      </c>
      <c r="L26" s="35" t="s">
        <v>77</v>
      </c>
      <c r="M26" s="37" t="s">
        <v>57</v>
      </c>
      <c r="N26" s="32" t="s">
        <v>58</v>
      </c>
      <c r="O26" s="38" t="s">
        <v>66</v>
      </c>
      <c r="P26" s="38" t="s">
        <v>67</v>
      </c>
      <c r="Q26" s="39">
        <f t="shared" si="0"/>
        <v>18.489999999999998</v>
      </c>
    </row>
    <row r="27" spans="1:17" x14ac:dyDescent="0.25">
      <c r="A27" s="31" t="s">
        <v>134</v>
      </c>
      <c r="B27" s="32">
        <f t="shared" si="1"/>
        <v>4462</v>
      </c>
      <c r="C27" s="33" t="s">
        <v>52</v>
      </c>
      <c r="D27" s="34" t="s">
        <v>135</v>
      </c>
      <c r="E27" s="33" t="s">
        <v>52</v>
      </c>
      <c r="F27" s="34" t="s">
        <v>136</v>
      </c>
      <c r="G27" s="35" t="s">
        <v>80</v>
      </c>
      <c r="H27" s="36">
        <v>14200</v>
      </c>
      <c r="I27" s="36">
        <v>33540</v>
      </c>
      <c r="J27" s="36">
        <v>19340</v>
      </c>
      <c r="K27" s="35" t="s">
        <v>14</v>
      </c>
      <c r="L27" s="35" t="s">
        <v>81</v>
      </c>
      <c r="M27" s="37" t="s">
        <v>57</v>
      </c>
      <c r="N27" s="32" t="s">
        <v>58</v>
      </c>
      <c r="O27" s="38" t="s">
        <v>66</v>
      </c>
      <c r="P27" s="38" t="s">
        <v>67</v>
      </c>
      <c r="Q27" s="39">
        <f t="shared" si="0"/>
        <v>19.34</v>
      </c>
    </row>
    <row r="28" spans="1:17" x14ac:dyDescent="0.25">
      <c r="A28" s="31" t="s">
        <v>137</v>
      </c>
      <c r="B28" s="32">
        <f t="shared" si="1"/>
        <v>4463</v>
      </c>
      <c r="C28" s="33" t="s">
        <v>52</v>
      </c>
      <c r="D28" s="34" t="s">
        <v>138</v>
      </c>
      <c r="E28" s="33" t="s">
        <v>52</v>
      </c>
      <c r="F28" s="34" t="s">
        <v>139</v>
      </c>
      <c r="G28" s="35" t="s">
        <v>90</v>
      </c>
      <c r="H28" s="36">
        <v>14110</v>
      </c>
      <c r="I28" s="36">
        <v>32270</v>
      </c>
      <c r="J28" s="36">
        <v>18160</v>
      </c>
      <c r="K28" s="35" t="s">
        <v>14</v>
      </c>
      <c r="L28" s="35" t="s">
        <v>91</v>
      </c>
      <c r="M28" s="37" t="s">
        <v>57</v>
      </c>
      <c r="N28" s="32" t="s">
        <v>58</v>
      </c>
      <c r="O28" s="38" t="s">
        <v>66</v>
      </c>
      <c r="P28" s="38" t="s">
        <v>67</v>
      </c>
      <c r="Q28" s="39">
        <f t="shared" si="0"/>
        <v>18.16</v>
      </c>
    </row>
    <row r="29" spans="1:17" x14ac:dyDescent="0.25">
      <c r="A29" s="31" t="s">
        <v>140</v>
      </c>
      <c r="B29" s="32">
        <f t="shared" si="1"/>
        <v>4464</v>
      </c>
      <c r="C29" s="33" t="s">
        <v>52</v>
      </c>
      <c r="D29" s="34" t="s">
        <v>141</v>
      </c>
      <c r="E29" s="33" t="s">
        <v>52</v>
      </c>
      <c r="F29" s="34" t="s">
        <v>142</v>
      </c>
      <c r="G29" s="35" t="s">
        <v>143</v>
      </c>
      <c r="H29" s="36">
        <v>32110</v>
      </c>
      <c r="I29" s="36">
        <v>14070</v>
      </c>
      <c r="J29" s="36">
        <v>18040</v>
      </c>
      <c r="K29" s="35" t="s">
        <v>14</v>
      </c>
      <c r="L29" s="35" t="s">
        <v>144</v>
      </c>
      <c r="M29" s="37" t="s">
        <v>57</v>
      </c>
      <c r="N29" s="32" t="s">
        <v>58</v>
      </c>
      <c r="O29" s="38" t="s">
        <v>59</v>
      </c>
      <c r="P29" s="38" t="s">
        <v>60</v>
      </c>
      <c r="Q29" s="39">
        <f t="shared" si="0"/>
        <v>18.04</v>
      </c>
    </row>
    <row r="30" spans="1:17" x14ac:dyDescent="0.25">
      <c r="A30" s="31" t="s">
        <v>145</v>
      </c>
      <c r="B30" s="32">
        <f t="shared" si="1"/>
        <v>4465</v>
      </c>
      <c r="C30" s="33" t="s">
        <v>52</v>
      </c>
      <c r="D30" s="34" t="s">
        <v>146</v>
      </c>
      <c r="E30" s="33" t="s">
        <v>52</v>
      </c>
      <c r="F30" s="34" t="s">
        <v>147</v>
      </c>
      <c r="G30" s="35" t="s">
        <v>55</v>
      </c>
      <c r="H30" s="36">
        <v>13930</v>
      </c>
      <c r="I30" s="36">
        <v>31350</v>
      </c>
      <c r="J30" s="36">
        <v>17420</v>
      </c>
      <c r="K30" s="35" t="s">
        <v>14</v>
      </c>
      <c r="L30" s="35" t="s">
        <v>56</v>
      </c>
      <c r="M30" s="37" t="s">
        <v>57</v>
      </c>
      <c r="N30" s="32" t="s">
        <v>58</v>
      </c>
      <c r="O30" s="38" t="s">
        <v>59</v>
      </c>
      <c r="P30" s="38" t="s">
        <v>60</v>
      </c>
      <c r="Q30" s="39">
        <f t="shared" si="0"/>
        <v>17.420000000000002</v>
      </c>
    </row>
    <row r="31" spans="1:17" x14ac:dyDescent="0.25">
      <c r="A31" s="31" t="s">
        <v>148</v>
      </c>
      <c r="B31" s="32">
        <f t="shared" si="1"/>
        <v>4466</v>
      </c>
      <c r="C31" s="33" t="s">
        <v>52</v>
      </c>
      <c r="D31" s="34" t="s">
        <v>149</v>
      </c>
      <c r="E31" s="33" t="s">
        <v>52</v>
      </c>
      <c r="F31" s="34" t="s">
        <v>150</v>
      </c>
      <c r="G31" s="35" t="s">
        <v>64</v>
      </c>
      <c r="H31" s="36">
        <v>14070</v>
      </c>
      <c r="I31" s="36">
        <v>32820</v>
      </c>
      <c r="J31" s="36">
        <v>18750</v>
      </c>
      <c r="K31" s="35" t="s">
        <v>14</v>
      </c>
      <c r="L31" s="35" t="s">
        <v>65</v>
      </c>
      <c r="M31" s="37" t="s">
        <v>57</v>
      </c>
      <c r="N31" s="32" t="s">
        <v>58</v>
      </c>
      <c r="O31" s="38" t="s">
        <v>66</v>
      </c>
      <c r="P31" s="38" t="s">
        <v>67</v>
      </c>
      <c r="Q31" s="39">
        <f t="shared" si="0"/>
        <v>18.75</v>
      </c>
    </row>
    <row r="32" spans="1:17" x14ac:dyDescent="0.25">
      <c r="A32" s="31" t="s">
        <v>151</v>
      </c>
      <c r="B32" s="32">
        <f t="shared" si="1"/>
        <v>4467</v>
      </c>
      <c r="C32" s="33" t="s">
        <v>52</v>
      </c>
      <c r="D32" s="34" t="s">
        <v>152</v>
      </c>
      <c r="E32" s="33" t="s">
        <v>52</v>
      </c>
      <c r="F32" s="34" t="s">
        <v>153</v>
      </c>
      <c r="G32" s="35" t="s">
        <v>85</v>
      </c>
      <c r="H32" s="36">
        <v>14070</v>
      </c>
      <c r="I32" s="36">
        <v>32430</v>
      </c>
      <c r="J32" s="36">
        <v>18360</v>
      </c>
      <c r="K32" s="35" t="s">
        <v>14</v>
      </c>
      <c r="L32" s="35" t="s">
        <v>86</v>
      </c>
      <c r="M32" s="37" t="s">
        <v>57</v>
      </c>
      <c r="N32" s="32" t="s">
        <v>58</v>
      </c>
      <c r="O32" s="38" t="s">
        <v>66</v>
      </c>
      <c r="P32" s="38" t="s">
        <v>67</v>
      </c>
      <c r="Q32" s="39">
        <f t="shared" si="0"/>
        <v>18.36</v>
      </c>
    </row>
    <row r="33" spans="1:17" x14ac:dyDescent="0.25">
      <c r="A33" s="31" t="s">
        <v>154</v>
      </c>
      <c r="B33" s="32">
        <f t="shared" si="1"/>
        <v>4468</v>
      </c>
      <c r="C33" s="33" t="s">
        <v>52</v>
      </c>
      <c r="D33" s="34" t="s">
        <v>155</v>
      </c>
      <c r="E33" s="33" t="s">
        <v>52</v>
      </c>
      <c r="F33" s="34" t="s">
        <v>156</v>
      </c>
      <c r="G33" s="35" t="s">
        <v>76</v>
      </c>
      <c r="H33" s="36">
        <v>14000</v>
      </c>
      <c r="I33" s="36">
        <v>32850</v>
      </c>
      <c r="J33" s="36">
        <v>18850</v>
      </c>
      <c r="K33" s="35" t="s">
        <v>14</v>
      </c>
      <c r="L33" s="35" t="s">
        <v>77</v>
      </c>
      <c r="M33" s="37" t="s">
        <v>57</v>
      </c>
      <c r="N33" s="32" t="s">
        <v>58</v>
      </c>
      <c r="O33" s="38" t="s">
        <v>66</v>
      </c>
      <c r="P33" s="38" t="s">
        <v>67</v>
      </c>
      <c r="Q33" s="39">
        <f t="shared" si="0"/>
        <v>18.850000000000001</v>
      </c>
    </row>
    <row r="34" spans="1:17" x14ac:dyDescent="0.25">
      <c r="A34" s="31" t="s">
        <v>157</v>
      </c>
      <c r="B34" s="32">
        <f t="shared" si="1"/>
        <v>4469</v>
      </c>
      <c r="C34" s="33" t="s">
        <v>52</v>
      </c>
      <c r="D34" s="34" t="s">
        <v>158</v>
      </c>
      <c r="E34" s="33" t="s">
        <v>52</v>
      </c>
      <c r="F34" s="34" t="s">
        <v>159</v>
      </c>
      <c r="G34" s="35" t="s">
        <v>80</v>
      </c>
      <c r="H34" s="36">
        <v>14180</v>
      </c>
      <c r="I34" s="36">
        <v>32690</v>
      </c>
      <c r="J34" s="36">
        <v>18510</v>
      </c>
      <c r="K34" s="35" t="s">
        <v>14</v>
      </c>
      <c r="L34" s="35" t="s">
        <v>81</v>
      </c>
      <c r="M34" s="37" t="s">
        <v>57</v>
      </c>
      <c r="N34" s="32" t="s">
        <v>58</v>
      </c>
      <c r="O34" s="38" t="s">
        <v>66</v>
      </c>
      <c r="P34" s="38" t="s">
        <v>67</v>
      </c>
      <c r="Q34" s="39">
        <f t="shared" si="0"/>
        <v>18.510000000000002</v>
      </c>
    </row>
    <row r="35" spans="1:17" x14ac:dyDescent="0.25">
      <c r="A35" s="31" t="s">
        <v>160</v>
      </c>
      <c r="B35" s="32">
        <f t="shared" si="1"/>
        <v>4470</v>
      </c>
      <c r="C35" s="33" t="s">
        <v>52</v>
      </c>
      <c r="D35" s="34" t="s">
        <v>161</v>
      </c>
      <c r="E35" s="33" t="s">
        <v>52</v>
      </c>
      <c r="F35" s="34" t="s">
        <v>162</v>
      </c>
      <c r="G35" s="35" t="s">
        <v>90</v>
      </c>
      <c r="H35" s="36">
        <v>14050</v>
      </c>
      <c r="I35" s="36">
        <v>32370</v>
      </c>
      <c r="J35" s="36">
        <v>18320</v>
      </c>
      <c r="K35" s="35" t="s">
        <v>14</v>
      </c>
      <c r="L35" s="35" t="s">
        <v>91</v>
      </c>
      <c r="M35" s="37" t="s">
        <v>57</v>
      </c>
      <c r="N35" s="32" t="s">
        <v>58</v>
      </c>
      <c r="O35" s="38" t="s">
        <v>66</v>
      </c>
      <c r="P35" s="38" t="s">
        <v>67</v>
      </c>
      <c r="Q35" s="39">
        <f t="shared" si="0"/>
        <v>18.32</v>
      </c>
    </row>
    <row r="36" spans="1:17" x14ac:dyDescent="0.25">
      <c r="A36" s="31" t="s">
        <v>163</v>
      </c>
      <c r="B36" s="32">
        <f t="shared" si="1"/>
        <v>4471</v>
      </c>
      <c r="C36" s="33" t="s">
        <v>52</v>
      </c>
      <c r="D36" s="34" t="s">
        <v>164</v>
      </c>
      <c r="E36" s="33" t="s">
        <v>52</v>
      </c>
      <c r="F36" s="34" t="s">
        <v>165</v>
      </c>
      <c r="G36" s="35" t="s">
        <v>55</v>
      </c>
      <c r="H36" s="36">
        <v>13900</v>
      </c>
      <c r="I36" s="36">
        <v>30900</v>
      </c>
      <c r="J36" s="36">
        <v>17000</v>
      </c>
      <c r="K36" s="35" t="s">
        <v>14</v>
      </c>
      <c r="L36" s="35" t="s">
        <v>56</v>
      </c>
      <c r="M36" s="37" t="s">
        <v>57</v>
      </c>
      <c r="N36" s="32" t="s">
        <v>58</v>
      </c>
      <c r="O36" s="38" t="s">
        <v>59</v>
      </c>
      <c r="P36" s="38" t="s">
        <v>60</v>
      </c>
      <c r="Q36" s="39">
        <f t="shared" si="0"/>
        <v>17</v>
      </c>
    </row>
    <row r="37" spans="1:17" x14ac:dyDescent="0.25">
      <c r="A37" s="31" t="s">
        <v>166</v>
      </c>
      <c r="B37" s="32">
        <f t="shared" si="1"/>
        <v>4472</v>
      </c>
      <c r="C37" s="33" t="s">
        <v>52</v>
      </c>
      <c r="D37" s="34" t="s">
        <v>167</v>
      </c>
      <c r="E37" s="33" t="s">
        <v>52</v>
      </c>
      <c r="F37" s="34" t="s">
        <v>168</v>
      </c>
      <c r="G37" s="35" t="s">
        <v>71</v>
      </c>
      <c r="H37" s="36">
        <v>14040</v>
      </c>
      <c r="I37" s="36">
        <v>32670</v>
      </c>
      <c r="J37" s="36">
        <v>18630</v>
      </c>
      <c r="K37" s="35" t="s">
        <v>14</v>
      </c>
      <c r="L37" s="35" t="s">
        <v>72</v>
      </c>
      <c r="M37" s="37" t="s">
        <v>57</v>
      </c>
      <c r="N37" s="32" t="s">
        <v>58</v>
      </c>
      <c r="O37" s="38" t="s">
        <v>59</v>
      </c>
      <c r="P37" s="38" t="s">
        <v>60</v>
      </c>
      <c r="Q37" s="39">
        <f t="shared" si="0"/>
        <v>18.63</v>
      </c>
    </row>
    <row r="38" spans="1:17" x14ac:dyDescent="0.25">
      <c r="A38" s="31" t="s">
        <v>169</v>
      </c>
      <c r="B38" s="32">
        <f t="shared" si="1"/>
        <v>4473</v>
      </c>
      <c r="C38" s="33" t="s">
        <v>52</v>
      </c>
      <c r="D38" s="34" t="s">
        <v>170</v>
      </c>
      <c r="E38" s="33" t="s">
        <v>52</v>
      </c>
      <c r="F38" s="34" t="s">
        <v>171</v>
      </c>
      <c r="G38" s="35" t="s">
        <v>64</v>
      </c>
      <c r="H38" s="36">
        <v>14050</v>
      </c>
      <c r="I38" s="36">
        <v>32130</v>
      </c>
      <c r="J38" s="36">
        <v>18080</v>
      </c>
      <c r="K38" s="35" t="s">
        <v>14</v>
      </c>
      <c r="L38" s="35" t="s">
        <v>65</v>
      </c>
      <c r="M38" s="37" t="s">
        <v>57</v>
      </c>
      <c r="N38" s="32" t="s">
        <v>58</v>
      </c>
      <c r="O38" s="38" t="s">
        <v>66</v>
      </c>
      <c r="P38" s="38" t="s">
        <v>67</v>
      </c>
      <c r="Q38" s="39">
        <f t="shared" si="0"/>
        <v>18.079999999999998</v>
      </c>
    </row>
    <row r="39" spans="1:17" x14ac:dyDescent="0.25">
      <c r="A39" s="31" t="s">
        <v>172</v>
      </c>
      <c r="B39" s="32">
        <f t="shared" si="1"/>
        <v>4474</v>
      </c>
      <c r="C39" s="33" t="s">
        <v>52</v>
      </c>
      <c r="D39" s="34" t="s">
        <v>173</v>
      </c>
      <c r="E39" s="33" t="s">
        <v>52</v>
      </c>
      <c r="F39" s="34" t="s">
        <v>174</v>
      </c>
      <c r="G39" s="35" t="s">
        <v>76</v>
      </c>
      <c r="H39" s="36">
        <v>13980</v>
      </c>
      <c r="I39" s="36">
        <v>32660</v>
      </c>
      <c r="J39" s="36">
        <v>18680</v>
      </c>
      <c r="K39" s="35" t="s">
        <v>14</v>
      </c>
      <c r="L39" s="35" t="s">
        <v>77</v>
      </c>
      <c r="M39" s="37" t="s">
        <v>57</v>
      </c>
      <c r="N39" s="32" t="s">
        <v>58</v>
      </c>
      <c r="O39" s="38" t="s">
        <v>66</v>
      </c>
      <c r="P39" s="38" t="s">
        <v>67</v>
      </c>
      <c r="Q39" s="39">
        <f t="shared" si="0"/>
        <v>18.68</v>
      </c>
    </row>
    <row r="40" spans="1:17" x14ac:dyDescent="0.25">
      <c r="A40" s="31" t="s">
        <v>175</v>
      </c>
      <c r="B40" s="32">
        <f t="shared" si="1"/>
        <v>4475</v>
      </c>
      <c r="C40" s="33" t="s">
        <v>52</v>
      </c>
      <c r="D40" s="34" t="s">
        <v>176</v>
      </c>
      <c r="E40" s="33" t="s">
        <v>52</v>
      </c>
      <c r="F40" s="34" t="s">
        <v>177</v>
      </c>
      <c r="G40" s="35" t="s">
        <v>85</v>
      </c>
      <c r="H40" s="36">
        <v>14030</v>
      </c>
      <c r="I40" s="36">
        <v>32360</v>
      </c>
      <c r="J40" s="36">
        <v>18330</v>
      </c>
      <c r="K40" s="35" t="s">
        <v>14</v>
      </c>
      <c r="L40" s="35" t="s">
        <v>86</v>
      </c>
      <c r="M40" s="37" t="s">
        <v>57</v>
      </c>
      <c r="N40" s="32" t="s">
        <v>58</v>
      </c>
      <c r="O40" s="38" t="s">
        <v>66</v>
      </c>
      <c r="P40" s="38" t="s">
        <v>67</v>
      </c>
      <c r="Q40" s="39">
        <f t="shared" si="0"/>
        <v>18.329999999999998</v>
      </c>
    </row>
    <row r="41" spans="1:17" x14ac:dyDescent="0.25">
      <c r="A41" s="31" t="s">
        <v>178</v>
      </c>
      <c r="B41" s="32">
        <f t="shared" si="1"/>
        <v>4476</v>
      </c>
      <c r="C41" s="33" t="s">
        <v>52</v>
      </c>
      <c r="D41" s="34" t="s">
        <v>179</v>
      </c>
      <c r="E41" s="33" t="s">
        <v>52</v>
      </c>
      <c r="F41" s="34" t="s">
        <v>180</v>
      </c>
      <c r="G41" s="35" t="s">
        <v>80</v>
      </c>
      <c r="H41" s="36">
        <v>14130</v>
      </c>
      <c r="I41" s="36">
        <v>32330</v>
      </c>
      <c r="J41" s="36">
        <v>18200</v>
      </c>
      <c r="K41" s="35" t="s">
        <v>14</v>
      </c>
      <c r="L41" s="35" t="s">
        <v>81</v>
      </c>
      <c r="M41" s="37" t="s">
        <v>57</v>
      </c>
      <c r="N41" s="32" t="s">
        <v>58</v>
      </c>
      <c r="O41" s="38" t="s">
        <v>66</v>
      </c>
      <c r="P41" s="38" t="s">
        <v>67</v>
      </c>
      <c r="Q41" s="39">
        <f t="shared" si="0"/>
        <v>18.2</v>
      </c>
    </row>
    <row r="42" spans="1:17" x14ac:dyDescent="0.25">
      <c r="A42" s="31" t="s">
        <v>181</v>
      </c>
      <c r="B42" s="32">
        <f t="shared" si="1"/>
        <v>4477</v>
      </c>
      <c r="C42" s="33" t="s">
        <v>52</v>
      </c>
      <c r="D42" s="34" t="s">
        <v>182</v>
      </c>
      <c r="E42" s="33" t="s">
        <v>52</v>
      </c>
      <c r="F42" s="34" t="s">
        <v>183</v>
      </c>
      <c r="G42" s="35" t="s">
        <v>90</v>
      </c>
      <c r="H42" s="36">
        <v>14100</v>
      </c>
      <c r="I42" s="36">
        <v>31700</v>
      </c>
      <c r="J42" s="36">
        <v>17600</v>
      </c>
      <c r="K42" s="35" t="s">
        <v>14</v>
      </c>
      <c r="L42" s="35" t="s">
        <v>91</v>
      </c>
      <c r="M42" s="37" t="s">
        <v>57</v>
      </c>
      <c r="N42" s="32" t="s">
        <v>58</v>
      </c>
      <c r="O42" s="38" t="s">
        <v>66</v>
      </c>
      <c r="P42" s="38" t="s">
        <v>67</v>
      </c>
      <c r="Q42" s="39">
        <f t="shared" si="0"/>
        <v>17.600000000000001</v>
      </c>
    </row>
    <row r="43" spans="1:17" x14ac:dyDescent="0.25">
      <c r="A43" s="31" t="s">
        <v>184</v>
      </c>
      <c r="B43" s="32">
        <f t="shared" si="1"/>
        <v>4478</v>
      </c>
      <c r="C43" s="33" t="s">
        <v>52</v>
      </c>
      <c r="D43" s="34" t="s">
        <v>185</v>
      </c>
      <c r="E43" s="33" t="s">
        <v>52</v>
      </c>
      <c r="F43" s="34" t="s">
        <v>186</v>
      </c>
      <c r="G43" s="35" t="s">
        <v>55</v>
      </c>
      <c r="H43" s="36">
        <v>13830</v>
      </c>
      <c r="I43" s="36">
        <v>30240</v>
      </c>
      <c r="J43" s="36">
        <v>16410</v>
      </c>
      <c r="K43" s="35" t="s">
        <v>14</v>
      </c>
      <c r="L43" s="35" t="s">
        <v>56</v>
      </c>
      <c r="M43" s="37" t="s">
        <v>57</v>
      </c>
      <c r="N43" s="32" t="s">
        <v>58</v>
      </c>
      <c r="O43" s="38" t="s">
        <v>59</v>
      </c>
      <c r="P43" s="38" t="s">
        <v>60</v>
      </c>
      <c r="Q43" s="39">
        <f t="shared" si="0"/>
        <v>16.41</v>
      </c>
    </row>
    <row r="44" spans="1:17" x14ac:dyDescent="0.25">
      <c r="A44" s="31" t="s">
        <v>187</v>
      </c>
      <c r="B44" s="32">
        <f t="shared" si="1"/>
        <v>4479</v>
      </c>
      <c r="C44" s="33" t="s">
        <v>52</v>
      </c>
      <c r="D44" s="34" t="s">
        <v>188</v>
      </c>
      <c r="E44" s="33" t="s">
        <v>52</v>
      </c>
      <c r="F44" s="34" t="s">
        <v>189</v>
      </c>
      <c r="G44" s="35" t="s">
        <v>71</v>
      </c>
      <c r="H44" s="36">
        <v>14020</v>
      </c>
      <c r="I44" s="36">
        <v>32040</v>
      </c>
      <c r="J44" s="36">
        <v>18020</v>
      </c>
      <c r="K44" s="35" t="s">
        <v>14</v>
      </c>
      <c r="L44" s="35" t="s">
        <v>72</v>
      </c>
      <c r="M44" s="37" t="s">
        <v>57</v>
      </c>
      <c r="N44" s="32" t="s">
        <v>58</v>
      </c>
      <c r="O44" s="38" t="s">
        <v>59</v>
      </c>
      <c r="P44" s="38" t="s">
        <v>60</v>
      </c>
      <c r="Q44" s="39">
        <f t="shared" si="0"/>
        <v>18.02</v>
      </c>
    </row>
    <row r="45" spans="1:17" x14ac:dyDescent="0.25">
      <c r="A45" s="31" t="s">
        <v>190</v>
      </c>
      <c r="B45" s="32">
        <f t="shared" si="1"/>
        <v>4480</v>
      </c>
      <c r="C45" s="33" t="s">
        <v>52</v>
      </c>
      <c r="D45" s="34" t="s">
        <v>191</v>
      </c>
      <c r="E45" s="33" t="s">
        <v>52</v>
      </c>
      <c r="F45" s="34" t="s">
        <v>192</v>
      </c>
      <c r="G45" s="35" t="s">
        <v>64</v>
      </c>
      <c r="H45" s="36">
        <v>14000</v>
      </c>
      <c r="I45" s="36">
        <v>32420</v>
      </c>
      <c r="J45" s="36">
        <v>18420</v>
      </c>
      <c r="K45" s="35" t="s">
        <v>14</v>
      </c>
      <c r="L45" s="35" t="s">
        <v>65</v>
      </c>
      <c r="M45" s="37" t="s">
        <v>57</v>
      </c>
      <c r="N45" s="32" t="s">
        <v>58</v>
      </c>
      <c r="O45" s="38" t="s">
        <v>66</v>
      </c>
      <c r="P45" s="38" t="s">
        <v>67</v>
      </c>
      <c r="Q45" s="39">
        <f t="shared" si="0"/>
        <v>18.420000000000002</v>
      </c>
    </row>
    <row r="46" spans="1:17" x14ac:dyDescent="0.25">
      <c r="A46" s="31" t="s">
        <v>193</v>
      </c>
      <c r="B46" s="32">
        <f t="shared" si="1"/>
        <v>4481</v>
      </c>
      <c r="C46" s="33" t="s">
        <v>52</v>
      </c>
      <c r="D46" s="34" t="s">
        <v>194</v>
      </c>
      <c r="E46" s="33" t="s">
        <v>52</v>
      </c>
      <c r="F46" s="34" t="s">
        <v>195</v>
      </c>
      <c r="G46" s="35" t="s">
        <v>76</v>
      </c>
      <c r="H46" s="36">
        <v>13930</v>
      </c>
      <c r="I46" s="36">
        <v>32150</v>
      </c>
      <c r="J46" s="36">
        <v>18220</v>
      </c>
      <c r="K46" s="35" t="s">
        <v>14</v>
      </c>
      <c r="L46" s="35" t="s">
        <v>77</v>
      </c>
      <c r="M46" s="37" t="s">
        <v>57</v>
      </c>
      <c r="N46" s="32" t="s">
        <v>58</v>
      </c>
      <c r="O46" s="38" t="s">
        <v>66</v>
      </c>
      <c r="P46" s="38" t="s">
        <v>67</v>
      </c>
      <c r="Q46" s="39">
        <f t="shared" si="0"/>
        <v>18.22</v>
      </c>
    </row>
    <row r="47" spans="1:17" x14ac:dyDescent="0.25">
      <c r="A47" s="31" t="s">
        <v>196</v>
      </c>
      <c r="B47" s="32">
        <f t="shared" si="1"/>
        <v>4482</v>
      </c>
      <c r="C47" s="33" t="s">
        <v>52</v>
      </c>
      <c r="D47" s="34" t="s">
        <v>197</v>
      </c>
      <c r="E47" s="33" t="s">
        <v>52</v>
      </c>
      <c r="F47" s="34" t="s">
        <v>198</v>
      </c>
      <c r="G47" s="35" t="s">
        <v>85</v>
      </c>
      <c r="H47" s="36">
        <v>13990</v>
      </c>
      <c r="I47" s="36">
        <v>32200</v>
      </c>
      <c r="J47" s="36">
        <v>18210</v>
      </c>
      <c r="K47" s="35" t="s">
        <v>14</v>
      </c>
      <c r="L47" s="35" t="s">
        <v>86</v>
      </c>
      <c r="M47" s="37" t="s">
        <v>57</v>
      </c>
      <c r="N47" s="32" t="s">
        <v>58</v>
      </c>
      <c r="O47" s="38" t="s">
        <v>66</v>
      </c>
      <c r="P47" s="38" t="s">
        <v>67</v>
      </c>
      <c r="Q47" s="39">
        <f t="shared" si="0"/>
        <v>18.21</v>
      </c>
    </row>
    <row r="48" spans="1:17" x14ac:dyDescent="0.25">
      <c r="A48" s="31" t="s">
        <v>199</v>
      </c>
      <c r="B48" s="32">
        <f t="shared" si="1"/>
        <v>4483</v>
      </c>
      <c r="C48" s="33" t="s">
        <v>52</v>
      </c>
      <c r="D48" s="34" t="s">
        <v>200</v>
      </c>
      <c r="E48" s="33" t="s">
        <v>52</v>
      </c>
      <c r="F48" s="34" t="s">
        <v>201</v>
      </c>
      <c r="G48" s="35" t="s">
        <v>80</v>
      </c>
      <c r="H48" s="36">
        <v>14100</v>
      </c>
      <c r="I48" s="36">
        <v>31730</v>
      </c>
      <c r="J48" s="36">
        <v>17630</v>
      </c>
      <c r="K48" s="35" t="s">
        <v>14</v>
      </c>
      <c r="L48" s="35" t="s">
        <v>81</v>
      </c>
      <c r="M48" s="37" t="s">
        <v>57</v>
      </c>
      <c r="N48" s="32" t="s">
        <v>58</v>
      </c>
      <c r="O48" s="38" t="s">
        <v>66</v>
      </c>
      <c r="P48" s="38" t="s">
        <v>67</v>
      </c>
      <c r="Q48" s="39">
        <f t="shared" si="0"/>
        <v>17.63</v>
      </c>
    </row>
    <row r="49" spans="1:17" x14ac:dyDescent="0.25">
      <c r="A49" s="31" t="s">
        <v>202</v>
      </c>
      <c r="B49" s="32">
        <f t="shared" si="1"/>
        <v>4484</v>
      </c>
      <c r="C49" s="33" t="s">
        <v>52</v>
      </c>
      <c r="D49" s="34" t="s">
        <v>203</v>
      </c>
      <c r="E49" s="33" t="s">
        <v>52</v>
      </c>
      <c r="F49" s="34" t="s">
        <v>204</v>
      </c>
      <c r="G49" s="35" t="s">
        <v>90</v>
      </c>
      <c r="H49" s="36">
        <v>13990</v>
      </c>
      <c r="I49" s="36">
        <v>32110</v>
      </c>
      <c r="J49" s="36">
        <v>18120</v>
      </c>
      <c r="K49" s="35" t="s">
        <v>14</v>
      </c>
      <c r="L49" s="35" t="s">
        <v>91</v>
      </c>
      <c r="M49" s="37" t="s">
        <v>57</v>
      </c>
      <c r="N49" s="32" t="s">
        <v>58</v>
      </c>
      <c r="O49" s="38" t="s">
        <v>66</v>
      </c>
      <c r="P49" s="38" t="s">
        <v>67</v>
      </c>
      <c r="Q49" s="39">
        <f t="shared" si="0"/>
        <v>18.12</v>
      </c>
    </row>
    <row r="50" spans="1:17" x14ac:dyDescent="0.25">
      <c r="A50" s="31" t="s">
        <v>205</v>
      </c>
      <c r="B50" s="32">
        <f t="shared" si="1"/>
        <v>4485</v>
      </c>
      <c r="C50" s="33" t="s">
        <v>206</v>
      </c>
      <c r="D50" s="34" t="s">
        <v>207</v>
      </c>
      <c r="E50" s="33" t="s">
        <v>206</v>
      </c>
      <c r="F50" s="34" t="s">
        <v>208</v>
      </c>
      <c r="G50" s="35" t="s">
        <v>80</v>
      </c>
      <c r="H50" s="36">
        <v>14070</v>
      </c>
      <c r="I50" s="36">
        <v>32360</v>
      </c>
      <c r="J50" s="36">
        <v>18290</v>
      </c>
      <c r="K50" s="35" t="s">
        <v>14</v>
      </c>
      <c r="L50" s="35" t="s">
        <v>209</v>
      </c>
      <c r="M50" s="37" t="s">
        <v>210</v>
      </c>
      <c r="N50" s="32" t="s">
        <v>58</v>
      </c>
      <c r="O50" s="38" t="s">
        <v>66</v>
      </c>
      <c r="P50" s="38" t="s">
        <v>67</v>
      </c>
      <c r="Q50" s="39">
        <f t="shared" si="0"/>
        <v>18.29</v>
      </c>
    </row>
    <row r="51" spans="1:17" x14ac:dyDescent="0.25">
      <c r="A51" s="31" t="s">
        <v>211</v>
      </c>
      <c r="B51" s="32">
        <f t="shared" si="1"/>
        <v>4486</v>
      </c>
      <c r="C51" s="33" t="s">
        <v>206</v>
      </c>
      <c r="D51" s="34" t="s">
        <v>212</v>
      </c>
      <c r="E51" s="33" t="s">
        <v>206</v>
      </c>
      <c r="F51" s="34" t="s">
        <v>213</v>
      </c>
      <c r="G51" s="35" t="s">
        <v>55</v>
      </c>
      <c r="H51" s="36">
        <v>13820</v>
      </c>
      <c r="I51" s="36">
        <v>31600</v>
      </c>
      <c r="J51" s="36">
        <v>17780</v>
      </c>
      <c r="K51" s="35" t="s">
        <v>14</v>
      </c>
      <c r="L51" s="35" t="s">
        <v>214</v>
      </c>
      <c r="M51" s="37" t="s">
        <v>210</v>
      </c>
      <c r="N51" s="32" t="s">
        <v>58</v>
      </c>
      <c r="O51" s="38" t="s">
        <v>59</v>
      </c>
      <c r="P51" s="38" t="s">
        <v>60</v>
      </c>
      <c r="Q51" s="39">
        <f t="shared" si="0"/>
        <v>17.78</v>
      </c>
    </row>
    <row r="52" spans="1:17" x14ac:dyDescent="0.25">
      <c r="A52" s="31" t="s">
        <v>215</v>
      </c>
      <c r="B52" s="32">
        <f t="shared" si="1"/>
        <v>4487</v>
      </c>
      <c r="C52" s="33" t="s">
        <v>206</v>
      </c>
      <c r="D52" s="34" t="s">
        <v>216</v>
      </c>
      <c r="E52" s="33" t="s">
        <v>206</v>
      </c>
      <c r="F52" s="34" t="s">
        <v>217</v>
      </c>
      <c r="G52" s="35" t="s">
        <v>76</v>
      </c>
      <c r="H52" s="36">
        <v>13890</v>
      </c>
      <c r="I52" s="36">
        <v>31180</v>
      </c>
      <c r="J52" s="36">
        <v>17290</v>
      </c>
      <c r="K52" s="35" t="s">
        <v>14</v>
      </c>
      <c r="L52" s="35" t="s">
        <v>218</v>
      </c>
      <c r="M52" s="37" t="s">
        <v>210</v>
      </c>
      <c r="N52" s="32" t="s">
        <v>58</v>
      </c>
      <c r="O52" s="38" t="s">
        <v>66</v>
      </c>
      <c r="P52" s="38" t="s">
        <v>67</v>
      </c>
      <c r="Q52" s="39">
        <f t="shared" si="0"/>
        <v>17.29</v>
      </c>
    </row>
    <row r="53" spans="1:17" x14ac:dyDescent="0.25">
      <c r="A53" s="31" t="s">
        <v>219</v>
      </c>
      <c r="B53" s="32">
        <f t="shared" si="1"/>
        <v>4488</v>
      </c>
      <c r="C53" s="33" t="s">
        <v>206</v>
      </c>
      <c r="D53" s="34" t="s">
        <v>220</v>
      </c>
      <c r="E53" s="33" t="s">
        <v>206</v>
      </c>
      <c r="F53" s="34" t="s">
        <v>221</v>
      </c>
      <c r="G53" s="35" t="s">
        <v>64</v>
      </c>
      <c r="H53" s="36">
        <v>13890</v>
      </c>
      <c r="I53" s="36">
        <v>31680</v>
      </c>
      <c r="J53" s="36">
        <v>17790</v>
      </c>
      <c r="K53" s="35" t="s">
        <v>14</v>
      </c>
      <c r="L53" s="35" t="s">
        <v>222</v>
      </c>
      <c r="M53" s="37" t="s">
        <v>210</v>
      </c>
      <c r="N53" s="32" t="s">
        <v>58</v>
      </c>
      <c r="O53" s="38" t="s">
        <v>66</v>
      </c>
      <c r="P53" s="38" t="s">
        <v>67</v>
      </c>
      <c r="Q53" s="39">
        <f t="shared" si="0"/>
        <v>17.79</v>
      </c>
    </row>
    <row r="54" spans="1:17" x14ac:dyDescent="0.25">
      <c r="A54" s="31" t="s">
        <v>223</v>
      </c>
      <c r="B54" s="32">
        <f t="shared" si="1"/>
        <v>4489</v>
      </c>
      <c r="C54" s="33" t="s">
        <v>206</v>
      </c>
      <c r="D54" s="34" t="s">
        <v>224</v>
      </c>
      <c r="E54" s="33" t="s">
        <v>206</v>
      </c>
      <c r="F54" s="34" t="s">
        <v>225</v>
      </c>
      <c r="G54" s="35" t="s">
        <v>85</v>
      </c>
      <c r="H54" s="36">
        <v>13980</v>
      </c>
      <c r="I54" s="36">
        <v>31630</v>
      </c>
      <c r="J54" s="36">
        <v>17650</v>
      </c>
      <c r="K54" s="35" t="s">
        <v>14</v>
      </c>
      <c r="L54" s="35" t="s">
        <v>226</v>
      </c>
      <c r="M54" s="37" t="s">
        <v>210</v>
      </c>
      <c r="N54" s="32" t="s">
        <v>58</v>
      </c>
      <c r="O54" s="38" t="s">
        <v>66</v>
      </c>
      <c r="P54" s="38" t="s">
        <v>67</v>
      </c>
      <c r="Q54" s="39">
        <f t="shared" si="0"/>
        <v>17.649999999999999</v>
      </c>
    </row>
    <row r="55" spans="1:17" x14ac:dyDescent="0.25">
      <c r="A55" s="31" t="s">
        <v>227</v>
      </c>
      <c r="B55" s="32">
        <f t="shared" si="1"/>
        <v>4490</v>
      </c>
      <c r="C55" s="33" t="s">
        <v>206</v>
      </c>
      <c r="D55" s="34" t="s">
        <v>228</v>
      </c>
      <c r="E55" s="33" t="s">
        <v>206</v>
      </c>
      <c r="F55" s="34" t="s">
        <v>229</v>
      </c>
      <c r="G55" s="35" t="s">
        <v>71</v>
      </c>
      <c r="H55" s="36">
        <v>13960</v>
      </c>
      <c r="I55" s="36">
        <v>32790</v>
      </c>
      <c r="J55" s="36">
        <v>18830</v>
      </c>
      <c r="K55" s="35" t="s">
        <v>14</v>
      </c>
      <c r="L55" s="35" t="s">
        <v>230</v>
      </c>
      <c r="M55" s="37" t="s">
        <v>210</v>
      </c>
      <c r="N55" s="32" t="s">
        <v>58</v>
      </c>
      <c r="O55" s="38" t="s">
        <v>59</v>
      </c>
      <c r="P55" s="38" t="s">
        <v>60</v>
      </c>
      <c r="Q55" s="39">
        <f t="shared" si="0"/>
        <v>18.829999999999998</v>
      </c>
    </row>
    <row r="56" spans="1:17" x14ac:dyDescent="0.25">
      <c r="A56" s="31" t="s">
        <v>231</v>
      </c>
      <c r="B56" s="32">
        <f t="shared" si="1"/>
        <v>4491</v>
      </c>
      <c r="C56" s="33" t="s">
        <v>206</v>
      </c>
      <c r="D56" s="34" t="s">
        <v>232</v>
      </c>
      <c r="E56" s="33" t="s">
        <v>206</v>
      </c>
      <c r="F56" s="34" t="s">
        <v>233</v>
      </c>
      <c r="G56" s="35" t="s">
        <v>90</v>
      </c>
      <c r="H56" s="36">
        <v>13940</v>
      </c>
      <c r="I56" s="36">
        <v>31800</v>
      </c>
      <c r="J56" s="36">
        <v>17860</v>
      </c>
      <c r="K56" s="35" t="s">
        <v>14</v>
      </c>
      <c r="L56" s="35" t="s">
        <v>234</v>
      </c>
      <c r="M56" s="37" t="s">
        <v>210</v>
      </c>
      <c r="N56" s="32" t="s">
        <v>58</v>
      </c>
      <c r="O56" s="38" t="s">
        <v>66</v>
      </c>
      <c r="P56" s="38" t="s">
        <v>67</v>
      </c>
      <c r="Q56" s="39">
        <f t="shared" si="0"/>
        <v>17.86</v>
      </c>
    </row>
    <row r="57" spans="1:17" x14ac:dyDescent="0.25">
      <c r="A57" s="31" t="s">
        <v>235</v>
      </c>
      <c r="B57" s="32">
        <f t="shared" si="1"/>
        <v>4492</v>
      </c>
      <c r="C57" s="33" t="s">
        <v>206</v>
      </c>
      <c r="D57" s="34" t="s">
        <v>236</v>
      </c>
      <c r="E57" s="33" t="s">
        <v>206</v>
      </c>
      <c r="F57" s="34" t="s">
        <v>237</v>
      </c>
      <c r="G57" s="35" t="s">
        <v>80</v>
      </c>
      <c r="H57" s="36">
        <v>14040</v>
      </c>
      <c r="I57" s="36">
        <v>32310</v>
      </c>
      <c r="J57" s="36">
        <v>18270</v>
      </c>
      <c r="K57" s="35" t="s">
        <v>14</v>
      </c>
      <c r="L57" s="35" t="s">
        <v>209</v>
      </c>
      <c r="M57" s="37" t="s">
        <v>210</v>
      </c>
      <c r="N57" s="32" t="s">
        <v>58</v>
      </c>
      <c r="O57" s="38" t="s">
        <v>66</v>
      </c>
      <c r="P57" s="38" t="s">
        <v>67</v>
      </c>
      <c r="Q57" s="39">
        <f t="shared" si="0"/>
        <v>18.27</v>
      </c>
    </row>
    <row r="58" spans="1:17" x14ac:dyDescent="0.25">
      <c r="A58" s="31" t="s">
        <v>238</v>
      </c>
      <c r="B58" s="32">
        <f t="shared" si="1"/>
        <v>4493</v>
      </c>
      <c r="C58" s="33" t="s">
        <v>206</v>
      </c>
      <c r="D58" s="34" t="s">
        <v>239</v>
      </c>
      <c r="E58" s="33" t="s">
        <v>206</v>
      </c>
      <c r="F58" s="34" t="s">
        <v>240</v>
      </c>
      <c r="G58" s="35" t="s">
        <v>64</v>
      </c>
      <c r="H58" s="36">
        <v>13880</v>
      </c>
      <c r="I58" s="36">
        <v>32480</v>
      </c>
      <c r="J58" s="36">
        <v>18600</v>
      </c>
      <c r="K58" s="35" t="s">
        <v>14</v>
      </c>
      <c r="L58" s="35" t="s">
        <v>222</v>
      </c>
      <c r="M58" s="37" t="s">
        <v>210</v>
      </c>
      <c r="N58" s="32" t="s">
        <v>58</v>
      </c>
      <c r="O58" s="38" t="s">
        <v>66</v>
      </c>
      <c r="P58" s="38" t="s">
        <v>67</v>
      </c>
      <c r="Q58" s="39">
        <f t="shared" si="0"/>
        <v>18.600000000000001</v>
      </c>
    </row>
    <row r="59" spans="1:17" x14ac:dyDescent="0.25">
      <c r="A59" s="31" t="s">
        <v>241</v>
      </c>
      <c r="B59" s="32">
        <f t="shared" si="1"/>
        <v>4494</v>
      </c>
      <c r="C59" s="33" t="s">
        <v>206</v>
      </c>
      <c r="D59" s="34" t="s">
        <v>242</v>
      </c>
      <c r="E59" s="33" t="s">
        <v>206</v>
      </c>
      <c r="F59" s="34" t="s">
        <v>243</v>
      </c>
      <c r="G59" s="35" t="s">
        <v>55</v>
      </c>
      <c r="H59" s="36">
        <v>13770</v>
      </c>
      <c r="I59" s="36">
        <v>33130</v>
      </c>
      <c r="J59" s="36">
        <v>19360</v>
      </c>
      <c r="K59" s="35" t="s">
        <v>14</v>
      </c>
      <c r="L59" s="35" t="s">
        <v>214</v>
      </c>
      <c r="M59" s="37" t="s">
        <v>210</v>
      </c>
      <c r="N59" s="32" t="s">
        <v>58</v>
      </c>
      <c r="O59" s="38" t="s">
        <v>59</v>
      </c>
      <c r="P59" s="38" t="s">
        <v>60</v>
      </c>
      <c r="Q59" s="39">
        <f t="shared" si="0"/>
        <v>19.36</v>
      </c>
    </row>
    <row r="60" spans="1:17" x14ac:dyDescent="0.25">
      <c r="A60" s="31" t="s">
        <v>244</v>
      </c>
      <c r="B60" s="32">
        <f t="shared" si="1"/>
        <v>4495</v>
      </c>
      <c r="C60" s="33" t="s">
        <v>206</v>
      </c>
      <c r="D60" s="34" t="s">
        <v>245</v>
      </c>
      <c r="E60" s="33" t="s">
        <v>206</v>
      </c>
      <c r="F60" s="34" t="s">
        <v>246</v>
      </c>
      <c r="G60" s="35" t="s">
        <v>85</v>
      </c>
      <c r="H60" s="36">
        <v>13940</v>
      </c>
      <c r="I60" s="36">
        <v>32290</v>
      </c>
      <c r="J60" s="36">
        <v>18350</v>
      </c>
      <c r="K60" s="35" t="s">
        <v>14</v>
      </c>
      <c r="L60" s="35" t="s">
        <v>226</v>
      </c>
      <c r="M60" s="37" t="s">
        <v>210</v>
      </c>
      <c r="N60" s="32" t="s">
        <v>58</v>
      </c>
      <c r="O60" s="38" t="s">
        <v>66</v>
      </c>
      <c r="P60" s="38" t="s">
        <v>67</v>
      </c>
      <c r="Q60" s="39">
        <f t="shared" si="0"/>
        <v>18.350000000000001</v>
      </c>
    </row>
    <row r="61" spans="1:17" x14ac:dyDescent="0.25">
      <c r="A61" s="31" t="s">
        <v>247</v>
      </c>
      <c r="B61" s="32">
        <f t="shared" si="1"/>
        <v>4496</v>
      </c>
      <c r="C61" s="33" t="s">
        <v>206</v>
      </c>
      <c r="D61" s="34" t="s">
        <v>248</v>
      </c>
      <c r="E61" s="33" t="s">
        <v>206</v>
      </c>
      <c r="F61" s="34" t="s">
        <v>249</v>
      </c>
      <c r="G61" s="35" t="s">
        <v>76</v>
      </c>
      <c r="H61" s="36">
        <v>13870</v>
      </c>
      <c r="I61" s="36">
        <v>32260</v>
      </c>
      <c r="J61" s="36">
        <v>18390</v>
      </c>
      <c r="K61" s="35" t="s">
        <v>14</v>
      </c>
      <c r="L61" s="35" t="s">
        <v>218</v>
      </c>
      <c r="M61" s="37" t="s">
        <v>210</v>
      </c>
      <c r="N61" s="32" t="s">
        <v>58</v>
      </c>
      <c r="O61" s="38" t="s">
        <v>66</v>
      </c>
      <c r="P61" s="38" t="s">
        <v>67</v>
      </c>
      <c r="Q61" s="39">
        <f t="shared" si="0"/>
        <v>18.39</v>
      </c>
    </row>
    <row r="62" spans="1:17" x14ac:dyDescent="0.25">
      <c r="A62" s="31" t="s">
        <v>250</v>
      </c>
      <c r="B62" s="32">
        <f t="shared" si="1"/>
        <v>4497</v>
      </c>
      <c r="C62" s="33" t="s">
        <v>206</v>
      </c>
      <c r="D62" s="34" t="s">
        <v>251</v>
      </c>
      <c r="E62" s="33" t="s">
        <v>206</v>
      </c>
      <c r="F62" s="34" t="s">
        <v>252</v>
      </c>
      <c r="G62" s="35" t="s">
        <v>71</v>
      </c>
      <c r="H62" s="36">
        <v>13940</v>
      </c>
      <c r="I62" s="36">
        <v>33160</v>
      </c>
      <c r="J62" s="36">
        <v>19220</v>
      </c>
      <c r="K62" s="35" t="s">
        <v>14</v>
      </c>
      <c r="L62" s="35" t="s">
        <v>230</v>
      </c>
      <c r="M62" s="37" t="s">
        <v>210</v>
      </c>
      <c r="N62" s="32" t="s">
        <v>58</v>
      </c>
      <c r="O62" s="38" t="s">
        <v>59</v>
      </c>
      <c r="P62" s="38" t="s">
        <v>60</v>
      </c>
      <c r="Q62" s="39">
        <f t="shared" si="0"/>
        <v>19.22</v>
      </c>
    </row>
    <row r="63" spans="1:17" x14ac:dyDescent="0.25">
      <c r="A63" s="31" t="s">
        <v>253</v>
      </c>
      <c r="B63" s="32">
        <f t="shared" si="1"/>
        <v>4498</v>
      </c>
      <c r="C63" s="33" t="s">
        <v>206</v>
      </c>
      <c r="D63" s="34" t="s">
        <v>254</v>
      </c>
      <c r="E63" s="33" t="s">
        <v>206</v>
      </c>
      <c r="F63" s="34" t="s">
        <v>255</v>
      </c>
      <c r="G63" s="35" t="s">
        <v>90</v>
      </c>
      <c r="H63" s="36">
        <v>13830</v>
      </c>
      <c r="I63" s="36">
        <v>32200</v>
      </c>
      <c r="J63" s="36">
        <v>18370</v>
      </c>
      <c r="K63" s="35" t="s">
        <v>14</v>
      </c>
      <c r="L63" s="35" t="s">
        <v>234</v>
      </c>
      <c r="M63" s="37" t="s">
        <v>210</v>
      </c>
      <c r="N63" s="32" t="s">
        <v>58</v>
      </c>
      <c r="O63" s="38" t="s">
        <v>66</v>
      </c>
      <c r="P63" s="38" t="s">
        <v>67</v>
      </c>
      <c r="Q63" s="39">
        <f t="shared" si="0"/>
        <v>18.37</v>
      </c>
    </row>
    <row r="64" spans="1:17" x14ac:dyDescent="0.25">
      <c r="A64" s="31" t="s">
        <v>256</v>
      </c>
      <c r="B64" s="32">
        <f t="shared" si="1"/>
        <v>4499</v>
      </c>
      <c r="C64" s="33" t="s">
        <v>206</v>
      </c>
      <c r="D64" s="34" t="s">
        <v>257</v>
      </c>
      <c r="E64" s="33" t="s">
        <v>206</v>
      </c>
      <c r="F64" s="34" t="s">
        <v>258</v>
      </c>
      <c r="G64" s="35" t="s">
        <v>80</v>
      </c>
      <c r="H64" s="36">
        <v>14010</v>
      </c>
      <c r="I64" s="36">
        <v>31930</v>
      </c>
      <c r="J64" s="36">
        <v>17920</v>
      </c>
      <c r="K64" s="35" t="s">
        <v>14</v>
      </c>
      <c r="L64" s="35" t="s">
        <v>209</v>
      </c>
      <c r="M64" s="37" t="s">
        <v>210</v>
      </c>
      <c r="N64" s="32" t="s">
        <v>58</v>
      </c>
      <c r="O64" s="38" t="s">
        <v>66</v>
      </c>
      <c r="P64" s="38" t="s">
        <v>67</v>
      </c>
      <c r="Q64" s="39">
        <f t="shared" si="0"/>
        <v>17.920000000000002</v>
      </c>
    </row>
    <row r="65" spans="1:17" x14ac:dyDescent="0.25">
      <c r="A65" s="31" t="s">
        <v>259</v>
      </c>
      <c r="B65" s="32">
        <f t="shared" si="1"/>
        <v>4500</v>
      </c>
      <c r="C65" s="33" t="s">
        <v>206</v>
      </c>
      <c r="D65" s="34" t="s">
        <v>260</v>
      </c>
      <c r="E65" s="33" t="s">
        <v>206</v>
      </c>
      <c r="F65" s="34" t="s">
        <v>261</v>
      </c>
      <c r="G65" s="35" t="s">
        <v>64</v>
      </c>
      <c r="H65" s="36">
        <v>13840</v>
      </c>
      <c r="I65" s="36">
        <v>30700</v>
      </c>
      <c r="J65" s="36">
        <v>16860</v>
      </c>
      <c r="K65" s="35" t="s">
        <v>14</v>
      </c>
      <c r="L65" s="35" t="s">
        <v>222</v>
      </c>
      <c r="M65" s="37" t="s">
        <v>210</v>
      </c>
      <c r="N65" s="32" t="s">
        <v>58</v>
      </c>
      <c r="O65" s="38" t="s">
        <v>66</v>
      </c>
      <c r="P65" s="38" t="s">
        <v>67</v>
      </c>
      <c r="Q65" s="39">
        <f t="shared" si="0"/>
        <v>16.86</v>
      </c>
    </row>
    <row r="66" spans="1:17" x14ac:dyDescent="0.25">
      <c r="A66" s="31" t="s">
        <v>262</v>
      </c>
      <c r="B66" s="32">
        <f t="shared" si="1"/>
        <v>4501</v>
      </c>
      <c r="C66" s="33" t="s">
        <v>206</v>
      </c>
      <c r="D66" s="34" t="s">
        <v>263</v>
      </c>
      <c r="E66" s="33" t="s">
        <v>206</v>
      </c>
      <c r="F66" s="34" t="s">
        <v>264</v>
      </c>
      <c r="G66" s="35" t="s">
        <v>85</v>
      </c>
      <c r="H66" s="36">
        <v>13920</v>
      </c>
      <c r="I66" s="36">
        <v>31360</v>
      </c>
      <c r="J66" s="36">
        <v>17440</v>
      </c>
      <c r="K66" s="35" t="s">
        <v>14</v>
      </c>
      <c r="L66" s="35" t="s">
        <v>226</v>
      </c>
      <c r="M66" s="37" t="s">
        <v>210</v>
      </c>
      <c r="N66" s="32" t="s">
        <v>58</v>
      </c>
      <c r="O66" s="38" t="s">
        <v>66</v>
      </c>
      <c r="P66" s="38" t="s">
        <v>67</v>
      </c>
      <c r="Q66" s="39">
        <f t="shared" si="0"/>
        <v>17.440000000000001</v>
      </c>
    </row>
    <row r="67" spans="1:17" x14ac:dyDescent="0.25">
      <c r="A67" s="31" t="s">
        <v>265</v>
      </c>
      <c r="B67" s="32">
        <f t="shared" si="1"/>
        <v>4502</v>
      </c>
      <c r="C67" s="33" t="s">
        <v>206</v>
      </c>
      <c r="D67" s="34" t="s">
        <v>266</v>
      </c>
      <c r="E67" s="33" t="s">
        <v>206</v>
      </c>
      <c r="F67" s="34" t="s">
        <v>267</v>
      </c>
      <c r="G67" s="35" t="s">
        <v>55</v>
      </c>
      <c r="H67" s="36">
        <v>13760</v>
      </c>
      <c r="I67" s="36">
        <v>31020</v>
      </c>
      <c r="J67" s="36">
        <v>17260</v>
      </c>
      <c r="K67" s="35" t="s">
        <v>14</v>
      </c>
      <c r="L67" s="35" t="s">
        <v>214</v>
      </c>
      <c r="M67" s="37" t="s">
        <v>210</v>
      </c>
      <c r="N67" s="32" t="s">
        <v>58</v>
      </c>
      <c r="O67" s="38" t="s">
        <v>59</v>
      </c>
      <c r="P67" s="38" t="s">
        <v>60</v>
      </c>
      <c r="Q67" s="39">
        <f t="shared" si="0"/>
        <v>17.260000000000002</v>
      </c>
    </row>
    <row r="68" spans="1:17" x14ac:dyDescent="0.25">
      <c r="A68" s="31" t="s">
        <v>268</v>
      </c>
      <c r="B68" s="32">
        <f t="shared" si="1"/>
        <v>4503</v>
      </c>
      <c r="C68" s="33" t="s">
        <v>206</v>
      </c>
      <c r="D68" s="34" t="s">
        <v>269</v>
      </c>
      <c r="E68" s="33" t="s">
        <v>206</v>
      </c>
      <c r="F68" s="34" t="s">
        <v>270</v>
      </c>
      <c r="G68" s="35" t="s">
        <v>76</v>
      </c>
      <c r="H68" s="36">
        <v>13880</v>
      </c>
      <c r="I68" s="36">
        <v>34290</v>
      </c>
      <c r="J68" s="36">
        <v>20410</v>
      </c>
      <c r="K68" s="35" t="s">
        <v>14</v>
      </c>
      <c r="L68" s="35" t="s">
        <v>218</v>
      </c>
      <c r="M68" s="37" t="s">
        <v>210</v>
      </c>
      <c r="N68" s="32" t="s">
        <v>58</v>
      </c>
      <c r="O68" s="38" t="s">
        <v>66</v>
      </c>
      <c r="P68" s="38" t="s">
        <v>67</v>
      </c>
      <c r="Q68" s="39">
        <f t="shared" si="0"/>
        <v>20.41</v>
      </c>
    </row>
    <row r="69" spans="1:17" x14ac:dyDescent="0.25">
      <c r="A69" s="31" t="s">
        <v>271</v>
      </c>
      <c r="B69" s="32">
        <f t="shared" si="1"/>
        <v>4504</v>
      </c>
      <c r="C69" s="33" t="s">
        <v>206</v>
      </c>
      <c r="D69" s="34" t="s">
        <v>272</v>
      </c>
      <c r="E69" s="33" t="s">
        <v>206</v>
      </c>
      <c r="F69" s="34" t="s">
        <v>273</v>
      </c>
      <c r="G69" s="35" t="s">
        <v>85</v>
      </c>
      <c r="H69" s="36">
        <v>14020</v>
      </c>
      <c r="I69" s="36">
        <v>33090</v>
      </c>
      <c r="J69" s="36">
        <v>19070</v>
      </c>
      <c r="K69" s="35" t="s">
        <v>14</v>
      </c>
      <c r="L69" s="35" t="s">
        <v>226</v>
      </c>
      <c r="M69" s="37" t="s">
        <v>210</v>
      </c>
      <c r="N69" s="32" t="s">
        <v>58</v>
      </c>
      <c r="O69" s="38" t="s">
        <v>66</v>
      </c>
      <c r="P69" s="38" t="s">
        <v>67</v>
      </c>
      <c r="Q69" s="39">
        <f t="shared" si="0"/>
        <v>19.07</v>
      </c>
    </row>
  </sheetData>
  <mergeCells count="1">
    <mergeCell ref="A1:M1"/>
  </mergeCells>
  <conditionalFormatting sqref="K7:K69">
    <cfRule type="expression" dxfId="26" priority="1">
      <formula>AND(#REF!&gt;0,#REF!="QC")</formula>
    </cfRule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01AB6-1B8F-4AD4-B593-3488DAC44DEC}">
  <dimension ref="A1:I52"/>
  <sheetViews>
    <sheetView view="pageBreakPreview" topLeftCell="A34" zoomScale="60" zoomScaleNormal="100" workbookViewId="0">
      <selection activeCell="E51" sqref="E51"/>
    </sheetView>
  </sheetViews>
  <sheetFormatPr defaultRowHeight="18.75" x14ac:dyDescent="0.3"/>
  <cols>
    <col min="1" max="1" width="14.88671875" customWidth="1"/>
    <col min="2" max="2" width="14" customWidth="1"/>
    <col min="3" max="3" width="14.88671875" customWidth="1"/>
    <col min="4" max="4" width="11.88671875" customWidth="1"/>
    <col min="5" max="5" width="15.77734375" customWidth="1"/>
    <col min="6" max="6" width="13.5546875" customWidth="1"/>
    <col min="7" max="7" width="18.44140625" customWidth="1"/>
  </cols>
  <sheetData>
    <row r="1" spans="1:7" s="4" customFormat="1" ht="39.75" customHeight="1" x14ac:dyDescent="0.3">
      <c r="A1" s="326" t="s">
        <v>3084</v>
      </c>
      <c r="B1" s="327"/>
      <c r="C1" s="327"/>
      <c r="D1" s="327"/>
      <c r="E1" s="327"/>
      <c r="F1" s="327"/>
      <c r="G1" s="328"/>
    </row>
    <row r="2" spans="1:7" s="235" customFormat="1" x14ac:dyDescent="0.3">
      <c r="A2" s="227" t="s">
        <v>15</v>
      </c>
      <c r="B2" s="227" t="s">
        <v>22</v>
      </c>
      <c r="C2" s="227" t="s">
        <v>16</v>
      </c>
      <c r="D2" s="227" t="s">
        <v>18</v>
      </c>
      <c r="E2" s="227" t="s">
        <v>19</v>
      </c>
      <c r="F2" s="227" t="s">
        <v>20</v>
      </c>
      <c r="G2" s="227" t="s">
        <v>24</v>
      </c>
    </row>
    <row r="3" spans="1:7" x14ac:dyDescent="0.3">
      <c r="A3" s="236">
        <v>46193</v>
      </c>
      <c r="B3" s="234" t="s">
        <v>524</v>
      </c>
      <c r="C3" s="234" t="s">
        <v>334</v>
      </c>
      <c r="D3" s="234">
        <v>296</v>
      </c>
      <c r="E3" s="237">
        <v>25870</v>
      </c>
      <c r="F3" s="236">
        <v>46186</v>
      </c>
      <c r="G3" s="233" t="s">
        <v>527</v>
      </c>
    </row>
    <row r="4" spans="1:7" x14ac:dyDescent="0.3">
      <c r="A4" s="236">
        <v>46194</v>
      </c>
      <c r="B4" s="234" t="s">
        <v>904</v>
      </c>
      <c r="C4" s="234" t="s">
        <v>334</v>
      </c>
      <c r="D4" s="234">
        <v>179</v>
      </c>
      <c r="E4" s="237">
        <v>25870</v>
      </c>
      <c r="F4" s="236">
        <v>46186</v>
      </c>
      <c r="G4" s="233" t="s">
        <v>527</v>
      </c>
    </row>
    <row r="5" spans="1:7" x14ac:dyDescent="0.3">
      <c r="A5" s="236">
        <v>46195</v>
      </c>
      <c r="B5" s="234" t="s">
        <v>827</v>
      </c>
      <c r="C5" s="234" t="s">
        <v>334</v>
      </c>
      <c r="D5" s="234">
        <v>334</v>
      </c>
      <c r="E5" s="237">
        <v>25870</v>
      </c>
      <c r="F5" s="236">
        <v>46186</v>
      </c>
      <c r="G5" s="233" t="s">
        <v>527</v>
      </c>
    </row>
    <row r="6" spans="1:7" x14ac:dyDescent="0.3">
      <c r="A6" s="236">
        <v>46195</v>
      </c>
      <c r="B6" s="234" t="s">
        <v>905</v>
      </c>
      <c r="C6" s="234" t="s">
        <v>334</v>
      </c>
      <c r="D6" s="234">
        <v>485</v>
      </c>
      <c r="E6" s="237">
        <v>25870</v>
      </c>
      <c r="F6" s="236">
        <v>46186</v>
      </c>
      <c r="G6" s="233" t="s">
        <v>527</v>
      </c>
    </row>
    <row r="7" spans="1:7" x14ac:dyDescent="0.3">
      <c r="A7" s="236">
        <v>46195</v>
      </c>
      <c r="B7" s="234" t="s">
        <v>906</v>
      </c>
      <c r="C7" s="234" t="s">
        <v>334</v>
      </c>
      <c r="D7" s="234">
        <v>274</v>
      </c>
      <c r="E7" s="237">
        <v>25870</v>
      </c>
      <c r="F7" s="236">
        <v>46186</v>
      </c>
      <c r="G7" s="233" t="s">
        <v>527</v>
      </c>
    </row>
    <row r="8" spans="1:7" x14ac:dyDescent="0.3">
      <c r="A8" s="236">
        <v>46195</v>
      </c>
      <c r="B8" s="234" t="s">
        <v>823</v>
      </c>
      <c r="C8" s="234" t="s">
        <v>334</v>
      </c>
      <c r="D8" s="234">
        <v>330</v>
      </c>
      <c r="E8" s="237">
        <v>25870</v>
      </c>
      <c r="F8" s="236">
        <v>46186</v>
      </c>
      <c r="G8" s="233" t="s">
        <v>527</v>
      </c>
    </row>
    <row r="9" spans="1:7" x14ac:dyDescent="0.3">
      <c r="A9" s="236">
        <v>46196</v>
      </c>
      <c r="B9" s="234" t="s">
        <v>827</v>
      </c>
      <c r="C9" s="234" t="s">
        <v>334</v>
      </c>
      <c r="D9" s="234">
        <v>395</v>
      </c>
      <c r="E9" s="237">
        <v>23530</v>
      </c>
      <c r="F9" s="236">
        <v>46195</v>
      </c>
      <c r="G9" s="233" t="s">
        <v>527</v>
      </c>
    </row>
    <row r="10" spans="1:7" x14ac:dyDescent="0.3">
      <c r="A10" s="236">
        <v>46196</v>
      </c>
      <c r="B10" s="234" t="s">
        <v>905</v>
      </c>
      <c r="C10" s="234" t="s">
        <v>334</v>
      </c>
      <c r="D10" s="234">
        <v>260</v>
      </c>
      <c r="E10" s="237">
        <v>23530</v>
      </c>
      <c r="F10" s="236">
        <v>46195</v>
      </c>
      <c r="G10" s="233" t="s">
        <v>527</v>
      </c>
    </row>
    <row r="11" spans="1:7" x14ac:dyDescent="0.3">
      <c r="A11" s="236">
        <v>46196</v>
      </c>
      <c r="B11" s="234" t="s">
        <v>907</v>
      </c>
      <c r="C11" s="234" t="s">
        <v>334</v>
      </c>
      <c r="D11" s="234">
        <v>184</v>
      </c>
      <c r="E11" s="237">
        <v>23530</v>
      </c>
      <c r="F11" s="236">
        <v>46195</v>
      </c>
      <c r="G11" s="233" t="s">
        <v>527</v>
      </c>
    </row>
    <row r="12" spans="1:7" x14ac:dyDescent="0.3">
      <c r="A12" s="236">
        <v>46196</v>
      </c>
      <c r="B12" s="234" t="s">
        <v>904</v>
      </c>
      <c r="C12" s="234" t="s">
        <v>334</v>
      </c>
      <c r="D12" s="234">
        <v>368</v>
      </c>
      <c r="E12" s="237">
        <v>23530</v>
      </c>
      <c r="F12" s="236">
        <v>46195</v>
      </c>
      <c r="G12" s="233" t="s">
        <v>527</v>
      </c>
    </row>
    <row r="13" spans="1:7" x14ac:dyDescent="0.3">
      <c r="A13" s="236">
        <v>46196</v>
      </c>
      <c r="B13" s="234" t="s">
        <v>906</v>
      </c>
      <c r="C13" s="234" t="s">
        <v>334</v>
      </c>
      <c r="D13" s="234">
        <v>297</v>
      </c>
      <c r="E13" s="237">
        <v>23530</v>
      </c>
      <c r="F13" s="236">
        <v>46195</v>
      </c>
      <c r="G13" s="233" t="s">
        <v>527</v>
      </c>
    </row>
    <row r="14" spans="1:7" x14ac:dyDescent="0.3">
      <c r="A14" s="236">
        <v>46196</v>
      </c>
      <c r="B14" s="234" t="s">
        <v>823</v>
      </c>
      <c r="C14" s="234" t="s">
        <v>334</v>
      </c>
      <c r="D14" s="234">
        <v>187</v>
      </c>
      <c r="E14" s="237">
        <v>23530</v>
      </c>
      <c r="F14" s="236">
        <v>46195</v>
      </c>
      <c r="G14" s="233" t="s">
        <v>527</v>
      </c>
    </row>
    <row r="15" spans="1:7" x14ac:dyDescent="0.3">
      <c r="A15" s="236">
        <v>46196</v>
      </c>
      <c r="B15" s="234" t="s">
        <v>526</v>
      </c>
      <c r="C15" s="234" t="s">
        <v>334</v>
      </c>
      <c r="D15" s="234">
        <v>446</v>
      </c>
      <c r="E15" s="237">
        <v>23530</v>
      </c>
      <c r="F15" s="236">
        <v>46195</v>
      </c>
      <c r="G15" s="233" t="s">
        <v>527</v>
      </c>
    </row>
    <row r="16" spans="1:7" x14ac:dyDescent="0.3">
      <c r="A16" s="236">
        <v>46196</v>
      </c>
      <c r="B16" s="234" t="s">
        <v>908</v>
      </c>
      <c r="C16" s="234" t="s">
        <v>334</v>
      </c>
      <c r="D16" s="234">
        <v>450</v>
      </c>
      <c r="E16" s="237">
        <v>23530</v>
      </c>
      <c r="F16" s="236">
        <v>46195</v>
      </c>
      <c r="G16" s="233" t="s">
        <v>527</v>
      </c>
    </row>
    <row r="17" spans="1:7" x14ac:dyDescent="0.3">
      <c r="A17" s="236">
        <v>46196</v>
      </c>
      <c r="B17" s="234" t="s">
        <v>905</v>
      </c>
      <c r="C17" s="234" t="s">
        <v>334</v>
      </c>
      <c r="D17" s="234">
        <v>402</v>
      </c>
      <c r="E17" s="237">
        <v>23530</v>
      </c>
      <c r="F17" s="236">
        <v>46195</v>
      </c>
      <c r="G17" s="233" t="s">
        <v>527</v>
      </c>
    </row>
    <row r="18" spans="1:7" x14ac:dyDescent="0.3">
      <c r="A18" s="236">
        <v>46196</v>
      </c>
      <c r="B18" s="234" t="s">
        <v>524</v>
      </c>
      <c r="C18" s="234" t="s">
        <v>334</v>
      </c>
      <c r="D18" s="234">
        <v>398</v>
      </c>
      <c r="E18" s="237">
        <v>23530</v>
      </c>
      <c r="F18" s="236">
        <v>46195</v>
      </c>
      <c r="G18" s="233" t="s">
        <v>527</v>
      </c>
    </row>
    <row r="19" spans="1:7" x14ac:dyDescent="0.3">
      <c r="A19" s="236">
        <v>46196</v>
      </c>
      <c r="B19" s="234" t="s">
        <v>523</v>
      </c>
      <c r="C19" s="234" t="s">
        <v>334</v>
      </c>
      <c r="D19" s="234">
        <v>385</v>
      </c>
      <c r="E19" s="237">
        <v>23530</v>
      </c>
      <c r="F19" s="236">
        <v>46195</v>
      </c>
      <c r="G19" s="233" t="s">
        <v>527</v>
      </c>
    </row>
    <row r="20" spans="1:7" x14ac:dyDescent="0.3">
      <c r="A20" s="236">
        <v>46196</v>
      </c>
      <c r="B20" s="234" t="s">
        <v>825</v>
      </c>
      <c r="C20" s="234" t="s">
        <v>334</v>
      </c>
      <c r="D20" s="234">
        <v>303</v>
      </c>
      <c r="E20" s="237">
        <v>23530</v>
      </c>
      <c r="F20" s="236">
        <v>46195</v>
      </c>
      <c r="G20" s="233" t="s">
        <v>527</v>
      </c>
    </row>
    <row r="21" spans="1:7" x14ac:dyDescent="0.3">
      <c r="A21" s="236">
        <v>46196</v>
      </c>
      <c r="B21" s="234" t="s">
        <v>525</v>
      </c>
      <c r="C21" s="234" t="s">
        <v>334</v>
      </c>
      <c r="D21" s="234">
        <v>248</v>
      </c>
      <c r="E21" s="237">
        <v>23530</v>
      </c>
      <c r="F21" s="236">
        <v>46195</v>
      </c>
      <c r="G21" s="233" t="s">
        <v>527</v>
      </c>
    </row>
    <row r="22" spans="1:7" x14ac:dyDescent="0.3">
      <c r="A22" s="236">
        <v>46197</v>
      </c>
      <c r="B22" s="234" t="s">
        <v>827</v>
      </c>
      <c r="C22" s="234" t="s">
        <v>334</v>
      </c>
      <c r="D22" s="234">
        <v>315</v>
      </c>
      <c r="E22" s="237">
        <v>23530</v>
      </c>
      <c r="F22" s="236">
        <v>46195</v>
      </c>
      <c r="G22" s="233" t="s">
        <v>527</v>
      </c>
    </row>
    <row r="23" spans="1:7" x14ac:dyDescent="0.3">
      <c r="A23" s="236">
        <v>46197</v>
      </c>
      <c r="B23" s="234" t="s">
        <v>909</v>
      </c>
      <c r="C23" s="234" t="s">
        <v>334</v>
      </c>
      <c r="D23" s="234">
        <v>400</v>
      </c>
      <c r="E23" s="237">
        <v>23530</v>
      </c>
      <c r="F23" s="236">
        <v>46195</v>
      </c>
      <c r="G23" s="233" t="s">
        <v>527</v>
      </c>
    </row>
    <row r="24" spans="1:7" x14ac:dyDescent="0.3">
      <c r="A24" s="236">
        <v>46197</v>
      </c>
      <c r="B24" s="234" t="s">
        <v>910</v>
      </c>
      <c r="C24" s="234" t="s">
        <v>334</v>
      </c>
      <c r="D24" s="234">
        <v>475</v>
      </c>
      <c r="E24" s="237">
        <v>23530</v>
      </c>
      <c r="F24" s="236">
        <v>46195</v>
      </c>
      <c r="G24" s="233" t="s">
        <v>527</v>
      </c>
    </row>
    <row r="25" spans="1:7" x14ac:dyDescent="0.3">
      <c r="A25" s="236">
        <v>46197</v>
      </c>
      <c r="B25" s="234" t="s">
        <v>827</v>
      </c>
      <c r="C25" s="234" t="s">
        <v>334</v>
      </c>
      <c r="D25" s="234">
        <v>269</v>
      </c>
      <c r="E25" s="237">
        <v>23530</v>
      </c>
      <c r="F25" s="236">
        <v>46195</v>
      </c>
      <c r="G25" s="233" t="s">
        <v>527</v>
      </c>
    </row>
    <row r="26" spans="1:7" x14ac:dyDescent="0.3">
      <c r="A26" s="236">
        <v>46197</v>
      </c>
      <c r="B26" s="234" t="s">
        <v>524</v>
      </c>
      <c r="C26" s="234" t="s">
        <v>334</v>
      </c>
      <c r="D26" s="234">
        <v>195</v>
      </c>
      <c r="E26" s="237">
        <v>23530</v>
      </c>
      <c r="F26" s="236">
        <v>46195</v>
      </c>
      <c r="G26" s="233" t="s">
        <v>527</v>
      </c>
    </row>
    <row r="27" spans="1:7" x14ac:dyDescent="0.3">
      <c r="A27" s="236">
        <v>46198</v>
      </c>
      <c r="B27" s="234" t="s">
        <v>908</v>
      </c>
      <c r="C27" s="234" t="s">
        <v>334</v>
      </c>
      <c r="D27" s="234">
        <v>306</v>
      </c>
      <c r="E27" s="237">
        <v>23530</v>
      </c>
      <c r="F27" s="236">
        <v>46195</v>
      </c>
      <c r="G27" s="233" t="s">
        <v>527</v>
      </c>
    </row>
    <row r="28" spans="1:7" x14ac:dyDescent="0.3">
      <c r="A28" s="236">
        <v>46199</v>
      </c>
      <c r="B28" s="234" t="s">
        <v>905</v>
      </c>
      <c r="C28" s="234" t="s">
        <v>334</v>
      </c>
      <c r="D28" s="234">
        <v>344</v>
      </c>
      <c r="E28" s="237">
        <v>23530</v>
      </c>
      <c r="F28" s="236">
        <v>46195</v>
      </c>
      <c r="G28" s="233" t="s">
        <v>527</v>
      </c>
    </row>
    <row r="29" spans="1:7" x14ac:dyDescent="0.3">
      <c r="A29" s="236">
        <v>46199</v>
      </c>
      <c r="B29" s="234" t="s">
        <v>904</v>
      </c>
      <c r="C29" s="234" t="s">
        <v>334</v>
      </c>
      <c r="D29" s="234">
        <v>464</v>
      </c>
      <c r="E29" s="237">
        <v>23530</v>
      </c>
      <c r="F29" s="236">
        <v>46195</v>
      </c>
      <c r="G29" s="233" t="s">
        <v>527</v>
      </c>
    </row>
    <row r="30" spans="1:7" x14ac:dyDescent="0.3">
      <c r="A30" s="236">
        <v>46199</v>
      </c>
      <c r="B30" s="234" t="s">
        <v>824</v>
      </c>
      <c r="C30" s="234" t="s">
        <v>334</v>
      </c>
      <c r="D30" s="234">
        <v>134</v>
      </c>
      <c r="E30" s="237">
        <v>23530</v>
      </c>
      <c r="F30" s="236">
        <v>46195</v>
      </c>
      <c r="G30" s="233" t="s">
        <v>527</v>
      </c>
    </row>
    <row r="31" spans="1:7" x14ac:dyDescent="0.3">
      <c r="A31" s="236">
        <v>46200</v>
      </c>
      <c r="B31" s="234" t="s">
        <v>906</v>
      </c>
      <c r="C31" s="234" t="s">
        <v>334</v>
      </c>
      <c r="D31" s="234">
        <v>175</v>
      </c>
      <c r="E31" s="237">
        <v>21860</v>
      </c>
      <c r="F31" s="236">
        <v>46199</v>
      </c>
      <c r="G31" s="233" t="s">
        <v>527</v>
      </c>
    </row>
    <row r="32" spans="1:7" x14ac:dyDescent="0.3">
      <c r="A32" s="236">
        <v>46200</v>
      </c>
      <c r="B32" s="234" t="s">
        <v>526</v>
      </c>
      <c r="C32" s="234" t="s">
        <v>334</v>
      </c>
      <c r="D32" s="234">
        <v>200</v>
      </c>
      <c r="E32" s="237">
        <v>21860</v>
      </c>
      <c r="F32" s="236">
        <v>46199</v>
      </c>
      <c r="G32" s="233" t="s">
        <v>527</v>
      </c>
    </row>
    <row r="33" spans="1:9" x14ac:dyDescent="0.3">
      <c r="A33" s="236">
        <v>46200</v>
      </c>
      <c r="B33" s="234" t="s">
        <v>823</v>
      </c>
      <c r="C33" s="234" t="s">
        <v>334</v>
      </c>
      <c r="D33" s="234">
        <v>256</v>
      </c>
      <c r="E33" s="237">
        <v>21860</v>
      </c>
      <c r="F33" s="236">
        <v>46199</v>
      </c>
      <c r="G33" s="233" t="s">
        <v>527</v>
      </c>
    </row>
    <row r="34" spans="1:9" x14ac:dyDescent="0.3">
      <c r="A34" s="236">
        <v>46200</v>
      </c>
      <c r="B34" s="234" t="s">
        <v>907</v>
      </c>
      <c r="C34" s="234" t="s">
        <v>334</v>
      </c>
      <c r="D34" s="234">
        <v>500</v>
      </c>
      <c r="E34" s="237">
        <v>21860</v>
      </c>
      <c r="F34" s="236">
        <v>46199</v>
      </c>
      <c r="G34" s="233" t="s">
        <v>527</v>
      </c>
    </row>
    <row r="35" spans="1:9" x14ac:dyDescent="0.3">
      <c r="A35" s="236">
        <v>46200</v>
      </c>
      <c r="B35" s="234" t="s">
        <v>524</v>
      </c>
      <c r="C35" s="234" t="s">
        <v>334</v>
      </c>
      <c r="D35" s="234">
        <v>451</v>
      </c>
      <c r="E35" s="237">
        <v>21860</v>
      </c>
      <c r="F35" s="236">
        <v>46199</v>
      </c>
      <c r="G35" s="233" t="s">
        <v>527</v>
      </c>
    </row>
    <row r="36" spans="1:9" x14ac:dyDescent="0.3">
      <c r="A36" s="236">
        <v>46200</v>
      </c>
      <c r="B36" s="234" t="s">
        <v>910</v>
      </c>
      <c r="C36" s="234" t="s">
        <v>334</v>
      </c>
      <c r="D36" s="234">
        <v>349</v>
      </c>
      <c r="E36" s="237">
        <v>21860</v>
      </c>
      <c r="F36" s="236">
        <v>46199</v>
      </c>
      <c r="G36" s="233" t="s">
        <v>527</v>
      </c>
    </row>
    <row r="37" spans="1:9" x14ac:dyDescent="0.3">
      <c r="A37" s="236">
        <v>46200</v>
      </c>
      <c r="B37" s="234" t="s">
        <v>827</v>
      </c>
      <c r="C37" s="234" t="s">
        <v>334</v>
      </c>
      <c r="D37" s="234">
        <v>374</v>
      </c>
      <c r="E37" s="237">
        <v>21860</v>
      </c>
      <c r="F37" s="236">
        <v>46199</v>
      </c>
      <c r="G37" s="233" t="s">
        <v>527</v>
      </c>
    </row>
    <row r="38" spans="1:9" x14ac:dyDescent="0.3">
      <c r="A38" s="236">
        <v>46200</v>
      </c>
      <c r="B38" s="234" t="s">
        <v>523</v>
      </c>
      <c r="C38" s="234" t="s">
        <v>334</v>
      </c>
      <c r="D38" s="234">
        <v>396</v>
      </c>
      <c r="E38" s="237">
        <v>21860</v>
      </c>
      <c r="F38" s="236">
        <v>46199</v>
      </c>
      <c r="G38" s="233" t="s">
        <v>527</v>
      </c>
    </row>
    <row r="39" spans="1:9" x14ac:dyDescent="0.3">
      <c r="A39" s="236">
        <v>46200</v>
      </c>
      <c r="B39" s="234" t="s">
        <v>908</v>
      </c>
      <c r="C39" s="234" t="s">
        <v>334</v>
      </c>
      <c r="D39" s="234">
        <v>412</v>
      </c>
      <c r="E39" s="237">
        <v>21860</v>
      </c>
      <c r="F39" s="236">
        <v>46199</v>
      </c>
      <c r="G39" s="233" t="s">
        <v>527</v>
      </c>
    </row>
    <row r="40" spans="1:9" x14ac:dyDescent="0.3">
      <c r="A40" s="236">
        <v>46200</v>
      </c>
      <c r="B40" s="234" t="s">
        <v>905</v>
      </c>
      <c r="C40" s="234" t="s">
        <v>334</v>
      </c>
      <c r="D40" s="234">
        <v>309</v>
      </c>
      <c r="E40" s="237">
        <v>21860</v>
      </c>
      <c r="F40" s="236">
        <v>46199</v>
      </c>
      <c r="G40" s="233" t="s">
        <v>527</v>
      </c>
    </row>
    <row r="41" spans="1:9" x14ac:dyDescent="0.3">
      <c r="A41" s="236">
        <v>46200</v>
      </c>
      <c r="B41" s="234" t="s">
        <v>909</v>
      </c>
      <c r="C41" s="234" t="s">
        <v>334</v>
      </c>
      <c r="D41" s="234">
        <v>380</v>
      </c>
      <c r="E41" s="237">
        <v>21860</v>
      </c>
      <c r="F41" s="236">
        <v>46199</v>
      </c>
      <c r="G41" s="233" t="s">
        <v>527</v>
      </c>
    </row>
    <row r="42" spans="1:9" x14ac:dyDescent="0.3">
      <c r="A42" s="236">
        <v>46200</v>
      </c>
      <c r="B42" s="234" t="s">
        <v>824</v>
      </c>
      <c r="C42" s="234" t="s">
        <v>334</v>
      </c>
      <c r="D42" s="234">
        <v>371</v>
      </c>
      <c r="E42" s="237">
        <v>21860</v>
      </c>
      <c r="F42" s="236">
        <v>46199</v>
      </c>
      <c r="G42" s="233" t="s">
        <v>527</v>
      </c>
    </row>
    <row r="43" spans="1:9" x14ac:dyDescent="0.3">
      <c r="A43" s="236">
        <v>46201</v>
      </c>
      <c r="B43" s="234" t="s">
        <v>825</v>
      </c>
      <c r="C43" s="234" t="s">
        <v>334</v>
      </c>
      <c r="D43" s="234">
        <v>450</v>
      </c>
      <c r="E43" s="237">
        <v>21860</v>
      </c>
      <c r="F43" s="236">
        <v>46199</v>
      </c>
      <c r="G43" s="233" t="s">
        <v>527</v>
      </c>
    </row>
    <row r="44" spans="1:9" x14ac:dyDescent="0.3">
      <c r="A44" s="329" t="s">
        <v>320</v>
      </c>
      <c r="B44" s="330"/>
      <c r="C44" s="331"/>
      <c r="D44" s="243">
        <v>13746</v>
      </c>
      <c r="E44" s="233"/>
      <c r="F44" s="233"/>
      <c r="G44" s="233"/>
    </row>
    <row r="45" spans="1:9" x14ac:dyDescent="0.3">
      <c r="A45" s="196"/>
      <c r="B45" s="196"/>
      <c r="C45" s="196"/>
      <c r="D45" s="4"/>
    </row>
    <row r="46" spans="1:9" x14ac:dyDescent="0.3">
      <c r="A46" s="238" t="s">
        <v>333</v>
      </c>
      <c r="B46" s="238"/>
      <c r="C46" s="238"/>
      <c r="D46" s="238"/>
      <c r="E46" s="287" t="s">
        <v>45</v>
      </c>
      <c r="F46" s="287"/>
      <c r="G46" s="287"/>
      <c r="H46" s="287"/>
      <c r="I46" s="240"/>
    </row>
    <row r="47" spans="1:9" x14ac:dyDescent="0.3">
      <c r="A47" s="287" t="s">
        <v>830</v>
      </c>
      <c r="B47" s="287"/>
      <c r="C47" s="287" t="s">
        <v>325</v>
      </c>
      <c r="D47" s="287"/>
      <c r="E47" s="287" t="s">
        <v>831</v>
      </c>
      <c r="F47" s="287"/>
      <c r="G47" s="287" t="s">
        <v>325</v>
      </c>
      <c r="H47" s="287"/>
    </row>
    <row r="48" spans="1:9" x14ac:dyDescent="0.3">
      <c r="A48" s="239"/>
      <c r="B48" s="239"/>
      <c r="C48" s="239"/>
      <c r="D48" s="239"/>
      <c r="E48" s="239"/>
      <c r="F48" s="239"/>
      <c r="G48" s="239"/>
      <c r="H48" s="239"/>
    </row>
    <row r="49" spans="1:8" x14ac:dyDescent="0.3">
      <c r="A49" s="239"/>
      <c r="B49" s="239"/>
      <c r="C49" s="239"/>
      <c r="D49" s="239"/>
      <c r="E49" s="239"/>
      <c r="F49" s="239"/>
      <c r="G49" s="239"/>
      <c r="H49" s="239"/>
    </row>
    <row r="50" spans="1:8" x14ac:dyDescent="0.3">
      <c r="A50" s="241"/>
      <c r="B50" s="241"/>
      <c r="C50" s="241"/>
      <c r="D50" s="241"/>
      <c r="F50" s="241"/>
      <c r="G50" s="241"/>
      <c r="H50" s="242"/>
    </row>
    <row r="51" spans="1:8" x14ac:dyDescent="0.3">
      <c r="A51" s="241"/>
      <c r="B51" s="241"/>
      <c r="C51" s="241"/>
      <c r="D51" s="241"/>
      <c r="F51" s="241"/>
      <c r="G51" s="241"/>
      <c r="H51" s="242"/>
    </row>
    <row r="52" spans="1:8" x14ac:dyDescent="0.3">
      <c r="A52" s="287" t="s">
        <v>833</v>
      </c>
      <c r="B52" s="287"/>
      <c r="C52" s="287" t="s">
        <v>837</v>
      </c>
      <c r="D52" s="287"/>
      <c r="E52" s="287" t="s">
        <v>834</v>
      </c>
      <c r="F52" s="287"/>
      <c r="G52" s="313" t="s">
        <v>832</v>
      </c>
      <c r="H52" s="313"/>
    </row>
  </sheetData>
  <mergeCells count="11">
    <mergeCell ref="A52:B52"/>
    <mergeCell ref="C52:D52"/>
    <mergeCell ref="E52:F52"/>
    <mergeCell ref="G52:H52"/>
    <mergeCell ref="A1:G1"/>
    <mergeCell ref="A44:C44"/>
    <mergeCell ref="E46:H46"/>
    <mergeCell ref="A47:B47"/>
    <mergeCell ref="C47:D47"/>
    <mergeCell ref="E47:F47"/>
    <mergeCell ref="G47:H47"/>
  </mergeCells>
  <pageMargins left="0.7" right="0.7" top="0.75" bottom="0.75" header="0.3" footer="0.3"/>
  <pageSetup paperSize="9" scale="62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1"/>
  <sheetViews>
    <sheetView workbookViewId="0">
      <selection activeCell="A2" sqref="A2:R2"/>
    </sheetView>
  </sheetViews>
  <sheetFormatPr defaultColWidth="7.109375" defaultRowHeight="18.75" outlineLevelRow="2" x14ac:dyDescent="0.3"/>
  <cols>
    <col min="1" max="2" width="1.109375" customWidth="1"/>
    <col min="3" max="3" width="11.6640625" customWidth="1"/>
    <col min="4" max="4" width="11.6640625" hidden="1" customWidth="1"/>
    <col min="5" max="5" width="23.33203125" hidden="1" customWidth="1"/>
    <col min="6" max="6" width="10" customWidth="1"/>
    <col min="7" max="8" width="10.5546875" style="1" customWidth="1"/>
    <col min="9" max="9" width="11.109375" customWidth="1"/>
    <col min="10" max="10" width="23.33203125" customWidth="1"/>
    <col min="11" max="11" width="8.33203125" customWidth="1"/>
    <col min="12" max="13" width="13.33203125" style="3" hidden="1" customWidth="1"/>
    <col min="14" max="15" width="12.21875" style="2" hidden="1" customWidth="1"/>
    <col min="16" max="16" width="13.33203125" style="3" hidden="1" customWidth="1"/>
    <col min="17" max="17" width="12.21875" style="2" customWidth="1"/>
    <col min="18" max="18" width="11.109375" customWidth="1"/>
  </cols>
  <sheetData>
    <row r="1" spans="1:18" x14ac:dyDescent="0.3">
      <c r="A1" s="324" t="s">
        <v>274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</row>
    <row r="2" spans="1:18" x14ac:dyDescent="0.3">
      <c r="A2" s="332" t="s">
        <v>275</v>
      </c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</row>
    <row r="3" spans="1:18" x14ac:dyDescent="0.3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3">
        <f>SUBTOTAL(9,Q6:Q10)</f>
        <v>1851</v>
      </c>
      <c r="R3" s="42"/>
    </row>
    <row r="4" spans="1:18" x14ac:dyDescent="0.3">
      <c r="C4" s="333" t="s">
        <v>276</v>
      </c>
      <c r="D4" s="333" t="s">
        <v>277</v>
      </c>
      <c r="E4" s="333" t="s">
        <v>278</v>
      </c>
      <c r="F4" s="333" t="s">
        <v>279</v>
      </c>
      <c r="G4" s="335" t="s">
        <v>280</v>
      </c>
      <c r="H4" s="335" t="s">
        <v>281</v>
      </c>
      <c r="I4" s="333" t="s">
        <v>282</v>
      </c>
      <c r="J4" s="333" t="s">
        <v>283</v>
      </c>
      <c r="K4" s="333" t="s">
        <v>16</v>
      </c>
      <c r="L4" s="337" t="s">
        <v>284</v>
      </c>
      <c r="M4" s="337" t="s">
        <v>285</v>
      </c>
      <c r="N4" s="339" t="s">
        <v>286</v>
      </c>
      <c r="O4" s="340"/>
      <c r="P4" s="341"/>
      <c r="Q4" s="45" t="s">
        <v>287</v>
      </c>
      <c r="R4" s="333" t="s">
        <v>288</v>
      </c>
    </row>
    <row r="5" spans="1:18" x14ac:dyDescent="0.3">
      <c r="C5" s="334"/>
      <c r="D5" s="334"/>
      <c r="E5" s="334"/>
      <c r="F5" s="334"/>
      <c r="G5" s="336"/>
      <c r="H5" s="336"/>
      <c r="I5" s="334"/>
      <c r="J5" s="334"/>
      <c r="K5" s="334"/>
      <c r="L5" s="338"/>
      <c r="M5" s="338"/>
      <c r="N5" s="46" t="s">
        <v>289</v>
      </c>
      <c r="O5" s="46" t="s">
        <v>290</v>
      </c>
      <c r="P5" s="44" t="s">
        <v>291</v>
      </c>
      <c r="Q5" s="46" t="s">
        <v>289</v>
      </c>
      <c r="R5" s="334"/>
    </row>
    <row r="6" spans="1:18" outlineLevel="2" x14ac:dyDescent="0.3">
      <c r="C6" s="47" t="s">
        <v>292</v>
      </c>
      <c r="D6" s="47" t="s">
        <v>293</v>
      </c>
      <c r="E6" s="47" t="s">
        <v>294</v>
      </c>
      <c r="F6" s="47" t="s">
        <v>295</v>
      </c>
      <c r="G6" s="48">
        <v>45969</v>
      </c>
      <c r="H6" s="48">
        <v>45969</v>
      </c>
      <c r="I6" s="47" t="s">
        <v>296</v>
      </c>
      <c r="J6" s="47" t="s">
        <v>297</v>
      </c>
      <c r="K6" s="47" t="s">
        <v>17</v>
      </c>
      <c r="L6" s="49">
        <v>0</v>
      </c>
      <c r="M6" s="49">
        <v>0</v>
      </c>
      <c r="N6" s="50">
        <v>0</v>
      </c>
      <c r="O6" s="50">
        <v>0</v>
      </c>
      <c r="P6" s="49">
        <v>0</v>
      </c>
      <c r="Q6" s="50">
        <v>367</v>
      </c>
      <c r="R6" s="47" t="s">
        <v>298</v>
      </c>
    </row>
    <row r="7" spans="1:18" outlineLevel="2" x14ac:dyDescent="0.3">
      <c r="C7" s="47" t="s">
        <v>292</v>
      </c>
      <c r="D7" s="47" t="s">
        <v>293</v>
      </c>
      <c r="E7" s="47" t="s">
        <v>294</v>
      </c>
      <c r="F7" s="47" t="s">
        <v>295</v>
      </c>
      <c r="G7" s="48">
        <v>45969</v>
      </c>
      <c r="H7" s="48">
        <v>45969</v>
      </c>
      <c r="I7" s="47" t="s">
        <v>299</v>
      </c>
      <c r="J7" s="47" t="s">
        <v>300</v>
      </c>
      <c r="K7" s="47" t="s">
        <v>17</v>
      </c>
      <c r="L7" s="49">
        <v>0</v>
      </c>
      <c r="M7" s="49">
        <v>0</v>
      </c>
      <c r="N7" s="50">
        <v>0</v>
      </c>
      <c r="O7" s="50">
        <v>0</v>
      </c>
      <c r="P7" s="49">
        <v>0</v>
      </c>
      <c r="Q7" s="50">
        <v>361</v>
      </c>
      <c r="R7" s="47" t="s">
        <v>301</v>
      </c>
    </row>
    <row r="8" spans="1:18" outlineLevel="2" x14ac:dyDescent="0.3">
      <c r="C8" s="47" t="s">
        <v>292</v>
      </c>
      <c r="D8" s="47" t="s">
        <v>293</v>
      </c>
      <c r="E8" s="47" t="s">
        <v>294</v>
      </c>
      <c r="F8" s="47" t="s">
        <v>295</v>
      </c>
      <c r="G8" s="48">
        <v>45969</v>
      </c>
      <c r="H8" s="48">
        <v>45969</v>
      </c>
      <c r="I8" s="47" t="s">
        <v>302</v>
      </c>
      <c r="J8" s="47" t="s">
        <v>303</v>
      </c>
      <c r="K8" s="47" t="s">
        <v>17</v>
      </c>
      <c r="L8" s="49">
        <v>0</v>
      </c>
      <c r="M8" s="49">
        <v>0</v>
      </c>
      <c r="N8" s="50">
        <v>0</v>
      </c>
      <c r="O8" s="50">
        <v>0</v>
      </c>
      <c r="P8" s="49">
        <v>0</v>
      </c>
      <c r="Q8" s="50">
        <v>281</v>
      </c>
      <c r="R8" s="47" t="s">
        <v>304</v>
      </c>
    </row>
    <row r="9" spans="1:18" outlineLevel="2" x14ac:dyDescent="0.3">
      <c r="C9" s="47" t="s">
        <v>292</v>
      </c>
      <c r="D9" s="47" t="s">
        <v>293</v>
      </c>
      <c r="E9" s="47" t="s">
        <v>294</v>
      </c>
      <c r="F9" s="47" t="s">
        <v>295</v>
      </c>
      <c r="G9" s="48">
        <v>45969</v>
      </c>
      <c r="H9" s="48">
        <v>45969</v>
      </c>
      <c r="I9" s="47" t="s">
        <v>305</v>
      </c>
      <c r="J9" s="47" t="s">
        <v>306</v>
      </c>
      <c r="K9" s="47" t="s">
        <v>17</v>
      </c>
      <c r="L9" s="49">
        <v>0</v>
      </c>
      <c r="M9" s="49">
        <v>0</v>
      </c>
      <c r="N9" s="50">
        <v>0</v>
      </c>
      <c r="O9" s="50">
        <v>0</v>
      </c>
      <c r="P9" s="49">
        <v>0</v>
      </c>
      <c r="Q9" s="50">
        <v>441</v>
      </c>
      <c r="R9" s="47" t="s">
        <v>307</v>
      </c>
    </row>
    <row r="10" spans="1:18" outlineLevel="2" x14ac:dyDescent="0.3">
      <c r="C10" s="47" t="s">
        <v>292</v>
      </c>
      <c r="D10" s="47" t="s">
        <v>293</v>
      </c>
      <c r="E10" s="47" t="s">
        <v>294</v>
      </c>
      <c r="F10" s="47" t="s">
        <v>295</v>
      </c>
      <c r="G10" s="48">
        <v>45969</v>
      </c>
      <c r="H10" s="48">
        <v>45969</v>
      </c>
      <c r="I10" s="47" t="s">
        <v>308</v>
      </c>
      <c r="J10" s="47" t="s">
        <v>309</v>
      </c>
      <c r="K10" s="47" t="s">
        <v>17</v>
      </c>
      <c r="L10" s="49">
        <v>0</v>
      </c>
      <c r="M10" s="49">
        <v>0</v>
      </c>
      <c r="N10" s="50">
        <v>0</v>
      </c>
      <c r="O10" s="50">
        <v>0</v>
      </c>
      <c r="P10" s="49">
        <v>0</v>
      </c>
      <c r="Q10" s="50">
        <v>401</v>
      </c>
      <c r="R10" s="47" t="s">
        <v>310</v>
      </c>
    </row>
    <row r="11" spans="1:18" x14ac:dyDescent="0.3">
      <c r="C11" s="51" t="s">
        <v>311</v>
      </c>
      <c r="N11" s="52">
        <v>0</v>
      </c>
      <c r="O11" s="52">
        <v>0</v>
      </c>
      <c r="P11" s="53">
        <v>0</v>
      </c>
      <c r="Q11" s="52">
        <v>1851</v>
      </c>
    </row>
  </sheetData>
  <mergeCells count="15">
    <mergeCell ref="A1:R1"/>
    <mergeCell ref="A2:R2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P4"/>
    <mergeCell ref="R4:R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FF7D4B-D1CA-465F-A655-628A12A419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BK</vt:lpstr>
      <vt:lpstr>Sheet2</vt:lpstr>
      <vt:lpstr>Sheet1</vt:lpstr>
      <vt:lpstr>BKCT (2)</vt:lpstr>
      <vt:lpstr>NL_GIAONHANDAU (2)</vt:lpstr>
      <vt:lpstr>BKCT</vt:lpstr>
      <vt:lpstr>NL_GIAONHANDAU (3)</vt:lpstr>
      <vt:lpstr>BKCT (3)</vt:lpstr>
      <vt:lpstr>BKVC</vt:lpstr>
      <vt:lpstr>QR_DGVC (2)</vt:lpstr>
      <vt:lpstr>NL_VC</vt:lpstr>
      <vt:lpstr>NL_GIAONHANDAU</vt:lpstr>
      <vt:lpstr>CAN</vt:lpstr>
      <vt:lpstr>Sheet6</vt:lpstr>
      <vt:lpstr>Sheet3</vt:lpstr>
      <vt:lpstr>BKVC!Print_Area</vt:lpstr>
      <vt:lpstr>'NL_GIAONHANDAU (2)'!Print_Area</vt:lpstr>
      <vt:lpstr>'NL_GIAONHANDAU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Phú Thủy Lê</dc:creator>
  <cp:lastModifiedBy>AdminB</cp:lastModifiedBy>
  <cp:lastPrinted>2026-09-21T07:22:55Z</cp:lastPrinted>
  <dcterms:created xsi:type="dcterms:W3CDTF">2025-11-01T02:41:43Z</dcterms:created>
  <dcterms:modified xsi:type="dcterms:W3CDTF">2026-09-24T10:19:22Z</dcterms:modified>
</cp:coreProperties>
</file>