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:\My Drive\HẸN\VC DĂM\T9.2026\XUẤT HÀNG 24.09\"/>
    </mc:Choice>
  </mc:AlternateContent>
  <xr:revisionPtr revIDLastSave="0" documentId="13_ncr:1_{20A75D70-CCAE-4076-B61E-7DB0E79C0885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BK" sheetId="15" state="hidden" r:id="rId1"/>
    <sheet name="Sheet2" sheetId="19" state="hidden" r:id="rId2"/>
    <sheet name="Sheet1" sheetId="18" state="hidden" r:id="rId3"/>
    <sheet name="BKCT (2)" sheetId="21" state="hidden" r:id="rId4"/>
    <sheet name="NL_GIAONHANDAU (2)" sheetId="24" state="hidden" r:id="rId5"/>
    <sheet name="BKCT" sheetId="23" state="hidden" r:id="rId6"/>
    <sheet name="QR_DGVC (2)" sheetId="16" r:id="rId7"/>
    <sheet name="NL_VC" sheetId="2" r:id="rId8"/>
    <sheet name="CAN" sheetId="13" state="hidden" r:id="rId9"/>
    <sheet name="NL_GIAONHANDAU" sheetId="1" r:id="rId10"/>
    <sheet name="Sheet6" sheetId="22" state="hidden" r:id="rId11"/>
    <sheet name="Sheet3" sheetId="14" state="hidden" r:id="rId12"/>
  </sheets>
  <externalReferences>
    <externalReference r:id="rId13"/>
  </externalReferences>
  <definedNames>
    <definedName name="ExternalData_1" localSheetId="6" hidden="1">'QR_DGVC (2)'!$A$5:$Q$6</definedName>
    <definedName name="_xlnm.Print_Area" localSheetId="4">'NL_GIAONHANDAU (2)'!$A$1:$H$33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4" l="1"/>
  <c r="J327" i="23"/>
  <c r="J766" i="21"/>
  <c r="E43" i="19" l="1"/>
  <c r="J405" i="18"/>
  <c r="Q3" i="14" l="1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" i="13" s="1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B8" i="13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Q7" i="13"/>
  <c r="J5" i="13"/>
  <c r="G5" i="13"/>
  <c r="H10" i="15"/>
  <c r="D10" i="15"/>
  <c r="C10" i="15"/>
  <c r="E9" i="15"/>
  <c r="G9" i="15" s="1"/>
  <c r="I9" i="15" s="1"/>
  <c r="E8" i="15"/>
  <c r="G8" i="15" s="1"/>
  <c r="I8" i="15" s="1"/>
  <c r="E7" i="15"/>
  <c r="C11" i="15"/>
  <c r="E10" i="15" l="1"/>
  <c r="G7" i="15"/>
  <c r="G10" i="15" l="1"/>
  <c r="I10" i="15" s="1"/>
  <c r="I7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R_DATA" description="Connection to the 'QR_DATA' query in the workbook." type="5" refreshedVersion="8" background="1" saveData="1">
    <dbPr connection="Provider=Microsoft.Mashup.OleDb.1;Data Source=$Workbook$;Location=QR_DATA;Extended Properties=&quot;&quot;" command="SELECT * FROM [QR_DATA]"/>
  </connection>
  <connection id="2" xr16:uid="{FBD92176-3A3A-4D5B-9016-26896F850341}" keepAlive="1" name="Query - QR_DATA (2)" description="Connection to the 'QR_DATA (2)' query in the workbook." type="5" refreshedVersion="0" background="1">
    <dbPr connection="Provider=Microsoft.Mashup.OleDb.1;Data Source=$Workbook$;Location=&quot;QR_DATA (2)&quot;;Extended Properties=&quot;&quot;" command="SELECT * FROM [QR_DATA (2)]"/>
  </connection>
  <connection id="3" xr16:uid="{00000000-0015-0000-FFFF-FFFF01000000}" keepAlive="1" name="Query - QR_DGVC" description="Connection to the 'QR_DGVC' query in the workbook." type="5" refreshedVersion="8" background="1" saveData="1">
    <dbPr connection="Provider=Microsoft.Mashup.OleDb.1;Data Source=$Workbook$;Location=QR_DGVC;Extended Properties=&quot;&quot;" command="SELECT * FROM [QR_DGVC]"/>
  </connection>
  <connection id="4" xr16:uid="{ABF68E7B-DEDC-45F7-9CF2-85436A02B4A8}" keepAlive="1" name="Query - QR_DGVC (2)" description="Connection to the 'QR_DGVC (2)' query in the workbook." type="5" refreshedVersion="8" background="1" saveData="1">
    <dbPr connection="Provider=Microsoft.Mashup.OleDb.1;Data Source=$Workbook$;Location=&quot;QR_DGVC (2)&quot;;Extended Properties=&quot;&quot;" command="SELECT * FROM [QR_DGVC (2)]"/>
  </connection>
  <connection id="5" xr16:uid="{00000000-0015-0000-FFFF-FFFF02000000}" keepAlive="1" name="Query - TBL_DATA" description="Connection to the 'TBL_DATA' query in the workbook." type="5" refreshedVersion="8" background="1" saveData="1">
    <dbPr connection="Provider=Microsoft.Mashup.OleDb.1;Data Source=$Workbook$;Location=TBL_DATA;Extended Properties=&quot;&quot;" command="SELECT * FROM [TBL_DATA]"/>
  </connection>
  <connection id="6" xr16:uid="{28C3BD81-CB27-4480-9168-084740B63BA8}" keepAlive="1" name="Query - TBL_DATA (2)" description="Connection to the 'TBL_DATA (2)' query in the workbook." type="5" refreshedVersion="0" background="1">
    <dbPr connection="Provider=Microsoft.Mashup.OleDb.1;Data Source=$Workbook$;Location=&quot;TBL_DATA (2)&quot;;Extended Properties=&quot;&quot;" command="SELECT * FROM [TBL_DATA (2)]"/>
  </connection>
  <connection id="7" xr16:uid="{00000000-0015-0000-FFFF-FFFF03000000}" keepAlive="1" name="Query - TBL_GIAONHANDAU" description="Connection to the 'TBL_GIAONHANDAU' query in the workbook." type="5" refreshedVersion="8" background="1" saveData="1">
    <dbPr connection="Provider=Microsoft.Mashup.OleDb.1;Data Source=$Workbook$;Location=TBL_GIAONHANDAU;Extended Properties=&quot;&quot;" command="SELECT * FROM [TBL_GIAONHANDAU]"/>
  </connection>
  <connection id="8" xr16:uid="{F91AE7E6-360A-4F65-A768-3A67CC2828A7}" keepAlive="1" name="Query - TBL_GIAONHANDAU (2)" description="Connection to the 'TBL_GIAONHANDAU (2)' query in the workbook." type="5" refreshedVersion="0" background="1">
    <dbPr connection="Provider=Microsoft.Mashup.OleDb.1;Data Source=$Workbook$;Location=&quot;TBL_GIAONHANDAU (2)&quot;;Extended Properties=&quot;&quot;" command="SELECT * FROM [TBL_GIAONHANDAU (2)]"/>
  </connection>
  <connection id="9" xr16:uid="{00000000-0015-0000-FFFF-FFFF04000000}" keepAlive="1" name="Query - TBL_VC" description="Connection to the 'TBL_VC' query in the workbook." type="5" refreshedVersion="8" background="1" saveData="1">
    <dbPr connection="Provider=Microsoft.Mashup.OleDb.1;Data Source=$Workbook$;Location=TBL_VC;Extended Properties=&quot;&quot;" command="SELECT * FROM [TBL_VC]"/>
  </connection>
  <connection id="10" xr16:uid="{6CCCED55-DEB3-4029-A2AF-BE65C41B8890}" keepAlive="1" name="Query - TBL_VC (2)" description="Connection to the 'TBL_VC (2)' query in the workbook." type="5" refreshedVersion="0" background="1">
    <dbPr connection="Provider=Microsoft.Mashup.OleDb.1;Data Source=$Workbook$;Location=&quot;TBL_VC (2)&quot;;Extended Properties=&quot;&quot;" command="SELECT * FROM [TBL_VC (2)]"/>
  </connection>
</connections>
</file>

<file path=xl/sharedStrings.xml><?xml version="1.0" encoding="utf-8"?>
<sst xmlns="http://schemas.openxmlformats.org/spreadsheetml/2006/main" count="7651" uniqueCount="4341">
  <si>
    <t>Stt</t>
  </si>
  <si>
    <t>Số
 phiếu</t>
  </si>
  <si>
    <t>Ngày cân 1</t>
  </si>
  <si>
    <t>Giờ cân 1</t>
  </si>
  <si>
    <t>Ngày cân 2</t>
  </si>
  <si>
    <t>Giờ cân 2</t>
  </si>
  <si>
    <t>Biển số 1</t>
  </si>
  <si>
    <t>Cân lần 1</t>
  </si>
  <si>
    <t>Cân lần 2</t>
  </si>
  <si>
    <t>KL hàng (KG)</t>
  </si>
  <si>
    <t>Nguồn gốc</t>
  </si>
  <si>
    <t>Khách hàng</t>
  </si>
  <si>
    <t>LDĐ</t>
  </si>
  <si>
    <t>Kiểu cân</t>
  </si>
  <si>
    <t>ĐN</t>
  </si>
  <si>
    <t>Ngày nhận dầu</t>
  </si>
  <si>
    <t>ĐVT</t>
  </si>
  <si>
    <t>Lít</t>
  </si>
  <si>
    <t>Số lượng (lít)</t>
  </si>
  <si>
    <t>Đơn giá dầu</t>
  </si>
  <si>
    <t>Ngày mua dầu</t>
  </si>
  <si>
    <t>Mã cự ly VC</t>
  </si>
  <si>
    <t>Biển số xe</t>
  </si>
  <si>
    <t>Đơn vị VC</t>
  </si>
  <si>
    <t>Đơn vị</t>
  </si>
  <si>
    <t>Ngày bắt đầu</t>
  </si>
  <si>
    <t>Ngày kết thúc</t>
  </si>
  <si>
    <t>Số chuyến</t>
  </si>
  <si>
    <t>Dầu Diezel thực nhận</t>
  </si>
  <si>
    <t xml:space="preserve">CL Tiêu hao Diezel </t>
  </si>
  <si>
    <t>Đơn giá CL Diezel</t>
  </si>
  <si>
    <t>Đơn giá vận chuyển</t>
  </si>
  <si>
    <t>BẢNG TÍNH ĐƠN GIÁ VẬN CHUYỂN</t>
  </si>
  <si>
    <t>Tuyến</t>
  </si>
  <si>
    <t>STT</t>
  </si>
  <si>
    <t>Cự ly tuyến</t>
  </si>
  <si>
    <t>Đơn giá theo hợp đồng (chưa bao gồm nhiên liệu)</t>
  </si>
  <si>
    <t>Tổng KL (Tấn)</t>
  </si>
  <si>
    <t>Định mức dầu Diezel</t>
  </si>
  <si>
    <t>Nhiên liệu dầu Diezel tiêu hao theo định mức (lít)</t>
  </si>
  <si>
    <t>Ngày nhập dầu</t>
  </si>
  <si>
    <t>Mã tuyến</t>
  </si>
  <si>
    <t>05</t>
  </si>
  <si>
    <t>43H-01055</t>
  </si>
  <si>
    <t>Column1</t>
  </si>
  <si>
    <t>CN CÔNG TY TNHH HOÀNG ANH KHÔI</t>
  </si>
  <si>
    <t>CNN ĐÔNG PHÚ - QUẾ SƠN - QUẢNG NAM</t>
  </si>
  <si>
    <t>BÁO CÁO DANH SÁCH CÁC LƯỢT XE ĐÃ CÂN</t>
  </si>
  <si>
    <t>LĐĐ</t>
  </si>
  <si>
    <t>Cty VC</t>
  </si>
  <si>
    <t>Số HĐVC</t>
  </si>
  <si>
    <t>01</t>
  </si>
  <si>
    <t>08/11/2025</t>
  </si>
  <si>
    <t>02:00:04</t>
  </si>
  <si>
    <t>02:08:04</t>
  </si>
  <si>
    <t>92H-00834</t>
  </si>
  <si>
    <t>NGUYỄN VĂN TÂN</t>
  </si>
  <si>
    <t>LDD92</t>
  </si>
  <si>
    <t>Trung Chuyển</t>
  </si>
  <si>
    <t>Công ty TNHH Hoàng Anh Khôi Quảng Nam</t>
  </si>
  <si>
    <t>02.2025/HĐKT</t>
  </si>
  <si>
    <t>02</t>
  </si>
  <si>
    <t>02:00:41</t>
  </si>
  <si>
    <t>02:18:11</t>
  </si>
  <si>
    <t>92H-00192</t>
  </si>
  <si>
    <t>LÊ VĂN PHÁT</t>
  </si>
  <si>
    <t>Công ty TNHH SX TM DV Đại Hiệp</t>
  </si>
  <si>
    <t>01.06.2025/HĐKT/ĐH-CNHAK</t>
  </si>
  <si>
    <t>03</t>
  </si>
  <si>
    <t>02:01:18</t>
  </si>
  <si>
    <t>02:13:16</t>
  </si>
  <si>
    <t>92H-00979</t>
  </si>
  <si>
    <t xml:space="preserve"> PHAN DUY THƯƠNG</t>
  </si>
  <si>
    <t>04</t>
  </si>
  <si>
    <t>02:01:46</t>
  </si>
  <si>
    <t>02:23:27</t>
  </si>
  <si>
    <t>92H-00195</t>
  </si>
  <si>
    <t>NGUYỄN THANH ĐỨC</t>
  </si>
  <si>
    <t>02:02:23</t>
  </si>
  <si>
    <t>02:29:01</t>
  </si>
  <si>
    <t>92H-00057</t>
  </si>
  <si>
    <t>NGUYỄN PHƯỚC VIỆT</t>
  </si>
  <si>
    <t>06</t>
  </si>
  <si>
    <t>02:03:13</t>
  </si>
  <si>
    <t>04:42:15</t>
  </si>
  <si>
    <t>92H-00141</t>
  </si>
  <si>
    <t>NGUYỄN HOÀNG</t>
  </si>
  <si>
    <t>07</t>
  </si>
  <si>
    <t>02:04:50</t>
  </si>
  <si>
    <t>02:34:46</t>
  </si>
  <si>
    <t>92H-00133</t>
  </si>
  <si>
    <t>HOÀNG VĂN TUẤN SINH</t>
  </si>
  <si>
    <t>08</t>
  </si>
  <si>
    <t>04:18:58</t>
  </si>
  <si>
    <t>04:28:33</t>
  </si>
  <si>
    <t>09</t>
  </si>
  <si>
    <t>04:42:23</t>
  </si>
  <si>
    <t>04:51:16</t>
  </si>
  <si>
    <t>10</t>
  </si>
  <si>
    <t>04:43:54</t>
  </si>
  <si>
    <t>04:56:40</t>
  </si>
  <si>
    <t>11</t>
  </si>
  <si>
    <t>04:55:58</t>
  </si>
  <si>
    <t>05:04:08</t>
  </si>
  <si>
    <t>12</t>
  </si>
  <si>
    <t>05:06:35</t>
  </si>
  <si>
    <t>05:15:21</t>
  </si>
  <si>
    <t>13</t>
  </si>
  <si>
    <t>05:19:49</t>
  </si>
  <si>
    <t>10:03:23</t>
  </si>
  <si>
    <t xml:space="preserve"> NGUYỄN THANH HÙNG</t>
  </si>
  <si>
    <t>Công ty TNHH Hoàng Anh Khôi</t>
  </si>
  <si>
    <t>28.03.25/QĐ-HAK</t>
  </si>
  <si>
    <t>14</t>
  </si>
  <si>
    <t>05:25:28</t>
  </si>
  <si>
    <t>05:34:35</t>
  </si>
  <si>
    <t>15</t>
  </si>
  <si>
    <t>05:33:04</t>
  </si>
  <si>
    <t>05:40:59</t>
  </si>
  <si>
    <t>16</t>
  </si>
  <si>
    <t>07:04:35</t>
  </si>
  <si>
    <t>07:14:56</t>
  </si>
  <si>
    <t>17</t>
  </si>
  <si>
    <t>07:51:18</t>
  </si>
  <si>
    <t>08:01:15</t>
  </si>
  <si>
    <t>18</t>
  </si>
  <si>
    <t>07:55:51</t>
  </si>
  <si>
    <t>08:20:36</t>
  </si>
  <si>
    <t>19</t>
  </si>
  <si>
    <t>07:58:34</t>
  </si>
  <si>
    <t>08:08:41</t>
  </si>
  <si>
    <t>20</t>
  </si>
  <si>
    <t>08:01:55</t>
  </si>
  <si>
    <t>08:15:16</t>
  </si>
  <si>
    <t>21</t>
  </si>
  <si>
    <t>08:31:04</t>
  </si>
  <si>
    <t>08:41:22</t>
  </si>
  <si>
    <t>22</t>
  </si>
  <si>
    <t>09:02:25</t>
  </si>
  <si>
    <t>09:10:41</t>
  </si>
  <si>
    <t>23</t>
  </si>
  <si>
    <t>09:23:55</t>
  </si>
  <si>
    <t>14:54:37</t>
  </si>
  <si>
    <t>92H-00865</t>
  </si>
  <si>
    <t>PHAN VĂN DUY</t>
  </si>
  <si>
    <t>24</t>
  </si>
  <si>
    <t>10:17:14</t>
  </si>
  <si>
    <t>10:26:28</t>
  </si>
  <si>
    <t>25</t>
  </si>
  <si>
    <t>10:53:49</t>
  </si>
  <si>
    <t>11:14:25</t>
  </si>
  <si>
    <t>26</t>
  </si>
  <si>
    <t>11:02:01</t>
  </si>
  <si>
    <t>11:13:48</t>
  </si>
  <si>
    <t>27</t>
  </si>
  <si>
    <t>11:06:59</t>
  </si>
  <si>
    <t>11:29:25</t>
  </si>
  <si>
    <t>28</t>
  </si>
  <si>
    <t>11:35:41</t>
  </si>
  <si>
    <t>11:58:50</t>
  </si>
  <si>
    <t>29</t>
  </si>
  <si>
    <t>12:07:06</t>
  </si>
  <si>
    <t>12:15:36</t>
  </si>
  <si>
    <t>30</t>
  </si>
  <si>
    <t>13:16:27</t>
  </si>
  <si>
    <t>13:27:58</t>
  </si>
  <si>
    <t>31</t>
  </si>
  <si>
    <t>13:35:07</t>
  </si>
  <si>
    <t>13:44:30</t>
  </si>
  <si>
    <t>32</t>
  </si>
  <si>
    <t>14:03:18</t>
  </si>
  <si>
    <t>14:12:17</t>
  </si>
  <si>
    <t>33</t>
  </si>
  <si>
    <t>14:04:52</t>
  </si>
  <si>
    <t>14:18:13</t>
  </si>
  <si>
    <t>34</t>
  </si>
  <si>
    <t>14:25:10</t>
  </si>
  <si>
    <t>14:33:29</t>
  </si>
  <si>
    <t>35</t>
  </si>
  <si>
    <t>14:45:52</t>
  </si>
  <si>
    <t>14:55:53</t>
  </si>
  <si>
    <t>36</t>
  </si>
  <si>
    <t>15:02:41</t>
  </si>
  <si>
    <t>15:12:14</t>
  </si>
  <si>
    <t>37</t>
  </si>
  <si>
    <t>16:17:24</t>
  </si>
  <si>
    <t>16:27:01</t>
  </si>
  <si>
    <t>38</t>
  </si>
  <si>
    <t>16:49:36</t>
  </si>
  <si>
    <t>17:10:43</t>
  </si>
  <si>
    <t>39</t>
  </si>
  <si>
    <t>16:59:17</t>
  </si>
  <si>
    <t>17:13:10</t>
  </si>
  <si>
    <t>40</t>
  </si>
  <si>
    <t>17:05:20</t>
  </si>
  <si>
    <t>17:18:20</t>
  </si>
  <si>
    <t>41</t>
  </si>
  <si>
    <t>17:33:07</t>
  </si>
  <si>
    <t>17:58:33</t>
  </si>
  <si>
    <t>42</t>
  </si>
  <si>
    <t>17:59:27</t>
  </si>
  <si>
    <t>18:08:35</t>
  </si>
  <si>
    <t>43</t>
  </si>
  <si>
    <t>18:17:02</t>
  </si>
  <si>
    <t>18:27:29</t>
  </si>
  <si>
    <t>44</t>
  </si>
  <si>
    <t>09/11/2025</t>
  </si>
  <si>
    <t>02:00:11</t>
  </si>
  <si>
    <t>02:08:31</t>
  </si>
  <si>
    <t>LÊ QUANG TRƯỜNG</t>
  </si>
  <si>
    <t>LDD93</t>
  </si>
  <si>
    <t>45</t>
  </si>
  <si>
    <t>02:00:59</t>
  </si>
  <si>
    <t>02:14:12</t>
  </si>
  <si>
    <t>ĐẶNG DUY PHƯƠNG</t>
  </si>
  <si>
    <t>46</t>
  </si>
  <si>
    <t>02:11:53</t>
  </si>
  <si>
    <t>02:22:21</t>
  </si>
  <si>
    <t>NGÔ BẢO THIÊM</t>
  </si>
  <si>
    <t>47</t>
  </si>
  <si>
    <t>02:17:14</t>
  </si>
  <si>
    <t>02:29:52</t>
  </si>
  <si>
    <t>PHẠM NGỌC HIỆP</t>
  </si>
  <si>
    <t>48</t>
  </si>
  <si>
    <t>02:19:44</t>
  </si>
  <si>
    <t>02:34:27</t>
  </si>
  <si>
    <t xml:space="preserve"> NGUYỄN MẬU PHƯƠNG</t>
  </si>
  <si>
    <t>49</t>
  </si>
  <si>
    <t>02:31:11</t>
  </si>
  <si>
    <t>02:41:58</t>
  </si>
  <si>
    <t>VÕ VĂN TRAI</t>
  </si>
  <si>
    <t>50</t>
  </si>
  <si>
    <t>03:11:24</t>
  </si>
  <si>
    <t>03:21:15</t>
  </si>
  <si>
    <t>TRẦN VĂN LONG</t>
  </si>
  <si>
    <t>51</t>
  </si>
  <si>
    <t>04:29:28</t>
  </si>
  <si>
    <t>04:38:27</t>
  </si>
  <si>
    <t>52</t>
  </si>
  <si>
    <t>04:54:25</t>
  </si>
  <si>
    <t>05:04:22</t>
  </si>
  <si>
    <t>53</t>
  </si>
  <si>
    <t>04:57:49</t>
  </si>
  <si>
    <t>05:12:09</t>
  </si>
  <si>
    <t>54</t>
  </si>
  <si>
    <t>05:20:44</t>
  </si>
  <si>
    <t>05:29:58</t>
  </si>
  <si>
    <t>55</t>
  </si>
  <si>
    <t>05:22:59</t>
  </si>
  <si>
    <t>05:36:14</t>
  </si>
  <si>
    <t>56</t>
  </si>
  <si>
    <t>05:33:58</t>
  </si>
  <si>
    <t>05:43:50</t>
  </si>
  <si>
    <t>57</t>
  </si>
  <si>
    <t>07:04:41</t>
  </si>
  <si>
    <t>07:14:18</t>
  </si>
  <si>
    <t>58</t>
  </si>
  <si>
    <t>07:18:49</t>
  </si>
  <si>
    <t>07:30:08</t>
  </si>
  <si>
    <t>59</t>
  </si>
  <si>
    <t>07:58:19</t>
  </si>
  <si>
    <t>08:09:22</t>
  </si>
  <si>
    <t>60</t>
  </si>
  <si>
    <t>08:44:32</t>
  </si>
  <si>
    <t>08:57:15</t>
  </si>
  <si>
    <t>61</t>
  </si>
  <si>
    <t>08:50:38</t>
  </si>
  <si>
    <t>09:03:33</t>
  </si>
  <si>
    <t>62</t>
  </si>
  <si>
    <t>09:02:29</t>
  </si>
  <si>
    <t>09:15:52</t>
  </si>
  <si>
    <t>63</t>
  </si>
  <si>
    <t>19:29:58</t>
  </si>
  <si>
    <t>19:43:34</t>
  </si>
  <si>
    <t>SỔ CHI TIẾT VẬT TƯ HÀNG HÓA</t>
  </si>
  <si>
    <t>Chi nhánh: CN Công ty TNHH Hoàng Anh Khôi Quế Sơn Quảng Nam; Kho: Kho NVL; Mặt hàng: Dầu Diezel; Từ ngày 08/11/2025 đến ngày 09/11/2025</t>
  </si>
  <si>
    <t>Mã kho</t>
  </si>
  <si>
    <t>Mã hàng</t>
  </si>
  <si>
    <t>Tên kho</t>
  </si>
  <si>
    <t>Tên hàng</t>
  </si>
  <si>
    <t>Ngày hạch toán</t>
  </si>
  <si>
    <t>Ngày chứng từ</t>
  </si>
  <si>
    <t>Số chứng từ</t>
  </si>
  <si>
    <t>Diễn giải</t>
  </si>
  <si>
    <t>Đơn giá</t>
  </si>
  <si>
    <t>Đơn giá theo ĐVC</t>
  </si>
  <si>
    <t>Nhập</t>
  </si>
  <si>
    <t>Xuất</t>
  </si>
  <si>
    <t>Mã thống kê</t>
  </si>
  <si>
    <t>Số lượng</t>
  </si>
  <si>
    <t>Số lượng theo ĐVC</t>
  </si>
  <si>
    <t>Giá trị</t>
  </si>
  <si>
    <t>152.001</t>
  </si>
  <si>
    <t>152QS.001</t>
  </si>
  <si>
    <t>Kho NVL</t>
  </si>
  <si>
    <t>Dầu Diezel</t>
  </si>
  <si>
    <t>XNL5/11</t>
  </si>
  <si>
    <t>TCDN - Xuất dùng cho QC_92H00865</t>
  </si>
  <si>
    <t>QC_92H00865</t>
  </si>
  <si>
    <t>XNL6/11</t>
  </si>
  <si>
    <t>TCDN - Xuất dùng cho DN_43H01055</t>
  </si>
  <si>
    <t>DN_43H01055</t>
  </si>
  <si>
    <t>XNL7/11</t>
  </si>
  <si>
    <t>TCDN - Xuất dùng cho DH_92H00133</t>
  </si>
  <si>
    <t>DH_92H00133</t>
  </si>
  <si>
    <t>XNL8/11</t>
  </si>
  <si>
    <t>TCDN - Xuất dùng cho QC_92H00979</t>
  </si>
  <si>
    <t>QC_92H00979</t>
  </si>
  <si>
    <t>XNL9/11</t>
  </si>
  <si>
    <t>TCDN - Xuất dùng cho DH_92H00141</t>
  </si>
  <si>
    <t>DH_92H00141</t>
  </si>
  <si>
    <t>Số dòng = 6</t>
  </si>
  <si>
    <t xml:space="preserve">CÔNG TY TNHH HOÀNG ANH KHÔI QUẢNG NAM </t>
  </si>
  <si>
    <t>Cụm CN Quế Cường, xã Quế Sơn Trung, TP Đà Nẵng</t>
  </si>
  <si>
    <t xml:space="preserve">BẢNG XÁC NHẬN KHỐI LƯỢNG VẬN CHUYỂN DĂM </t>
  </si>
  <si>
    <t>Khối lượng (KG)</t>
  </si>
  <si>
    <t>Khối lượng (Tấn)</t>
  </si>
  <si>
    <t>Thành tiền</t>
  </si>
  <si>
    <t>VAT (8%)</t>
  </si>
  <si>
    <t>Ghi chú</t>
  </si>
  <si>
    <t>TỔNG CỘNG</t>
  </si>
  <si>
    <t>Viết bằng chữ:</t>
  </si>
  <si>
    <t>Quế Sơn Trung , ngày 11 tháng 11 năm 2025</t>
  </si>
  <si>
    <t>CÔNG TY TNHH HOÀNG ANH KHÔI</t>
  </si>
  <si>
    <t xml:space="preserve">   P Giám Đốc</t>
  </si>
  <si>
    <t>Kế Toán</t>
  </si>
  <si>
    <t>Giám Đốc</t>
  </si>
  <si>
    <t xml:space="preserve">VÕ THỊ NHƯ NGỌC </t>
  </si>
  <si>
    <t>BÙI VĂN HẬU</t>
  </si>
  <si>
    <t xml:space="preserve">VÕ VĂN PHỤNG </t>
  </si>
  <si>
    <t>PHAN XUÂN HƯƠNG</t>
  </si>
  <si>
    <t>Cước vận chuyển dăm gỗ từ NM dăm gỗ _Cụm Công Nghiệp Đông Phú, Xã Quế Sơn, TP Đà Nẵng đến NM dăm gỗ_Thửa đất số 1182, tờ bản đồ số 38, thôn Thạch Nham Tây, Xã Bà Nà, TP Đà Nẵng bằng xe thùng BKS : 92H-00834</t>
  </si>
  <si>
    <t>( Vận chuyển từ ngày 08/11/2025 đến ngày 09/11/2025)</t>
  </si>
  <si>
    <t>CÔNG TY TNHH HOÀNG ANH KHÔI QUẢNG NAM</t>
  </si>
  <si>
    <t>LÍT</t>
  </si>
  <si>
    <t>43H-01098</t>
  </si>
  <si>
    <t>43H-01080</t>
  </si>
  <si>
    <t>43H-01021</t>
  </si>
  <si>
    <t>16:27:00</t>
  </si>
  <si>
    <t>16:33:59</t>
  </si>
  <si>
    <t>16:56:28</t>
  </si>
  <si>
    <t>17:08:24</t>
  </si>
  <si>
    <t>17:24:25</t>
  </si>
  <si>
    <t>17:44:33</t>
  </si>
  <si>
    <t>18:12:19</t>
  </si>
  <si>
    <t>18:26:47</t>
  </si>
  <si>
    <t>20:19:22</t>
  </si>
  <si>
    <t>20:30:24</t>
  </si>
  <si>
    <t>21:16:39</t>
  </si>
  <si>
    <t>21:31:26</t>
  </si>
  <si>
    <t>17:56:04</t>
  </si>
  <si>
    <t>18:05:19</t>
  </si>
  <si>
    <t>18:54:58</t>
  </si>
  <si>
    <t>19:05:16</t>
  </si>
  <si>
    <t>01:01:11</t>
  </si>
  <si>
    <t>01:38:40</t>
  </si>
  <si>
    <t>01:06:02</t>
  </si>
  <si>
    <t>01:51:13</t>
  </si>
  <si>
    <t>01:28:44</t>
  </si>
  <si>
    <t>01:56:54</t>
  </si>
  <si>
    <t>04:08:48</t>
  </si>
  <si>
    <t>04:22:44</t>
  </si>
  <si>
    <t>04:23:18</t>
  </si>
  <si>
    <t>04:31:35</t>
  </si>
  <si>
    <t>04:30:10</t>
  </si>
  <si>
    <t>04:41:37</t>
  </si>
  <si>
    <t>05:00:14</t>
  </si>
  <si>
    <t>05:14:42</t>
  </si>
  <si>
    <t>07:21:38</t>
  </si>
  <si>
    <t>07:30:59</t>
  </si>
  <si>
    <t>07:29:18</t>
  </si>
  <si>
    <t>07:36:56</t>
  </si>
  <si>
    <t>07:47:06</t>
  </si>
  <si>
    <t>07:53:53</t>
  </si>
  <si>
    <t>08:41:11</t>
  </si>
  <si>
    <t>08:48:51</t>
  </si>
  <si>
    <t>10:24:37</t>
  </si>
  <si>
    <t>10:31:31</t>
  </si>
  <si>
    <t>10:41:08</t>
  </si>
  <si>
    <t>10:48:06</t>
  </si>
  <si>
    <t>10:47:08</t>
  </si>
  <si>
    <t>11:14:19</t>
  </si>
  <si>
    <t>11:44:29</t>
  </si>
  <si>
    <t>11:51:08</t>
  </si>
  <si>
    <t>13:10:23</t>
  </si>
  <si>
    <t>13:17:20</t>
  </si>
  <si>
    <t>14:03:50</t>
  </si>
  <si>
    <t>14:11:00</t>
  </si>
  <si>
    <t>14:04:11</t>
  </si>
  <si>
    <t>14:16:13</t>
  </si>
  <si>
    <t>15:22:35</t>
  </si>
  <si>
    <t>15:33:20</t>
  </si>
  <si>
    <t>16:06:33</t>
  </si>
  <si>
    <t>16:16:03</t>
  </si>
  <si>
    <t>00:59:35</t>
  </si>
  <si>
    <t>01:24:17</t>
  </si>
  <si>
    <t>01:29:00</t>
  </si>
  <si>
    <t>01:55:32</t>
  </si>
  <si>
    <t>01:38:59</t>
  </si>
  <si>
    <t>02:12:27</t>
  </si>
  <si>
    <t>02:17:05</t>
  </si>
  <si>
    <t>02:26:41</t>
  </si>
  <si>
    <t>03:55:31</t>
  </si>
  <si>
    <t>04:05:50</t>
  </si>
  <si>
    <t>04:42:01</t>
  </si>
  <si>
    <t>04:50:54</t>
  </si>
  <si>
    <t>05:09:03</t>
  </si>
  <si>
    <t>05:19:44</t>
  </si>
  <si>
    <t>05:24:09</t>
  </si>
  <si>
    <t>05:33:00</t>
  </si>
  <si>
    <t>06:44:58</t>
  </si>
  <si>
    <t>06:53:25</t>
  </si>
  <si>
    <t>07:46:42</t>
  </si>
  <si>
    <t>07:54:46</t>
  </si>
  <si>
    <t>08:25:30</t>
  </si>
  <si>
    <t>08:35:56</t>
  </si>
  <si>
    <t>08:27:24</t>
  </si>
  <si>
    <t>08:39:22</t>
  </si>
  <si>
    <t>10:03:39</t>
  </si>
  <si>
    <t>10:12:19</t>
  </si>
  <si>
    <t>10:49:26</t>
  </si>
  <si>
    <t>11:11:33</t>
  </si>
  <si>
    <t>11:35:14</t>
  </si>
  <si>
    <t>11:58:42</t>
  </si>
  <si>
    <t>11:59:20</t>
  </si>
  <si>
    <t>12:07:09</t>
  </si>
  <si>
    <t>13:05:55</t>
  </si>
  <si>
    <t>13:13:15</t>
  </si>
  <si>
    <t>13:37:57</t>
  </si>
  <si>
    <t>13:45:13</t>
  </si>
  <si>
    <t>14:32:03</t>
  </si>
  <si>
    <t>14:38:14</t>
  </si>
  <si>
    <t>14:55:26</t>
  </si>
  <si>
    <t>15:01:29</t>
  </si>
  <si>
    <t>16:27:31</t>
  </si>
  <si>
    <t>16:40:36</t>
  </si>
  <si>
    <t>17:00:24</t>
  </si>
  <si>
    <t>17:11:27</t>
  </si>
  <si>
    <t>17:57:12</t>
  </si>
  <si>
    <t>18:08:11</t>
  </si>
  <si>
    <t>18:29:05</t>
  </si>
  <si>
    <t>18:39:01</t>
  </si>
  <si>
    <t>06:02:37</t>
  </si>
  <si>
    <t>06:27:03</t>
  </si>
  <si>
    <t>06:03:14</t>
  </si>
  <si>
    <t>06:34:45</t>
  </si>
  <si>
    <t>06:05:28</t>
  </si>
  <si>
    <t>06:57:37</t>
  </si>
  <si>
    <t>06:08:07</t>
  </si>
  <si>
    <t>07:08:30</t>
  </si>
  <si>
    <t>09:27:38</t>
  </si>
  <si>
    <t>09:35:53</t>
  </si>
  <si>
    <t>09:42:12</t>
  </si>
  <si>
    <t>09:49:38</t>
  </si>
  <si>
    <t>10:26:50</t>
  </si>
  <si>
    <t>10:42:39</t>
  </si>
  <si>
    <t>11:00:10</t>
  </si>
  <si>
    <t>11:16:27</t>
  </si>
  <si>
    <t>12:53:09</t>
  </si>
  <si>
    <t>12:59:56</t>
  </si>
  <si>
    <t>13:04:29</t>
  </si>
  <si>
    <t>13:16:42</t>
  </si>
  <si>
    <t>13:30:09</t>
  </si>
  <si>
    <t>13:37:43</t>
  </si>
  <si>
    <t>14:20:57</t>
  </si>
  <si>
    <t>14:27:20</t>
  </si>
  <si>
    <t>15:45:16</t>
  </si>
  <si>
    <t>15:52:53</t>
  </si>
  <si>
    <t>16:12:21</t>
  </si>
  <si>
    <t>16:20:38</t>
  </si>
  <si>
    <t>16:34:49</t>
  </si>
  <si>
    <t>16:43:52</t>
  </si>
  <si>
    <t>17:34:34</t>
  </si>
  <si>
    <t>17:44:42</t>
  </si>
  <si>
    <t>01:01:10</t>
  </si>
  <si>
    <t>01:18:16</t>
  </si>
  <si>
    <t>01:01:46</t>
  </si>
  <si>
    <t>01:26:04</t>
  </si>
  <si>
    <t>01:03:37</t>
  </si>
  <si>
    <t>01:50:57</t>
  </si>
  <si>
    <t>02:22:12</t>
  </si>
  <si>
    <t>02:34:21</t>
  </si>
  <si>
    <t>03:45:20</t>
  </si>
  <si>
    <t>04:03:52</t>
  </si>
  <si>
    <t>04:03:06</t>
  </si>
  <si>
    <t>04:11:01</t>
  </si>
  <si>
    <t>05:32:44</t>
  </si>
  <si>
    <t>05:43:53</t>
  </si>
  <si>
    <t>05:58:13</t>
  </si>
  <si>
    <t>06:08:12</t>
  </si>
  <si>
    <t>06:36:22</t>
  </si>
  <si>
    <t>06:46:17</t>
  </si>
  <si>
    <t>06:43:21</t>
  </si>
  <si>
    <t>06:51:47</t>
  </si>
  <si>
    <t>08:56:02</t>
  </si>
  <si>
    <t>09:19:28</t>
  </si>
  <si>
    <t>09:27:04</t>
  </si>
  <si>
    <t>09:37:54</t>
  </si>
  <si>
    <t>09:48:15</t>
  </si>
  <si>
    <t>10:05:32</t>
  </si>
  <si>
    <t>09:55:36</t>
  </si>
  <si>
    <t>10:18:43</t>
  </si>
  <si>
    <t>12:32:14</t>
  </si>
  <si>
    <t>15:29:51</t>
  </si>
  <si>
    <t>12:54:39</t>
  </si>
  <si>
    <t>13:06:39</t>
  </si>
  <si>
    <t>13:17:29</t>
  </si>
  <si>
    <t>13:28:00</t>
  </si>
  <si>
    <t>15:03:48</t>
  </si>
  <si>
    <t>15:15:20</t>
  </si>
  <si>
    <t>15:18:13</t>
  </si>
  <si>
    <t>15:48:52</t>
  </si>
  <si>
    <t>15:49:42</t>
  </si>
  <si>
    <t>16:04:09</t>
  </si>
  <si>
    <t>16:15:41</t>
  </si>
  <si>
    <t>16:32:29</t>
  </si>
  <si>
    <t>16:34:32</t>
  </si>
  <si>
    <t>16:45:00</t>
  </si>
  <si>
    <t>18:35:17</t>
  </si>
  <si>
    <t>18:50:15</t>
  </si>
  <si>
    <t>VC.010</t>
  </si>
  <si>
    <t>19:22:50</t>
  </si>
  <si>
    <t>19:33:53</t>
  </si>
  <si>
    <t>43H01055</t>
  </si>
  <si>
    <t>43H01021</t>
  </si>
  <si>
    <t>43H01098</t>
  </si>
  <si>
    <t>43H01080</t>
  </si>
  <si>
    <t>CNHAK</t>
  </si>
  <si>
    <t>1</t>
  </si>
  <si>
    <t>09:38:48</t>
  </si>
  <si>
    <t>10:14:07</t>
  </si>
  <si>
    <t>16:56:31</t>
  </si>
  <si>
    <t>17:12:17</t>
  </si>
  <si>
    <t>16:37:37</t>
  </si>
  <si>
    <t>16:52:21</t>
  </si>
  <si>
    <t>16:12:57</t>
  </si>
  <si>
    <t>16:26:27</t>
  </si>
  <si>
    <t>92H-00903</t>
  </si>
  <si>
    <t>15:54:14</t>
  </si>
  <si>
    <t>16:15:16</t>
  </si>
  <si>
    <t>92H-00994</t>
  </si>
  <si>
    <t>13:50:40</t>
  </si>
  <si>
    <t>14:05:35</t>
  </si>
  <si>
    <t>13:32:21</t>
  </si>
  <si>
    <t>13:43:45</t>
  </si>
  <si>
    <t>12:57:14</t>
  </si>
  <si>
    <t>13:15:31</t>
  </si>
  <si>
    <t>12:50:04</t>
  </si>
  <si>
    <t>13:10:58</t>
  </si>
  <si>
    <t>12:29:03</t>
  </si>
  <si>
    <t>12:41:33</t>
  </si>
  <si>
    <t>10:58:58</t>
  </si>
  <si>
    <t>11:09:25</t>
  </si>
  <si>
    <t>10:24:25</t>
  </si>
  <si>
    <t>10:35:09</t>
  </si>
  <si>
    <t>10:14:13</t>
  </si>
  <si>
    <t>10:26:16</t>
  </si>
  <si>
    <t>09:46:57</t>
  </si>
  <si>
    <t>09:58:13</t>
  </si>
  <si>
    <t>09:20:04</t>
  </si>
  <si>
    <t>09:30:45</t>
  </si>
  <si>
    <t>08:00:19</t>
  </si>
  <si>
    <t>08:10:03</t>
  </si>
  <si>
    <t>07:36:12</t>
  </si>
  <si>
    <t>07:45:20</t>
  </si>
  <si>
    <t>07:09:39</t>
  </si>
  <si>
    <t>07:20:03</t>
  </si>
  <si>
    <t>06:16:36</t>
  </si>
  <si>
    <t>06:26:04</t>
  </si>
  <si>
    <t>06:00:19</t>
  </si>
  <si>
    <t>06:15:31</t>
  </si>
  <si>
    <t>04:58:42</t>
  </si>
  <si>
    <t>05:12:01</t>
  </si>
  <si>
    <t>04:43:47</t>
  </si>
  <si>
    <t>04:53:14</t>
  </si>
  <si>
    <t>04:09:54</t>
  </si>
  <si>
    <t>04:18:08</t>
  </si>
  <si>
    <t>03:37:46</t>
  </si>
  <si>
    <t>03:46:49</t>
  </si>
  <si>
    <t>03:20:12</t>
  </si>
  <si>
    <t>03:29:54</t>
  </si>
  <si>
    <t>01:20:00</t>
  </si>
  <si>
    <t>02:08:44</t>
  </si>
  <si>
    <t>01:04:17</t>
  </si>
  <si>
    <t>01:59:55</t>
  </si>
  <si>
    <t>01:03:00</t>
  </si>
  <si>
    <t>01:42:21</t>
  </si>
  <si>
    <t>01:00:48</t>
  </si>
  <si>
    <t>01:10:23</t>
  </si>
  <si>
    <t>17:23:30</t>
  </si>
  <si>
    <t>17:35:25</t>
  </si>
  <si>
    <t>16:59:26</t>
  </si>
  <si>
    <t>17:09:50</t>
  </si>
  <si>
    <t>15:35:17</t>
  </si>
  <si>
    <t>15:44:23</t>
  </si>
  <si>
    <t>15:28:42</t>
  </si>
  <si>
    <t>15:36:11</t>
  </si>
  <si>
    <t>14:15:05</t>
  </si>
  <si>
    <t>14:23:47</t>
  </si>
  <si>
    <t>12:32:47</t>
  </si>
  <si>
    <t>12:40:37</t>
  </si>
  <si>
    <t>12:23:56</t>
  </si>
  <si>
    <t>12:36:11</t>
  </si>
  <si>
    <t>10:50:08</t>
  </si>
  <si>
    <t>10:58:55</t>
  </si>
  <si>
    <t>06:24:19</t>
  </si>
  <si>
    <t>07:22:35</t>
  </si>
  <si>
    <t>06:11:32</t>
  </si>
  <si>
    <t>07:13:53</t>
  </si>
  <si>
    <t>06:06:01</t>
  </si>
  <si>
    <t>07:03:48</t>
  </si>
  <si>
    <t>06:01:53</t>
  </si>
  <si>
    <t>06:20:02</t>
  </si>
  <si>
    <t>16:48:48</t>
  </si>
  <si>
    <t>16:56:48</t>
  </si>
  <si>
    <t>16:23:07</t>
  </si>
  <si>
    <t>16:34:16</t>
  </si>
  <si>
    <t>16:18:08</t>
  </si>
  <si>
    <t>16:26:33</t>
  </si>
  <si>
    <t>15:35:50</t>
  </si>
  <si>
    <t>15:43:26</t>
  </si>
  <si>
    <t>13:15:43</t>
  </si>
  <si>
    <t>16:34:00</t>
  </si>
  <si>
    <t>12:59:30</t>
  </si>
  <si>
    <t>13:07:27</t>
  </si>
  <si>
    <t>10:28:54</t>
  </si>
  <si>
    <t>10:45:24</t>
  </si>
  <si>
    <t>10:05:23</t>
  </si>
  <si>
    <t>10:16:46</t>
  </si>
  <si>
    <t>09:38:35</t>
  </si>
  <si>
    <t>09:47:43</t>
  </si>
  <si>
    <t>07:27:49</t>
  </si>
  <si>
    <t>07:35:55</t>
  </si>
  <si>
    <t>07:08:57</t>
  </si>
  <si>
    <t>07:16:12</t>
  </si>
  <si>
    <t>06:25:10</t>
  </si>
  <si>
    <t>06:35:41</t>
  </si>
  <si>
    <t>04:29:56</t>
  </si>
  <si>
    <t>04:38:52</t>
  </si>
  <si>
    <t>04:14:10</t>
  </si>
  <si>
    <t>04:24:56</t>
  </si>
  <si>
    <t>03:41:31</t>
  </si>
  <si>
    <t>03:50:35</t>
  </si>
  <si>
    <t>01:05:05</t>
  </si>
  <si>
    <t>01:47:55</t>
  </si>
  <si>
    <t>01:00:39</t>
  </si>
  <si>
    <t>01:39:59</t>
  </si>
  <si>
    <t>00:58:54</t>
  </si>
  <si>
    <t>01:16:31</t>
  </si>
  <si>
    <t>15:00:44</t>
  </si>
  <si>
    <t>15:16:03</t>
  </si>
  <si>
    <t>14:59:12</t>
  </si>
  <si>
    <t>15:09:46</t>
  </si>
  <si>
    <t>12:36:18</t>
  </si>
  <si>
    <t>12:43:48</t>
  </si>
  <si>
    <t>11:30:58</t>
  </si>
  <si>
    <t>11:42:14</t>
  </si>
  <si>
    <t>11:18:27</t>
  </si>
  <si>
    <t>11:28:10</t>
  </si>
  <si>
    <t>09:40:25</t>
  </si>
  <si>
    <t>09:47:30</t>
  </si>
  <si>
    <t>08:25:53</t>
  </si>
  <si>
    <t>08:34:44</t>
  </si>
  <si>
    <t>08:15:17</t>
  </si>
  <si>
    <t>08:22:49</t>
  </si>
  <si>
    <t>06:21:08</t>
  </si>
  <si>
    <t>06:34:31</t>
  </si>
  <si>
    <t>05:15:33</t>
  </si>
  <si>
    <t>05:24:37</t>
  </si>
  <si>
    <t>04:57:02</t>
  </si>
  <si>
    <t>05:07:35</t>
  </si>
  <si>
    <t>03:55:11</t>
  </si>
  <si>
    <t>02:06:36</t>
  </si>
  <si>
    <t>02:15:23</t>
  </si>
  <si>
    <t>01:01:43</t>
  </si>
  <si>
    <t>01:45:01</t>
  </si>
  <si>
    <t>00:59:26</t>
  </si>
  <si>
    <t>01:25:54</t>
  </si>
  <si>
    <t>17:02:12</t>
  </si>
  <si>
    <t>17:10:17</t>
  </si>
  <si>
    <t>16:28:52</t>
  </si>
  <si>
    <t>16:53:48</t>
  </si>
  <si>
    <t>17:18:53</t>
  </si>
  <si>
    <t>17:30:47</t>
  </si>
  <si>
    <t>18:06:12</t>
  </si>
  <si>
    <t>18:17:12</t>
  </si>
  <si>
    <t>20:02:47</t>
  </si>
  <si>
    <t>20:15:56</t>
  </si>
  <si>
    <t>09:47:14</t>
  </si>
  <si>
    <t>10:18:05</t>
  </si>
  <si>
    <t>16:54:33</t>
  </si>
  <si>
    <t>17:01:38</t>
  </si>
  <si>
    <t>19:10:26</t>
  </si>
  <si>
    <t>16:52:56</t>
  </si>
  <si>
    <t>17:03:12</t>
  </si>
  <si>
    <t>00:58:21</t>
  </si>
  <si>
    <t>01:07:07</t>
  </si>
  <si>
    <t>01:14:02</t>
  </si>
  <si>
    <t>01:00:06</t>
  </si>
  <si>
    <t>01:20:30</t>
  </si>
  <si>
    <t>01:00:38</t>
  </si>
  <si>
    <t>01:32:03</t>
  </si>
  <si>
    <t>03:20:36</t>
  </si>
  <si>
    <t>03:37:36</t>
  </si>
  <si>
    <t>03:56:49</t>
  </si>
  <si>
    <t>04:05:20</t>
  </si>
  <si>
    <t>04:01:46</t>
  </si>
  <si>
    <t>04:13:51</t>
  </si>
  <si>
    <t>06:15:56</t>
  </si>
  <si>
    <t>06:26:16</t>
  </si>
  <si>
    <t>06:44:03</t>
  </si>
  <si>
    <t>06:53:23</t>
  </si>
  <si>
    <t>07:14:10</t>
  </si>
  <si>
    <t>07:23:31</t>
  </si>
  <si>
    <t>09:46:32</t>
  </si>
  <si>
    <t>09:54:35</t>
  </si>
  <si>
    <t>09:53:42</t>
  </si>
  <si>
    <t>10:00:51</t>
  </si>
  <si>
    <t>10:28:32</t>
  </si>
  <si>
    <t>10:37:52</t>
  </si>
  <si>
    <t>12:52:48</t>
  </si>
  <si>
    <t>13:01:10</t>
  </si>
  <si>
    <t>13:00:24</t>
  </si>
  <si>
    <t>13:08:33</t>
  </si>
  <si>
    <t>13:45:59</t>
  </si>
  <si>
    <t>13:53:23</t>
  </si>
  <si>
    <t>00:58:04</t>
  </si>
  <si>
    <t>01:08:33</t>
  </si>
  <si>
    <t>01:00:10</t>
  </si>
  <si>
    <t>01:31:59</t>
  </si>
  <si>
    <t>01:34:17</t>
  </si>
  <si>
    <t>02:03:33</t>
  </si>
  <si>
    <t>03:27:41</t>
  </si>
  <si>
    <t>03:38:15</t>
  </si>
  <si>
    <t>04:08:52</t>
  </si>
  <si>
    <t>04:18:13</t>
  </si>
  <si>
    <t>04:56:27</t>
  </si>
  <si>
    <t>05:05:29</t>
  </si>
  <si>
    <t>06:05:22</t>
  </si>
  <si>
    <t>06:16:38</t>
  </si>
  <si>
    <t>07:20:27</t>
  </si>
  <si>
    <t>07:29:04</t>
  </si>
  <si>
    <t>08:07:18</t>
  </si>
  <si>
    <t>08:20:25</t>
  </si>
  <si>
    <t>09:34:55</t>
  </si>
  <si>
    <t>09:42:30</t>
  </si>
  <si>
    <t>10:32:39</t>
  </si>
  <si>
    <t>10:41:45</t>
  </si>
  <si>
    <t>11:15:06</t>
  </si>
  <si>
    <t>11:32:24</t>
  </si>
  <si>
    <t>12:30:26</t>
  </si>
  <si>
    <t>12:38:46</t>
  </si>
  <si>
    <t>13:25:59</t>
  </si>
  <si>
    <t>13:33:43</t>
  </si>
  <si>
    <t>14:01:25</t>
  </si>
  <si>
    <t>14:07:59</t>
  </si>
  <si>
    <t>15:07:11</t>
  </si>
  <si>
    <t>15:15:28</t>
  </si>
  <si>
    <t>16:50:52</t>
  </si>
  <si>
    <t>17:03:58</t>
  </si>
  <si>
    <t>17:41:37</t>
  </si>
  <si>
    <t>17:54:24</t>
  </si>
  <si>
    <t>06:03:37</t>
  </si>
  <si>
    <t>06:42:27</t>
  </si>
  <si>
    <t>06:04:47</t>
  </si>
  <si>
    <t>10:03:05</t>
  </si>
  <si>
    <t>09:46:42</t>
  </si>
  <si>
    <t>09:55:30</t>
  </si>
  <si>
    <t>09:50:27</t>
  </si>
  <si>
    <t>10:04:34</t>
  </si>
  <si>
    <t>10:19:14</t>
  </si>
  <si>
    <t>10:28:28</t>
  </si>
  <si>
    <t>10:19:56</t>
  </si>
  <si>
    <t>10:34:53</t>
  </si>
  <si>
    <t>13:03:16</t>
  </si>
  <si>
    <t>13:11:34</t>
  </si>
  <si>
    <t>13:40:12</t>
  </si>
  <si>
    <t>13:47:46</t>
  </si>
  <si>
    <t>13:43:49</t>
  </si>
  <si>
    <t>13:53:54</t>
  </si>
  <si>
    <t>16:35:53</t>
  </si>
  <si>
    <t>16:55:50</t>
  </si>
  <si>
    <t>16:51:31</t>
  </si>
  <si>
    <t>17:02:43</t>
  </si>
  <si>
    <t>17:06:44</t>
  </si>
  <si>
    <t>17:17:48</t>
  </si>
  <si>
    <t>01:02:22</t>
  </si>
  <si>
    <t>01:34:07</t>
  </si>
  <si>
    <t>01:46:15</t>
  </si>
  <si>
    <t>02:17:15</t>
  </si>
  <si>
    <t>02:07:30</t>
  </si>
  <si>
    <t>02:26:06</t>
  </si>
  <si>
    <t>04:54:50</t>
  </si>
  <si>
    <t>05:05:14</t>
  </si>
  <si>
    <t>05:12:39</t>
  </si>
  <si>
    <t>05:22:18</t>
  </si>
  <si>
    <t>05:26:00</t>
  </si>
  <si>
    <t>05:35:24</t>
  </si>
  <si>
    <t>08:12:16</t>
  </si>
  <si>
    <t>08:22:50</t>
  </si>
  <si>
    <t>08:24:38</t>
  </si>
  <si>
    <t>08:46:20</t>
  </si>
  <si>
    <t>08:47:04</t>
  </si>
  <si>
    <t>08:57:52</t>
  </si>
  <si>
    <t>11:06:14</t>
  </si>
  <si>
    <t>11:27:10</t>
  </si>
  <si>
    <t>12:00:44</t>
  </si>
  <si>
    <t>12:11:16</t>
  </si>
  <si>
    <t>12:04:07</t>
  </si>
  <si>
    <t>12:19:19</t>
  </si>
  <si>
    <t>13:55:12</t>
  </si>
  <si>
    <t>14:08:00</t>
  </si>
  <si>
    <t>14:11:10</t>
  </si>
  <si>
    <t>14:22:02</t>
  </si>
  <si>
    <t>15:30:00</t>
  </si>
  <si>
    <t>15:40:30</t>
  </si>
  <si>
    <t>17:23:02</t>
  </si>
  <si>
    <t>17:34:37</t>
  </si>
  <si>
    <t>18:31:01</t>
  </si>
  <si>
    <t>18:42:10</t>
  </si>
  <si>
    <t>19:14:11</t>
  </si>
  <si>
    <t>19:26:07</t>
  </si>
  <si>
    <t>92H00903</t>
  </si>
  <si>
    <t>92H00141</t>
  </si>
  <si>
    <t>92H00057</t>
  </si>
  <si>
    <t>92H00192</t>
  </si>
  <si>
    <t>92H00979</t>
  </si>
  <si>
    <t>92H00865</t>
  </si>
  <si>
    <t>92H00994</t>
  </si>
  <si>
    <t xml:space="preserve">   Giám Đốc</t>
  </si>
  <si>
    <t>P.Giám Đốc</t>
  </si>
  <si>
    <t>DƯƠNG THỊ THANH NGA</t>
  </si>
  <si>
    <t>VÕ VĂN PHỤNG</t>
  </si>
  <si>
    <t>VÕ THỊ NHƯ NGỌC</t>
  </si>
  <si>
    <t>Cụm CN Quế Cường - Xã Quế Sơn Trung - TP Đà Nẵng</t>
  </si>
  <si>
    <t>Quế Sơn Trung, ngày 05 tháng 05 năm 2026</t>
  </si>
  <si>
    <t>TRẦN THỊ HẸN</t>
  </si>
  <si>
    <t xml:space="preserve">BẢNG KÊ CHI TIẾT KHỐI LƯỢNG VẬN CHUYỂN DĂM GỖ
( Vận chuyển từ ngày 20/04/2026 đến ngày 28/04/2026 )
 </t>
  </si>
  <si>
    <t xml:space="preserve">BẢNG KÊ GIAO NHẬN DẦU TẠI KHO NM QUẾ CƯỜNG </t>
  </si>
  <si>
    <t>92H-00893</t>
  </si>
  <si>
    <t>01:03:19</t>
  </si>
  <si>
    <t>92H-00844</t>
  </si>
  <si>
    <t>43H-01068</t>
  </si>
  <si>
    <t>02:39:30</t>
  </si>
  <si>
    <t>92H-00815</t>
  </si>
  <si>
    <t>09:52:21</t>
  </si>
  <si>
    <t>10:25:42</t>
  </si>
  <si>
    <t>17:55:07</t>
  </si>
  <si>
    <t>01:01:03</t>
  </si>
  <si>
    <t>01:01:57</t>
  </si>
  <si>
    <t>10:27:33</t>
  </si>
  <si>
    <t>16:09:01</t>
  </si>
  <si>
    <t>02:06:16</t>
  </si>
  <si>
    <t>01:01:59</t>
  </si>
  <si>
    <t>04:24:58</t>
  </si>
  <si>
    <t>12:11:20</t>
  </si>
  <si>
    <t>12:24:27</t>
  </si>
  <si>
    <t>17:53:45</t>
  </si>
  <si>
    <t>04:24:55</t>
  </si>
  <si>
    <t>04:43:14</t>
  </si>
  <si>
    <t>05:02:53</t>
  </si>
  <si>
    <t>05:43:26</t>
  </si>
  <si>
    <t>06:52:51</t>
  </si>
  <si>
    <t>09:10:07</t>
  </si>
  <si>
    <t>10:52:11</t>
  </si>
  <si>
    <t>15:28:00</t>
  </si>
  <si>
    <t>03:33:21</t>
  </si>
  <si>
    <t>05:25:06</t>
  </si>
  <si>
    <t>11:35:42</t>
  </si>
  <si>
    <t>02:09:15</t>
  </si>
  <si>
    <t>05:32:50</t>
  </si>
  <si>
    <t>01:21:22</t>
  </si>
  <si>
    <t>01:06:36</t>
  </si>
  <si>
    <t>05:35:42</t>
  </si>
  <si>
    <t>08:33:06</t>
  </si>
  <si>
    <t>06:23:30</t>
  </si>
  <si>
    <t>03:40:02</t>
  </si>
  <si>
    <t>06:16:54</t>
  </si>
  <si>
    <t>13:07:25</t>
  </si>
  <si>
    <t>01:13:41</t>
  </si>
  <si>
    <t>01:00:52</t>
  </si>
  <si>
    <t>01:05:27</t>
  </si>
  <si>
    <t>03:31:35</t>
  </si>
  <si>
    <t>04:58:40</t>
  </si>
  <si>
    <t>06:28:30</t>
  </si>
  <si>
    <t>07:41:15</t>
  </si>
  <si>
    <t>01:54:55</t>
  </si>
  <si>
    <t>04:19:29</t>
  </si>
  <si>
    <t>15:41:51</t>
  </si>
  <si>
    <t>01:29:10</t>
  </si>
  <si>
    <t>02:13:28</t>
  </si>
  <si>
    <t>05:32:19</t>
  </si>
  <si>
    <t>18:19:28</t>
  </si>
  <si>
    <t>05:38:55</t>
  </si>
  <si>
    <t>01:02:08</t>
  </si>
  <si>
    <t>01:02:42</t>
  </si>
  <si>
    <t>05:43:07</t>
  </si>
  <si>
    <t>06:32:29</t>
  </si>
  <si>
    <t>01:56:28</t>
  </si>
  <si>
    <t>08:17:10</t>
  </si>
  <si>
    <t>08:47:57</t>
  </si>
  <si>
    <t>14:38:51</t>
  </si>
  <si>
    <t>02:14:04</t>
  </si>
  <si>
    <t>92H00844</t>
  </si>
  <si>
    <t>92H00133</t>
  </si>
  <si>
    <t>92H00834</t>
  </si>
  <si>
    <t>92H00815</t>
  </si>
  <si>
    <t>43H01068</t>
  </si>
  <si>
    <t>92H00195</t>
  </si>
  <si>
    <t>92H00893</t>
  </si>
  <si>
    <t>23:25:53</t>
  </si>
  <si>
    <t>00:01:41</t>
  </si>
  <si>
    <t>23:37:26</t>
  </si>
  <si>
    <t>00:20:08</t>
  </si>
  <si>
    <t>23:58:56</t>
  </si>
  <si>
    <t>00:25:07</t>
  </si>
  <si>
    <t>00:05:52</t>
  </si>
  <si>
    <t>00:33:43</t>
  </si>
  <si>
    <t>00:50:48</t>
  </si>
  <si>
    <t>01:03:07</t>
  </si>
  <si>
    <t>01:07:43</t>
  </si>
  <si>
    <t>01:11:10</t>
  </si>
  <si>
    <t>01:30:01</t>
  </si>
  <si>
    <t>01:32:14</t>
  </si>
  <si>
    <t>01:46:02</t>
  </si>
  <si>
    <t>2321</t>
  </si>
  <si>
    <t>04:58:16</t>
  </si>
  <si>
    <t>05:09:56</t>
  </si>
  <si>
    <t>2322</t>
  </si>
  <si>
    <t>04:59:01</t>
  </si>
  <si>
    <t>05:16:13</t>
  </si>
  <si>
    <t>2323</t>
  </si>
  <si>
    <t>04:59:36</t>
  </si>
  <si>
    <t>05:21:38</t>
  </si>
  <si>
    <t>2324</t>
  </si>
  <si>
    <t>05:34:55</t>
  </si>
  <si>
    <t>2325</t>
  </si>
  <si>
    <t>05:01:10</t>
  </si>
  <si>
    <t>05:27:56</t>
  </si>
  <si>
    <t>2326</t>
  </si>
  <si>
    <t>05:12:57</t>
  </si>
  <si>
    <t>05:41:46</t>
  </si>
  <si>
    <t>2327</t>
  </si>
  <si>
    <t>05:14:23</t>
  </si>
  <si>
    <t>05:47:00</t>
  </si>
  <si>
    <t>2328</t>
  </si>
  <si>
    <t>05:28:30</t>
  </si>
  <si>
    <t>05:53:16</t>
  </si>
  <si>
    <t>2329</t>
  </si>
  <si>
    <t>05:31:35</t>
  </si>
  <si>
    <t>05:59:05</t>
  </si>
  <si>
    <t>2330</t>
  </si>
  <si>
    <t>05:42:14</t>
  </si>
  <si>
    <t>06:06:35</t>
  </si>
  <si>
    <t>2331</t>
  </si>
  <si>
    <t>05:53:53</t>
  </si>
  <si>
    <t>06:16:32</t>
  </si>
  <si>
    <t>2332</t>
  </si>
  <si>
    <t>05:54:41</t>
  </si>
  <si>
    <t>06:19:56</t>
  </si>
  <si>
    <t>2333</t>
  </si>
  <si>
    <t>05:57:28</t>
  </si>
  <si>
    <t>06:26:21</t>
  </si>
  <si>
    <t>2334</t>
  </si>
  <si>
    <t>05:59:56</t>
  </si>
  <si>
    <t>2335</t>
  </si>
  <si>
    <t>06:49:41</t>
  </si>
  <si>
    <t>2336</t>
  </si>
  <si>
    <t>07:53:13</t>
  </si>
  <si>
    <t>08:01:58</t>
  </si>
  <si>
    <t>2337</t>
  </si>
  <si>
    <t>07:54:13</t>
  </si>
  <si>
    <t>08:10:19</t>
  </si>
  <si>
    <t>2338</t>
  </si>
  <si>
    <t>08:05:02</t>
  </si>
  <si>
    <t>08:18:32</t>
  </si>
  <si>
    <t>2339</t>
  </si>
  <si>
    <t>08:14:40</t>
  </si>
  <si>
    <t>08:25:35</t>
  </si>
  <si>
    <t>2340</t>
  </si>
  <si>
    <t>08:19:35</t>
  </si>
  <si>
    <t>08:32:02</t>
  </si>
  <si>
    <t>2341</t>
  </si>
  <si>
    <t>08:46:07</t>
  </si>
  <si>
    <t>2342</t>
  </si>
  <si>
    <t>08:46:54</t>
  </si>
  <si>
    <t>08:56:24</t>
  </si>
  <si>
    <t>2343</t>
  </si>
  <si>
    <t>09:06:53</t>
  </si>
  <si>
    <t>09:18:59</t>
  </si>
  <si>
    <t>2344</t>
  </si>
  <si>
    <t>09:12:58</t>
  </si>
  <si>
    <t>09:24:05</t>
  </si>
  <si>
    <t>2345</t>
  </si>
  <si>
    <t>09:15:29</t>
  </si>
  <si>
    <t>09:30:52</t>
  </si>
  <si>
    <t>2346</t>
  </si>
  <si>
    <t>09:19:21</t>
  </si>
  <si>
    <t>09:37:17</t>
  </si>
  <si>
    <t>2347</t>
  </si>
  <si>
    <t>09:31:44</t>
  </si>
  <si>
    <t>09:44:50</t>
  </si>
  <si>
    <t>2348</t>
  </si>
  <si>
    <t>09:42:18</t>
  </si>
  <si>
    <t>09:51:17</t>
  </si>
  <si>
    <t>2349</t>
  </si>
  <si>
    <t>10:00:21</t>
  </si>
  <si>
    <t>10:11:09</t>
  </si>
  <si>
    <t>2350</t>
  </si>
  <si>
    <t>10:01:12</t>
  </si>
  <si>
    <t>10:25:45</t>
  </si>
  <si>
    <t>2351</t>
  </si>
  <si>
    <t>10:45:39</t>
  </si>
  <si>
    <t>10:58:20</t>
  </si>
  <si>
    <t>2352</t>
  </si>
  <si>
    <t>10:59:00</t>
  </si>
  <si>
    <t>11:26:50</t>
  </si>
  <si>
    <t>2353</t>
  </si>
  <si>
    <t>11:06:47</t>
  </si>
  <si>
    <t>11:33:38</t>
  </si>
  <si>
    <t>2354</t>
  </si>
  <si>
    <t>11:11:05</t>
  </si>
  <si>
    <t>11:40:27</t>
  </si>
  <si>
    <t>2355</t>
  </si>
  <si>
    <t>11:21:15</t>
  </si>
  <si>
    <t>11:46:59</t>
  </si>
  <si>
    <t>2356</t>
  </si>
  <si>
    <t>11:34:56</t>
  </si>
  <si>
    <t>12:07:17</t>
  </si>
  <si>
    <t>2357</t>
  </si>
  <si>
    <t>12:01:38</t>
  </si>
  <si>
    <t>12:11:32</t>
  </si>
  <si>
    <t>2358</t>
  </si>
  <si>
    <t>12:12:43</t>
  </si>
  <si>
    <t>12:23:11</t>
  </si>
  <si>
    <t>2359</t>
  </si>
  <si>
    <t>12:16:21</t>
  </si>
  <si>
    <t>12:30:01</t>
  </si>
  <si>
    <t>2360</t>
  </si>
  <si>
    <t>12:20:47</t>
  </si>
  <si>
    <t>12:37:46</t>
  </si>
  <si>
    <t>2361</t>
  </si>
  <si>
    <t>12:46:18</t>
  </si>
  <si>
    <t>12:56:28</t>
  </si>
  <si>
    <t>2362</t>
  </si>
  <si>
    <t>12:48:38</t>
  </si>
  <si>
    <t>13:01:22</t>
  </si>
  <si>
    <t>2363</t>
  </si>
  <si>
    <t>12:49:50</t>
  </si>
  <si>
    <t>2364</t>
  </si>
  <si>
    <t>13:12:42</t>
  </si>
  <si>
    <t>13:22:33</t>
  </si>
  <si>
    <t>2365</t>
  </si>
  <si>
    <t>13:41:52</t>
  </si>
  <si>
    <t>13:50:39</t>
  </si>
  <si>
    <t>2366</t>
  </si>
  <si>
    <t>14:00:18</t>
  </si>
  <si>
    <t>14:08:59</t>
  </si>
  <si>
    <t>2367</t>
  </si>
  <si>
    <t>14:06:50</t>
  </si>
  <si>
    <t>01:22:51</t>
  </si>
  <si>
    <t>2368</t>
  </si>
  <si>
    <t>14:41:11</t>
  </si>
  <si>
    <t>14:52:29</t>
  </si>
  <si>
    <t>2369</t>
  </si>
  <si>
    <t>14:44:35</t>
  </si>
  <si>
    <t>17:33:35</t>
  </si>
  <si>
    <t>2370</t>
  </si>
  <si>
    <t>14:55:08</t>
  </si>
  <si>
    <t>15:10:25</t>
  </si>
  <si>
    <t>2371</t>
  </si>
  <si>
    <t>15:11:04</t>
  </si>
  <si>
    <t>15:22:58</t>
  </si>
  <si>
    <t>2372</t>
  </si>
  <si>
    <t>15:18:24</t>
  </si>
  <si>
    <t>15:40:56</t>
  </si>
  <si>
    <t>2373</t>
  </si>
  <si>
    <t>15:26:10</t>
  </si>
  <si>
    <t>15:41:15</t>
  </si>
  <si>
    <t>2374</t>
  </si>
  <si>
    <t>15:27:17</t>
  </si>
  <si>
    <t>15:45:32</t>
  </si>
  <si>
    <t>2375</t>
  </si>
  <si>
    <t>15:50:38</t>
  </si>
  <si>
    <t>2376</t>
  </si>
  <si>
    <t>15:48:46</t>
  </si>
  <si>
    <t>16:02:01</t>
  </si>
  <si>
    <t>2377</t>
  </si>
  <si>
    <t>16:03:29</t>
  </si>
  <si>
    <t>16:13:36</t>
  </si>
  <si>
    <t>2378</t>
  </si>
  <si>
    <t>17:22:30</t>
  </si>
  <si>
    <t>17:34:42</t>
  </si>
  <si>
    <t>2379</t>
  </si>
  <si>
    <t>01:00:21</t>
  </si>
  <si>
    <t>01:15:44</t>
  </si>
  <si>
    <t>2380</t>
  </si>
  <si>
    <t>01:02:00</t>
  </si>
  <si>
    <t>01:23:11</t>
  </si>
  <si>
    <t>2381</t>
  </si>
  <si>
    <t>01:03:38</t>
  </si>
  <si>
    <t>01:39:47</t>
  </si>
  <si>
    <t>2382</t>
  </si>
  <si>
    <t>01:04:13</t>
  </si>
  <si>
    <t>01:29:04</t>
  </si>
  <si>
    <t>2383</t>
  </si>
  <si>
    <t>01:04:55</t>
  </si>
  <si>
    <t>01:33:24</t>
  </si>
  <si>
    <t>2384</t>
  </si>
  <si>
    <t>01:05:43</t>
  </si>
  <si>
    <t>01:44:31</t>
  </si>
  <si>
    <t>2385</t>
  </si>
  <si>
    <t>01:06:13</t>
  </si>
  <si>
    <t>01:49:22</t>
  </si>
  <si>
    <t>2386</t>
  </si>
  <si>
    <t>01:10:02</t>
  </si>
  <si>
    <t>02:05:32</t>
  </si>
  <si>
    <t>2387</t>
  </si>
  <si>
    <t>01:14:01</t>
  </si>
  <si>
    <t>2388</t>
  </si>
  <si>
    <t>01:17:07</t>
  </si>
  <si>
    <t>02:01:07</t>
  </si>
  <si>
    <t>2389</t>
  </si>
  <si>
    <t>01:19:50</t>
  </si>
  <si>
    <t>02:11:26</t>
  </si>
  <si>
    <t>2390</t>
  </si>
  <si>
    <t>02:17:28</t>
  </si>
  <si>
    <t>2391</t>
  </si>
  <si>
    <t>02:07:20</t>
  </si>
  <si>
    <t>02:23:34</t>
  </si>
  <si>
    <t>2392</t>
  </si>
  <si>
    <t>02:18:14</t>
  </si>
  <si>
    <t>2393</t>
  </si>
  <si>
    <t>02:27:58</t>
  </si>
  <si>
    <t>02:39:01</t>
  </si>
  <si>
    <t>2394</t>
  </si>
  <si>
    <t>03:28:18</t>
  </si>
  <si>
    <t>03:40:22</t>
  </si>
  <si>
    <t>2395</t>
  </si>
  <si>
    <t>03:36:55</t>
  </si>
  <si>
    <t>03:50:33</t>
  </si>
  <si>
    <t>2396</t>
  </si>
  <si>
    <t>03:48:54</t>
  </si>
  <si>
    <t>04:00:08</t>
  </si>
  <si>
    <t>2397</t>
  </si>
  <si>
    <t>03:57:56</t>
  </si>
  <si>
    <t>04:09:10</t>
  </si>
  <si>
    <t>2398</t>
  </si>
  <si>
    <t>04:02:52</t>
  </si>
  <si>
    <t>04:17:51</t>
  </si>
  <si>
    <t>2399</t>
  </si>
  <si>
    <t>04:15:52</t>
  </si>
  <si>
    <t>04:27:18</t>
  </si>
  <si>
    <t>2400</t>
  </si>
  <si>
    <t>04:24:48</t>
  </si>
  <si>
    <t>04:35:48</t>
  </si>
  <si>
    <t>2401</t>
  </si>
  <si>
    <t>04:30:12</t>
  </si>
  <si>
    <t>04:44:04</t>
  </si>
  <si>
    <t>2402</t>
  </si>
  <si>
    <t>04:49:33</t>
  </si>
  <si>
    <t>05:02:08</t>
  </si>
  <si>
    <t>2403</t>
  </si>
  <si>
    <t>04:57:35</t>
  </si>
  <si>
    <t>05:10:30</t>
  </si>
  <si>
    <t>2404</t>
  </si>
  <si>
    <t>05:00:18</t>
  </si>
  <si>
    <t>05:22:07</t>
  </si>
  <si>
    <t>2405</t>
  </si>
  <si>
    <t>05:08:09</t>
  </si>
  <si>
    <t>08:40:11</t>
  </si>
  <si>
    <t>2406</t>
  </si>
  <si>
    <t>05:23:12</t>
  </si>
  <si>
    <t>05:37:28</t>
  </si>
  <si>
    <t>2407</t>
  </si>
  <si>
    <t>05:30:00</t>
  </si>
  <si>
    <t>05:43:59</t>
  </si>
  <si>
    <t>2408</t>
  </si>
  <si>
    <t>05:39:53</t>
  </si>
  <si>
    <t>2409</t>
  </si>
  <si>
    <t>06:02:25</t>
  </si>
  <si>
    <t>06:12:44</t>
  </si>
  <si>
    <t>2410</t>
  </si>
  <si>
    <t>06:08:11</t>
  </si>
  <si>
    <t>06:20:29</t>
  </si>
  <si>
    <t>2411</t>
  </si>
  <si>
    <t>06:38:35</t>
  </si>
  <si>
    <t>2412</t>
  </si>
  <si>
    <t>06:41:18</t>
  </si>
  <si>
    <t>06:51:28</t>
  </si>
  <si>
    <t>2413</t>
  </si>
  <si>
    <t>07:18:47</t>
  </si>
  <si>
    <t>07:46:46</t>
  </si>
  <si>
    <t>2414</t>
  </si>
  <si>
    <t>07:19:59</t>
  </si>
  <si>
    <t>07:36:33</t>
  </si>
  <si>
    <t>2415</t>
  </si>
  <si>
    <t>07:41:12</t>
  </si>
  <si>
    <t>08:05:20</t>
  </si>
  <si>
    <t>2416</t>
  </si>
  <si>
    <t>07:48:16</t>
  </si>
  <si>
    <t>07:57:53</t>
  </si>
  <si>
    <t>2417</t>
  </si>
  <si>
    <t>07:54:43</t>
  </si>
  <si>
    <t>08:12:30</t>
  </si>
  <si>
    <t>2418</t>
  </si>
  <si>
    <t>08:14:06</t>
  </si>
  <si>
    <t>08:24:15</t>
  </si>
  <si>
    <t>2419</t>
  </si>
  <si>
    <t>08:21:59</t>
  </si>
  <si>
    <t>08:32:51</t>
  </si>
  <si>
    <t>2420</t>
  </si>
  <si>
    <t>08:28:17</t>
  </si>
  <si>
    <t>08:40:26</t>
  </si>
  <si>
    <t>2421</t>
  </si>
  <si>
    <t>08:38:52</t>
  </si>
  <si>
    <t>08:58:51</t>
  </si>
  <si>
    <t>2422</t>
  </si>
  <si>
    <t>08:59:27</t>
  </si>
  <si>
    <t>09:08:36</t>
  </si>
  <si>
    <t>2423</t>
  </si>
  <si>
    <t>09:06:57</t>
  </si>
  <si>
    <t>09:14:28</t>
  </si>
  <si>
    <t>2424</t>
  </si>
  <si>
    <t>09:21:33</t>
  </si>
  <si>
    <t>09:31:56</t>
  </si>
  <si>
    <t>2425</t>
  </si>
  <si>
    <t>09:58:36</t>
  </si>
  <si>
    <t>10:08:01</t>
  </si>
  <si>
    <t>2426</t>
  </si>
  <si>
    <t>10:04:44</t>
  </si>
  <si>
    <t>10:16:31</t>
  </si>
  <si>
    <t>2427</t>
  </si>
  <si>
    <t>10:28:33</t>
  </si>
  <si>
    <t>10:41:36</t>
  </si>
  <si>
    <t>2428</t>
  </si>
  <si>
    <t>10:38:19</t>
  </si>
  <si>
    <t>10:48:00</t>
  </si>
  <si>
    <t>2429</t>
  </si>
  <si>
    <t>10:50:54</t>
  </si>
  <si>
    <t>11:24:49</t>
  </si>
  <si>
    <t>2430</t>
  </si>
  <si>
    <t>11:06:16</t>
  </si>
  <si>
    <t>11:29:52</t>
  </si>
  <si>
    <t>2431</t>
  </si>
  <si>
    <t>11:25:03</t>
  </si>
  <si>
    <t>11:47:39</t>
  </si>
  <si>
    <t>2432</t>
  </si>
  <si>
    <t>11:26:32</t>
  </si>
  <si>
    <t>11:35:58</t>
  </si>
  <si>
    <t>2433</t>
  </si>
  <si>
    <t>11:30:59</t>
  </si>
  <si>
    <t>11:41:48</t>
  </si>
  <si>
    <t>2434</t>
  </si>
  <si>
    <t>11:33:36</t>
  </si>
  <si>
    <t>11:58:13</t>
  </si>
  <si>
    <t>2435</t>
  </si>
  <si>
    <t>11:38:31</t>
  </si>
  <si>
    <t>11:53:13</t>
  </si>
  <si>
    <t>2436</t>
  </si>
  <si>
    <t>11:41:06</t>
  </si>
  <si>
    <t>14:56:27</t>
  </si>
  <si>
    <t>2437</t>
  </si>
  <si>
    <t>11:48:37</t>
  </si>
  <si>
    <t>12:14:54</t>
  </si>
  <si>
    <t>2438</t>
  </si>
  <si>
    <t>11:59:11</t>
  </si>
  <si>
    <t>12:09:27</t>
  </si>
  <si>
    <t>2439</t>
  </si>
  <si>
    <t>12:28:12</t>
  </si>
  <si>
    <t>12:37:26</t>
  </si>
  <si>
    <t>2440</t>
  </si>
  <si>
    <t>12:32:45</t>
  </si>
  <si>
    <t>12:44:53</t>
  </si>
  <si>
    <t>2441</t>
  </si>
  <si>
    <t>13:06:41</t>
  </si>
  <si>
    <t>13:15:06</t>
  </si>
  <si>
    <t>2442</t>
  </si>
  <si>
    <t>13:09:57</t>
  </si>
  <si>
    <t>13:29:47</t>
  </si>
  <si>
    <t>2443</t>
  </si>
  <si>
    <t>13:26:21</t>
  </si>
  <si>
    <t>13:35:20</t>
  </si>
  <si>
    <t>2444</t>
  </si>
  <si>
    <t>13:54:37</t>
  </si>
  <si>
    <t>14:03:39</t>
  </si>
  <si>
    <t>2445</t>
  </si>
  <si>
    <t>14:19:22</t>
  </si>
  <si>
    <t>14:29:28</t>
  </si>
  <si>
    <t>2446</t>
  </si>
  <si>
    <t>14:20:45</t>
  </si>
  <si>
    <t>14:33:35</t>
  </si>
  <si>
    <t>2447</t>
  </si>
  <si>
    <t>14:26:33</t>
  </si>
  <si>
    <t>14:39:26</t>
  </si>
  <si>
    <t>2448</t>
  </si>
  <si>
    <t>14:46:32</t>
  </si>
  <si>
    <t>14:57:49</t>
  </si>
  <si>
    <t>2449</t>
  </si>
  <si>
    <t>14:53:02</t>
  </si>
  <si>
    <t>15:04:44</t>
  </si>
  <si>
    <t>2450</t>
  </si>
  <si>
    <t>15:03:08</t>
  </si>
  <si>
    <t>15:17:12</t>
  </si>
  <si>
    <t>2451</t>
  </si>
  <si>
    <t>15:17:45</t>
  </si>
  <si>
    <t>15:26:53</t>
  </si>
  <si>
    <t>2452</t>
  </si>
  <si>
    <t>15:24:32</t>
  </si>
  <si>
    <t>15:34:19</t>
  </si>
  <si>
    <t>2453</t>
  </si>
  <si>
    <t>15:34:57</t>
  </si>
  <si>
    <t>15:44:00</t>
  </si>
  <si>
    <t>2454</t>
  </si>
  <si>
    <t>15:41:28</t>
  </si>
  <si>
    <t>15:50:50</t>
  </si>
  <si>
    <t>2455</t>
  </si>
  <si>
    <t>15:51:45</t>
  </si>
  <si>
    <t>16:00:47</t>
  </si>
  <si>
    <t>2456</t>
  </si>
  <si>
    <t>16:20:23</t>
  </si>
  <si>
    <t>16:29:11</t>
  </si>
  <si>
    <t>2457</t>
  </si>
  <si>
    <t>17:14:14</t>
  </si>
  <si>
    <t>2458</t>
  </si>
  <si>
    <t>17:09:05</t>
  </si>
  <si>
    <t>17:21:54</t>
  </si>
  <si>
    <t>2459</t>
  </si>
  <si>
    <t>17:29:46</t>
  </si>
  <si>
    <t>17:40:03</t>
  </si>
  <si>
    <t>2460</t>
  </si>
  <si>
    <t>17:31:13</t>
  </si>
  <si>
    <t>17:45:43</t>
  </si>
  <si>
    <t>2461</t>
  </si>
  <si>
    <t>17:46:02</t>
  </si>
  <si>
    <t>2462</t>
  </si>
  <si>
    <t>18:08:43</t>
  </si>
  <si>
    <t>18:19:02</t>
  </si>
  <si>
    <t>2463</t>
  </si>
  <si>
    <t>18:33:00</t>
  </si>
  <si>
    <t>18:46:02</t>
  </si>
  <si>
    <t>2464</t>
  </si>
  <si>
    <t>18:34:26</t>
  </si>
  <si>
    <t>18:52:58</t>
  </si>
  <si>
    <t>2465</t>
  </si>
  <si>
    <t>18:38:31</t>
  </si>
  <si>
    <t>18:55:58</t>
  </si>
  <si>
    <t>2466</t>
  </si>
  <si>
    <t>19:03:15</t>
  </si>
  <si>
    <t>19:15:22</t>
  </si>
  <si>
    <t>2467</t>
  </si>
  <si>
    <t>01:13:16</t>
  </si>
  <si>
    <t>2468</t>
  </si>
  <si>
    <t>01:02:24</t>
  </si>
  <si>
    <t>01:17:13</t>
  </si>
  <si>
    <t>2469</t>
  </si>
  <si>
    <t>01:03:39</t>
  </si>
  <si>
    <t>01:23:03</t>
  </si>
  <si>
    <t>2470</t>
  </si>
  <si>
    <t>01:04:41</t>
  </si>
  <si>
    <t>01:27:54</t>
  </si>
  <si>
    <t>2471</t>
  </si>
  <si>
    <t>01:05:57</t>
  </si>
  <si>
    <t>01:33:50</t>
  </si>
  <si>
    <t>2472</t>
  </si>
  <si>
    <t>01:07:13</t>
  </si>
  <si>
    <t>01:38:23</t>
  </si>
  <si>
    <t>2473</t>
  </si>
  <si>
    <t>01:08:58</t>
  </si>
  <si>
    <t>01:44:00</t>
  </si>
  <si>
    <t>2474</t>
  </si>
  <si>
    <t>01:09:54</t>
  </si>
  <si>
    <t>01:50:51</t>
  </si>
  <si>
    <t>2475</t>
  </si>
  <si>
    <t>01:10:41</t>
  </si>
  <si>
    <t>01:55:39</t>
  </si>
  <si>
    <t>2476</t>
  </si>
  <si>
    <t>01:11:53</t>
  </si>
  <si>
    <t>02:02:06</t>
  </si>
  <si>
    <t>2477</t>
  </si>
  <si>
    <t>01:14:12</t>
  </si>
  <si>
    <t>02:07:27</t>
  </si>
  <si>
    <t>2478</t>
  </si>
  <si>
    <t>01:31:24</t>
  </si>
  <si>
    <t>2479</t>
  </si>
  <si>
    <t>01:39:45</t>
  </si>
  <si>
    <t>02:19:36</t>
  </si>
  <si>
    <t>2480</t>
  </si>
  <si>
    <t>02:24:38</t>
  </si>
  <si>
    <t>02:37:56</t>
  </si>
  <si>
    <t>2481</t>
  </si>
  <si>
    <t>02:30:26</t>
  </si>
  <si>
    <t>02:42:36</t>
  </si>
  <si>
    <t>2482</t>
  </si>
  <si>
    <t>03:20:47</t>
  </si>
  <si>
    <t>2483</t>
  </si>
  <si>
    <t>03:32:46</t>
  </si>
  <si>
    <t>03:44:23</t>
  </si>
  <si>
    <t>2484</t>
  </si>
  <si>
    <t>03:44:57</t>
  </si>
  <si>
    <t>2485</t>
  </si>
  <si>
    <t>03:55:50</t>
  </si>
  <si>
    <t>04:06:26</t>
  </si>
  <si>
    <t>2486</t>
  </si>
  <si>
    <t>04:02:34</t>
  </si>
  <si>
    <t>04:14:58</t>
  </si>
  <si>
    <t>2487</t>
  </si>
  <si>
    <t>04:08:20</t>
  </si>
  <si>
    <t>04:22:47</t>
  </si>
  <si>
    <t>2488</t>
  </si>
  <si>
    <t>04:17:23</t>
  </si>
  <si>
    <t>04:31:03</t>
  </si>
  <si>
    <t>2489</t>
  </si>
  <si>
    <t>04:25:30</t>
  </si>
  <si>
    <t>07:37:38</t>
  </si>
  <si>
    <t>2490</t>
  </si>
  <si>
    <t>04:39:25</t>
  </si>
  <si>
    <t>04:51:02</t>
  </si>
  <si>
    <t>2491</t>
  </si>
  <si>
    <t>04:52:15</t>
  </si>
  <si>
    <t>05:03:54</t>
  </si>
  <si>
    <t>2492</t>
  </si>
  <si>
    <t>05:05:20</t>
  </si>
  <si>
    <t>05:19:31</t>
  </si>
  <si>
    <t>2493</t>
  </si>
  <si>
    <t>05:06:29</t>
  </si>
  <si>
    <t>05:23:35</t>
  </si>
  <si>
    <t>2494</t>
  </si>
  <si>
    <t>05:24:38</t>
  </si>
  <si>
    <t>05:36:25</t>
  </si>
  <si>
    <t>2495</t>
  </si>
  <si>
    <t>05:33:38</t>
  </si>
  <si>
    <t>05:45:50</t>
  </si>
  <si>
    <t>2496</t>
  </si>
  <si>
    <t>05:54:39</t>
  </si>
  <si>
    <t>2497</t>
  </si>
  <si>
    <t>05:44:49</t>
  </si>
  <si>
    <t>06:00:55</t>
  </si>
  <si>
    <t>2498</t>
  </si>
  <si>
    <t>06:04:20</t>
  </si>
  <si>
    <t>06:13:54</t>
  </si>
  <si>
    <t>2499</t>
  </si>
  <si>
    <t>06:25:38</t>
  </si>
  <si>
    <t>06:37:08</t>
  </si>
  <si>
    <t>2500</t>
  </si>
  <si>
    <t>06:41:06</t>
  </si>
  <si>
    <t>06:54:30</t>
  </si>
  <si>
    <t>2501</t>
  </si>
  <si>
    <t>06:46:16</t>
  </si>
  <si>
    <t>07:00:38</t>
  </si>
  <si>
    <t>2502</t>
  </si>
  <si>
    <t>07:03:00</t>
  </si>
  <si>
    <t>07:15:06</t>
  </si>
  <si>
    <t>2503</t>
  </si>
  <si>
    <t>07:27:22</t>
  </si>
  <si>
    <t>07:38:02</t>
  </si>
  <si>
    <t>2504</t>
  </si>
  <si>
    <t>07:32:48</t>
  </si>
  <si>
    <t>07:49:28</t>
  </si>
  <si>
    <t>2505</t>
  </si>
  <si>
    <t>07:52:36</t>
  </si>
  <si>
    <t>08:03:46</t>
  </si>
  <si>
    <t>2506</t>
  </si>
  <si>
    <t>08:01:57</t>
  </si>
  <si>
    <t>08:30:07</t>
  </si>
  <si>
    <t>2507</t>
  </si>
  <si>
    <t>08:07:47</t>
  </si>
  <si>
    <t>08:19:42</t>
  </si>
  <si>
    <t>2508</t>
  </si>
  <si>
    <t>08:27:46</t>
  </si>
  <si>
    <t>08:39:29</t>
  </si>
  <si>
    <t>2509</t>
  </si>
  <si>
    <t>08:53:30</t>
  </si>
  <si>
    <t>09:05:21</t>
  </si>
  <si>
    <t>2510</t>
  </si>
  <si>
    <t>09:01:19</t>
  </si>
  <si>
    <t>09:15:39</t>
  </si>
  <si>
    <t>2511</t>
  </si>
  <si>
    <t>09:13:44</t>
  </si>
  <si>
    <t>09:23:46</t>
  </si>
  <si>
    <t>2512</t>
  </si>
  <si>
    <t>09:18:56</t>
  </si>
  <si>
    <t>09:32:34</t>
  </si>
  <si>
    <t>2513</t>
  </si>
  <si>
    <t>09:43:41</t>
  </si>
  <si>
    <t>10:12:54</t>
  </si>
  <si>
    <t>2514</t>
  </si>
  <si>
    <t>09:57:04</t>
  </si>
  <si>
    <t>10:07:08</t>
  </si>
  <si>
    <t>2515</t>
  </si>
  <si>
    <t>10:02:19</t>
  </si>
  <si>
    <t>10:23:39</t>
  </si>
  <si>
    <t>2516</t>
  </si>
  <si>
    <t>10:05:42</t>
  </si>
  <si>
    <t>10:28:43</t>
  </si>
  <si>
    <t>2517</t>
  </si>
  <si>
    <t>10:27:59</t>
  </si>
  <si>
    <t>10:42:11</t>
  </si>
  <si>
    <t>2518</t>
  </si>
  <si>
    <t>10:41:37</t>
  </si>
  <si>
    <t>10:51:01</t>
  </si>
  <si>
    <t>2519</t>
  </si>
  <si>
    <t>10:55:31</t>
  </si>
  <si>
    <t>11:38:34</t>
  </si>
  <si>
    <t>2520</t>
  </si>
  <si>
    <t>11:01:32</t>
  </si>
  <si>
    <t>11:21:43</t>
  </si>
  <si>
    <t>2521</t>
  </si>
  <si>
    <t>11:11:38</t>
  </si>
  <si>
    <t>11:53:12</t>
  </si>
  <si>
    <t>2522</t>
  </si>
  <si>
    <t>11:22:23</t>
  </si>
  <si>
    <t>11:32:15</t>
  </si>
  <si>
    <t>2523</t>
  </si>
  <si>
    <t>11:29:16</t>
  </si>
  <si>
    <t>11:46:05</t>
  </si>
  <si>
    <t>2524</t>
  </si>
  <si>
    <t>11:51:11</t>
  </si>
  <si>
    <t>12:01:04</t>
  </si>
  <si>
    <t>2525</t>
  </si>
  <si>
    <t>12:02:22</t>
  </si>
  <si>
    <t>12:12:05</t>
  </si>
  <si>
    <t>2526</t>
  </si>
  <si>
    <t>12:15:20</t>
  </si>
  <si>
    <t>12:24:01</t>
  </si>
  <si>
    <t>2527</t>
  </si>
  <si>
    <t>12:17:59</t>
  </si>
  <si>
    <t>2528</t>
  </si>
  <si>
    <t>12:58:59</t>
  </si>
  <si>
    <t>13:07:04</t>
  </si>
  <si>
    <t>2529</t>
  </si>
  <si>
    <t>13:05:22</t>
  </si>
  <si>
    <t>13:13:59</t>
  </si>
  <si>
    <t>2530</t>
  </si>
  <si>
    <t>13:19:45</t>
  </si>
  <si>
    <t>13:28:15</t>
  </si>
  <si>
    <t>2531</t>
  </si>
  <si>
    <t>13:26:36</t>
  </si>
  <si>
    <t>13:38:18</t>
  </si>
  <si>
    <t>2532</t>
  </si>
  <si>
    <t>13:42:06</t>
  </si>
  <si>
    <t>13:54:51</t>
  </si>
  <si>
    <t>2533</t>
  </si>
  <si>
    <t>13:44:40</t>
  </si>
  <si>
    <t>14:01:23</t>
  </si>
  <si>
    <t>2534</t>
  </si>
  <si>
    <t>14:11:34</t>
  </si>
  <si>
    <t>14:22:05</t>
  </si>
  <si>
    <t>2535</t>
  </si>
  <si>
    <t>14:16:41</t>
  </si>
  <si>
    <t>14:45:48</t>
  </si>
  <si>
    <t>2536</t>
  </si>
  <si>
    <t>14:30:40</t>
  </si>
  <si>
    <t>14:42:24</t>
  </si>
  <si>
    <t>2537</t>
  </si>
  <si>
    <t>14:40:32</t>
  </si>
  <si>
    <t>15:07:14</t>
  </si>
  <si>
    <t>2538</t>
  </si>
  <si>
    <t>15:00:04</t>
  </si>
  <si>
    <t>15:32:14</t>
  </si>
  <si>
    <t>2539</t>
  </si>
  <si>
    <t>15:09:56</t>
  </si>
  <si>
    <t>15:19:46</t>
  </si>
  <si>
    <t>2540</t>
  </si>
  <si>
    <t>16:08:05</t>
  </si>
  <si>
    <t>16:20:42</t>
  </si>
  <si>
    <t>2541</t>
  </si>
  <si>
    <t>16:19:06</t>
  </si>
  <si>
    <t>16:44:00</t>
  </si>
  <si>
    <t>2542</t>
  </si>
  <si>
    <t>16:58:38</t>
  </si>
  <si>
    <t>17:10:33</t>
  </si>
  <si>
    <t>2543</t>
  </si>
  <si>
    <t>17:06:06</t>
  </si>
  <si>
    <t>17:19:05</t>
  </si>
  <si>
    <t>2544</t>
  </si>
  <si>
    <t>17:41:23</t>
  </si>
  <si>
    <t>17:53:03</t>
  </si>
  <si>
    <t>2545</t>
  </si>
  <si>
    <t>17:50:58</t>
  </si>
  <si>
    <t>18:02:21</t>
  </si>
  <si>
    <t>2546</t>
  </si>
  <si>
    <t>17:57:27</t>
  </si>
  <si>
    <t>18:10:27</t>
  </si>
  <si>
    <t>2547</t>
  </si>
  <si>
    <t>18:13:30</t>
  </si>
  <si>
    <t>18:43:21</t>
  </si>
  <si>
    <t>2548</t>
  </si>
  <si>
    <t>01:16:44</t>
  </si>
  <si>
    <t>2549</t>
  </si>
  <si>
    <t>01:01:41</t>
  </si>
  <si>
    <t>01:23:29</t>
  </si>
  <si>
    <t>2550</t>
  </si>
  <si>
    <t>01:02:12</t>
  </si>
  <si>
    <t>01:28:06</t>
  </si>
  <si>
    <t>2551</t>
  </si>
  <si>
    <t>01:02:44</t>
  </si>
  <si>
    <t>01:34:44</t>
  </si>
  <si>
    <t>2552</t>
  </si>
  <si>
    <t>01:03:21</t>
  </si>
  <si>
    <t>01:40:20</t>
  </si>
  <si>
    <t>2553</t>
  </si>
  <si>
    <t>01:03:54</t>
  </si>
  <si>
    <t>01:46:04</t>
  </si>
  <si>
    <t>2554</t>
  </si>
  <si>
    <t>01:07:33</t>
  </si>
  <si>
    <t>01:53:22</t>
  </si>
  <si>
    <t>2555</t>
  </si>
  <si>
    <t>01:41:15</t>
  </si>
  <si>
    <t>01:58:52</t>
  </si>
  <si>
    <t>2556</t>
  </si>
  <si>
    <t>01:50:41</t>
  </si>
  <si>
    <t>02:04:07</t>
  </si>
  <si>
    <t>2557</t>
  </si>
  <si>
    <t>01:57:21</t>
  </si>
  <si>
    <t>02:11:34</t>
  </si>
  <si>
    <t>2558</t>
  </si>
  <si>
    <t>02:06:17</t>
  </si>
  <si>
    <t>02:18:17</t>
  </si>
  <si>
    <t>2559</t>
  </si>
  <si>
    <t>02:12:06</t>
  </si>
  <si>
    <t>02:24:17</t>
  </si>
  <si>
    <t>2560</t>
  </si>
  <si>
    <t>02:30:44</t>
  </si>
  <si>
    <t>2561</t>
  </si>
  <si>
    <t>02:18:52</t>
  </si>
  <si>
    <t>02:36:47</t>
  </si>
  <si>
    <t>2562</t>
  </si>
  <si>
    <t>02:27:08</t>
  </si>
  <si>
    <t>02:43:05</t>
  </si>
  <si>
    <t>2563</t>
  </si>
  <si>
    <t>03:36:45</t>
  </si>
  <si>
    <t>03:49:48</t>
  </si>
  <si>
    <t>2564</t>
  </si>
  <si>
    <t>03:54:00</t>
  </si>
  <si>
    <t>04:09:37</t>
  </si>
  <si>
    <t>2565</t>
  </si>
  <si>
    <t>04:07:56</t>
  </si>
  <si>
    <t>04:19:02</t>
  </si>
  <si>
    <t>2566</t>
  </si>
  <si>
    <t>04:13:31</t>
  </si>
  <si>
    <t>2567</t>
  </si>
  <si>
    <t>04:21:30</t>
  </si>
  <si>
    <t>04:33:21</t>
  </si>
  <si>
    <t>2568</t>
  </si>
  <si>
    <t>04:31:20</t>
  </si>
  <si>
    <t>04:43:30</t>
  </si>
  <si>
    <t>2569</t>
  </si>
  <si>
    <t>04:39:06</t>
  </si>
  <si>
    <t>04:51:48</t>
  </si>
  <si>
    <t>2570</t>
  </si>
  <si>
    <t>04:56:32</t>
  </si>
  <si>
    <t>05:11:10</t>
  </si>
  <si>
    <t>2571</t>
  </si>
  <si>
    <t>04:58:05</t>
  </si>
  <si>
    <t>05:12:31</t>
  </si>
  <si>
    <t>2572</t>
  </si>
  <si>
    <t>05:13:05</t>
  </si>
  <si>
    <t>05:24:11</t>
  </si>
  <si>
    <t>2573</t>
  </si>
  <si>
    <t>05:17:29</t>
  </si>
  <si>
    <t>2574</t>
  </si>
  <si>
    <t>05:35:13</t>
  </si>
  <si>
    <t>05:51:22</t>
  </si>
  <si>
    <t>2575</t>
  </si>
  <si>
    <t>05:36:47</t>
  </si>
  <si>
    <t>05:53:28</t>
  </si>
  <si>
    <t>2576</t>
  </si>
  <si>
    <t>06:00:14</t>
  </si>
  <si>
    <t>06:11:37</t>
  </si>
  <si>
    <t>2577</t>
  </si>
  <si>
    <t>06:03:45</t>
  </si>
  <si>
    <t>06:17:48</t>
  </si>
  <si>
    <t>2578</t>
  </si>
  <si>
    <t>06:24:23</t>
  </si>
  <si>
    <t>06:39:08</t>
  </si>
  <si>
    <t>2579</t>
  </si>
  <si>
    <t>06:46:00</t>
  </si>
  <si>
    <t>06:56:43</t>
  </si>
  <si>
    <t>2580</t>
  </si>
  <si>
    <t>07:00:07</t>
  </si>
  <si>
    <t>07:10:20</t>
  </si>
  <si>
    <t>2581</t>
  </si>
  <si>
    <t>07:25:06</t>
  </si>
  <si>
    <t>2582</t>
  </si>
  <si>
    <t>07:21:25</t>
  </si>
  <si>
    <t>07:33:37</t>
  </si>
  <si>
    <t>2583</t>
  </si>
  <si>
    <t>07:43:30</t>
  </si>
  <si>
    <t>07:54:39</t>
  </si>
  <si>
    <t>2584</t>
  </si>
  <si>
    <t>07:44:43</t>
  </si>
  <si>
    <t>07:59:57</t>
  </si>
  <si>
    <t>2585</t>
  </si>
  <si>
    <t>08:25:32</t>
  </si>
  <si>
    <t>08:52:37</t>
  </si>
  <si>
    <t>2586</t>
  </si>
  <si>
    <t>08:29:05</t>
  </si>
  <si>
    <t>08:43:42</t>
  </si>
  <si>
    <t>2587</t>
  </si>
  <si>
    <t>08:44:40</t>
  </si>
  <si>
    <t>08:59:16</t>
  </si>
  <si>
    <t>2588</t>
  </si>
  <si>
    <t>08:55:57</t>
  </si>
  <si>
    <t>2589</t>
  </si>
  <si>
    <t>09:11:46</t>
  </si>
  <si>
    <t>09:25:19</t>
  </si>
  <si>
    <t>2590</t>
  </si>
  <si>
    <t>09:20:00</t>
  </si>
  <si>
    <t>09:32:32</t>
  </si>
  <si>
    <t>2591</t>
  </si>
  <si>
    <t>09:27:51</t>
  </si>
  <si>
    <t>09:40:38</t>
  </si>
  <si>
    <t>2592</t>
  </si>
  <si>
    <t>09:38:00</t>
  </si>
  <si>
    <t>09:49:45</t>
  </si>
  <si>
    <t>2593</t>
  </si>
  <si>
    <t>10:18:10</t>
  </si>
  <si>
    <t>10:32:21</t>
  </si>
  <si>
    <t>2594</t>
  </si>
  <si>
    <t>10:21:12</t>
  </si>
  <si>
    <t>10:38:04</t>
  </si>
  <si>
    <t>2595</t>
  </si>
  <si>
    <t>10:46:34</t>
  </si>
  <si>
    <t>2596</t>
  </si>
  <si>
    <t>10:49:04</t>
  </si>
  <si>
    <t>11:18:07</t>
  </si>
  <si>
    <t>2597</t>
  </si>
  <si>
    <t>10:58:11</t>
  </si>
  <si>
    <t>11:24:37</t>
  </si>
  <si>
    <t>2598</t>
  </si>
  <si>
    <t>11:02:57</t>
  </si>
  <si>
    <t>2599</t>
  </si>
  <si>
    <t>11:11:09</t>
  </si>
  <si>
    <t>11:30:38</t>
  </si>
  <si>
    <t>2600</t>
  </si>
  <si>
    <t>11:36:48</t>
  </si>
  <si>
    <t>11:47:18</t>
  </si>
  <si>
    <t>2601</t>
  </si>
  <si>
    <t>11:48:41</t>
  </si>
  <si>
    <t>12:02:11</t>
  </si>
  <si>
    <t>2602</t>
  </si>
  <si>
    <t>12:00:15</t>
  </si>
  <si>
    <t>12:14:56</t>
  </si>
  <si>
    <t>2603</t>
  </si>
  <si>
    <t>12:06:28</t>
  </si>
  <si>
    <t>12:21:10</t>
  </si>
  <si>
    <t>2604</t>
  </si>
  <si>
    <t>12:22:25</t>
  </si>
  <si>
    <t>17:26:54</t>
  </si>
  <si>
    <t>2605</t>
  </si>
  <si>
    <t>12:43:32</t>
  </si>
  <si>
    <t>2606</t>
  </si>
  <si>
    <t>12:37:02</t>
  </si>
  <si>
    <t>12:48:41</t>
  </si>
  <si>
    <t>2607</t>
  </si>
  <si>
    <t>12:40:13</t>
  </si>
  <si>
    <t>13:08:25</t>
  </si>
  <si>
    <t>2608</t>
  </si>
  <si>
    <t>13:11:41</t>
  </si>
  <si>
    <t>13:23:47</t>
  </si>
  <si>
    <t>2609</t>
  </si>
  <si>
    <t>13:21:46</t>
  </si>
  <si>
    <t>13:31:56</t>
  </si>
  <si>
    <t>2610</t>
  </si>
  <si>
    <t>14:08:29</t>
  </si>
  <si>
    <t>2611</t>
  </si>
  <si>
    <t>13:59:54</t>
  </si>
  <si>
    <t>14:42:23</t>
  </si>
  <si>
    <t>2612</t>
  </si>
  <si>
    <t>14:31:37</t>
  </si>
  <si>
    <t>2613</t>
  </si>
  <si>
    <t>14:16:38</t>
  </si>
  <si>
    <t>14:40:13</t>
  </si>
  <si>
    <t>2614</t>
  </si>
  <si>
    <t>14:38:30</t>
  </si>
  <si>
    <t>14:49:25</t>
  </si>
  <si>
    <t>2615</t>
  </si>
  <si>
    <t>14:47:29</t>
  </si>
  <si>
    <t>15:06:19</t>
  </si>
  <si>
    <t>2616</t>
  </si>
  <si>
    <t>14:58:14</t>
  </si>
  <si>
    <t>15:13:30</t>
  </si>
  <si>
    <t>2617</t>
  </si>
  <si>
    <t>15:08:44</t>
  </si>
  <si>
    <t>15:23:27</t>
  </si>
  <si>
    <t>2618</t>
  </si>
  <si>
    <t>15:16:23</t>
  </si>
  <si>
    <t>15:30:25</t>
  </si>
  <si>
    <t>2619</t>
  </si>
  <si>
    <t>15:28:32</t>
  </si>
  <si>
    <t>15:39:33</t>
  </si>
  <si>
    <t>2620</t>
  </si>
  <si>
    <t>15:40:36</t>
  </si>
  <si>
    <t>16:10:37</t>
  </si>
  <si>
    <t>2621</t>
  </si>
  <si>
    <t>15:52:35</t>
  </si>
  <si>
    <t>2622</t>
  </si>
  <si>
    <t>16:06:34</t>
  </si>
  <si>
    <t>16:21:43</t>
  </si>
  <si>
    <t>2623</t>
  </si>
  <si>
    <t>16:42:00</t>
  </si>
  <si>
    <t>16:52:10</t>
  </si>
  <si>
    <t>2624</t>
  </si>
  <si>
    <t>17:14:54</t>
  </si>
  <si>
    <t>17:27:06</t>
  </si>
  <si>
    <t>2625</t>
  </si>
  <si>
    <t>17:27:50</t>
  </si>
  <si>
    <t>17:45:12</t>
  </si>
  <si>
    <t>2626</t>
  </si>
  <si>
    <t>17:29:31</t>
  </si>
  <si>
    <t>17:46:17</t>
  </si>
  <si>
    <t>2627</t>
  </si>
  <si>
    <t>17:41:18</t>
  </si>
  <si>
    <t>17:53:26</t>
  </si>
  <si>
    <t>2628</t>
  </si>
  <si>
    <t>17:51:39</t>
  </si>
  <si>
    <t>18:03:07</t>
  </si>
  <si>
    <t>2629</t>
  </si>
  <si>
    <t>18:01:20</t>
  </si>
  <si>
    <t>18:30:56</t>
  </si>
  <si>
    <t>2630</t>
  </si>
  <si>
    <t>18:07:14</t>
  </si>
  <si>
    <t>18:37:44</t>
  </si>
  <si>
    <t>2631</t>
  </si>
  <si>
    <t>18:41:45</t>
  </si>
  <si>
    <t>18:53:32</t>
  </si>
  <si>
    <t>2632</t>
  </si>
  <si>
    <t>19:11:36</t>
  </si>
  <si>
    <t>19:22:46</t>
  </si>
  <si>
    <t>2633</t>
  </si>
  <si>
    <t>01:02:04</t>
  </si>
  <si>
    <t>01:14:28</t>
  </si>
  <si>
    <t>2634</t>
  </si>
  <si>
    <t>01:02:37</t>
  </si>
  <si>
    <t>01:20:39</t>
  </si>
  <si>
    <t>2635</t>
  </si>
  <si>
    <t>01:03:41</t>
  </si>
  <si>
    <t>01:27:09</t>
  </si>
  <si>
    <t>2636</t>
  </si>
  <si>
    <t>01:04:35</t>
  </si>
  <si>
    <t>01:32:52</t>
  </si>
  <si>
    <t>2637</t>
  </si>
  <si>
    <t>01:39:46</t>
  </si>
  <si>
    <t>2638</t>
  </si>
  <si>
    <t>01:07:08</t>
  </si>
  <si>
    <t>01:45:50</t>
  </si>
  <si>
    <t>2639</t>
  </si>
  <si>
    <t>01:09:28</t>
  </si>
  <si>
    <t>02:16:38</t>
  </si>
  <si>
    <t>2640</t>
  </si>
  <si>
    <t>01:15:18</t>
  </si>
  <si>
    <t>02:10:01</t>
  </si>
  <si>
    <t>2641</t>
  </si>
  <si>
    <t>01:17:30</t>
  </si>
  <si>
    <t>01:57:10</t>
  </si>
  <si>
    <t>2642</t>
  </si>
  <si>
    <t>01:19:02</t>
  </si>
  <si>
    <t>01:52:36</t>
  </si>
  <si>
    <t>2643</t>
  </si>
  <si>
    <t>01:21:34</t>
  </si>
  <si>
    <t>2644</t>
  </si>
  <si>
    <t>01:53:29</t>
  </si>
  <si>
    <t>02:24:32</t>
  </si>
  <si>
    <t>2645</t>
  </si>
  <si>
    <t>01:56:02</t>
  </si>
  <si>
    <t>02:28:34</t>
  </si>
  <si>
    <t>2646</t>
  </si>
  <si>
    <t>02:26:19</t>
  </si>
  <si>
    <t>02:39:08</t>
  </si>
  <si>
    <t>2647</t>
  </si>
  <si>
    <t>02:31:33</t>
  </si>
  <si>
    <t>02:46:32</t>
  </si>
  <si>
    <t>2648</t>
  </si>
  <si>
    <t>03:22:41</t>
  </si>
  <si>
    <t>2649</t>
  </si>
  <si>
    <t>03:37:19</t>
  </si>
  <si>
    <t>03:47:01</t>
  </si>
  <si>
    <t>2650</t>
  </si>
  <si>
    <t>03:49:33</t>
  </si>
  <si>
    <t>03:58:40</t>
  </si>
  <si>
    <t>2651</t>
  </si>
  <si>
    <t>03:54:36</t>
  </si>
  <si>
    <t>04:05:47</t>
  </si>
  <si>
    <t>2652</t>
  </si>
  <si>
    <t>04:03:47</t>
  </si>
  <si>
    <t>04:15:47</t>
  </si>
  <si>
    <t>2653</t>
  </si>
  <si>
    <t>04:11:00</t>
  </si>
  <si>
    <t>2654</t>
  </si>
  <si>
    <t>04:28:55</t>
  </si>
  <si>
    <t>04:41:53</t>
  </si>
  <si>
    <t>2655</t>
  </si>
  <si>
    <t>04:39:12</t>
  </si>
  <si>
    <t>04:51:34</t>
  </si>
  <si>
    <t>2656</t>
  </si>
  <si>
    <t>04:47:49</t>
  </si>
  <si>
    <t>04:58:48</t>
  </si>
  <si>
    <t>2657</t>
  </si>
  <si>
    <t>05:00:42</t>
  </si>
  <si>
    <t>05:12:14</t>
  </si>
  <si>
    <t>2658</t>
  </si>
  <si>
    <t>05:20:42</t>
  </si>
  <si>
    <t>05:32:59</t>
  </si>
  <si>
    <t>2659</t>
  </si>
  <si>
    <t>05:26:11</t>
  </si>
  <si>
    <t>05:40:28</t>
  </si>
  <si>
    <t>2660</t>
  </si>
  <si>
    <t>05:28:53</t>
  </si>
  <si>
    <t>05:47:48</t>
  </si>
  <si>
    <t>2661</t>
  </si>
  <si>
    <t>05:41:58</t>
  </si>
  <si>
    <t>05:56:00</t>
  </si>
  <si>
    <t>2662</t>
  </si>
  <si>
    <t>05:49:01</t>
  </si>
  <si>
    <t>05:59:37</t>
  </si>
  <si>
    <t>2663</t>
  </si>
  <si>
    <t>06:06:41</t>
  </si>
  <si>
    <t>06:22:21</t>
  </si>
  <si>
    <t>2664</t>
  </si>
  <si>
    <t>06:30:04</t>
  </si>
  <si>
    <t>06:39:54</t>
  </si>
  <si>
    <t>2665</t>
  </si>
  <si>
    <t>06:43:02</t>
  </si>
  <si>
    <t>2666</t>
  </si>
  <si>
    <t>06:50:32</t>
  </si>
  <si>
    <t>07:04:43</t>
  </si>
  <si>
    <t>2667</t>
  </si>
  <si>
    <t>06:51:34</t>
  </si>
  <si>
    <t>07:09:31</t>
  </si>
  <si>
    <t>2668</t>
  </si>
  <si>
    <t>07:01:24</t>
  </si>
  <si>
    <t>07:18:18</t>
  </si>
  <si>
    <t>2669</t>
  </si>
  <si>
    <t>08:00:04</t>
  </si>
  <si>
    <t>2670</t>
  </si>
  <si>
    <t>08:29:52</t>
  </si>
  <si>
    <t>2671</t>
  </si>
  <si>
    <t>08:20:08</t>
  </si>
  <si>
    <t>08:35:31</t>
  </si>
  <si>
    <t>2672</t>
  </si>
  <si>
    <t>08:20:46</t>
  </si>
  <si>
    <t>08:46:29</t>
  </si>
  <si>
    <t>2673</t>
  </si>
  <si>
    <t>09:38:26</t>
  </si>
  <si>
    <t>2674</t>
  </si>
  <si>
    <t>09:42:22</t>
  </si>
  <si>
    <t>09:58:24</t>
  </si>
  <si>
    <t>2675</t>
  </si>
  <si>
    <t>09:55:33</t>
  </si>
  <si>
    <t>10:09:15</t>
  </si>
  <si>
    <t>2676</t>
  </si>
  <si>
    <t>10:01:14</t>
  </si>
  <si>
    <t>10:19:13</t>
  </si>
  <si>
    <t>2677</t>
  </si>
  <si>
    <t>10:12:13</t>
  </si>
  <si>
    <t>10:23:12</t>
  </si>
  <si>
    <t>2678</t>
  </si>
  <si>
    <t>10:15:15</t>
  </si>
  <si>
    <t>10:32:25</t>
  </si>
  <si>
    <t>2679</t>
  </si>
  <si>
    <t>10:36:43</t>
  </si>
  <si>
    <t>2680</t>
  </si>
  <si>
    <t>10:49:10</t>
  </si>
  <si>
    <t>11:20:57</t>
  </si>
  <si>
    <t>2681</t>
  </si>
  <si>
    <t>11:12:25</t>
  </si>
  <si>
    <t>11:24:31</t>
  </si>
  <si>
    <t>2682</t>
  </si>
  <si>
    <t>11:17:48</t>
  </si>
  <si>
    <t>13:53:12</t>
  </si>
  <si>
    <t>2683</t>
  </si>
  <si>
    <t>11:18:48</t>
  </si>
  <si>
    <t>11:31:29</t>
  </si>
  <si>
    <t>2684</t>
  </si>
  <si>
    <t>11:22:20</t>
  </si>
  <si>
    <t>11:39:50</t>
  </si>
  <si>
    <t>2685</t>
  </si>
  <si>
    <t>11:25:27</t>
  </si>
  <si>
    <t>11:46:39</t>
  </si>
  <si>
    <t>2686</t>
  </si>
  <si>
    <t>11:33:03</t>
  </si>
  <si>
    <t>11:53:08</t>
  </si>
  <si>
    <t>2687</t>
  </si>
  <si>
    <t>11:49:17</t>
  </si>
  <si>
    <t>11:59:29</t>
  </si>
  <si>
    <t>2688</t>
  </si>
  <si>
    <t>12:45:52</t>
  </si>
  <si>
    <t>12:57:19</t>
  </si>
  <si>
    <t>2689</t>
  </si>
  <si>
    <t>12:52:08</t>
  </si>
  <si>
    <t>13:03:28</t>
  </si>
  <si>
    <t>2690</t>
  </si>
  <si>
    <t>13:22:49</t>
  </si>
  <si>
    <t>13:50:41</t>
  </si>
  <si>
    <t>2691</t>
  </si>
  <si>
    <t>13:39:09</t>
  </si>
  <si>
    <t>2692</t>
  </si>
  <si>
    <t>13:52:59</t>
  </si>
  <si>
    <t>14:05:53</t>
  </si>
  <si>
    <t>2693</t>
  </si>
  <si>
    <t>14:15:30</t>
  </si>
  <si>
    <t>14:52:01</t>
  </si>
  <si>
    <t>2694</t>
  </si>
  <si>
    <t>14:46:07</t>
  </si>
  <si>
    <t>15:03:39</t>
  </si>
  <si>
    <t>2695</t>
  </si>
  <si>
    <t>14:52:55</t>
  </si>
  <si>
    <t>15:12:09</t>
  </si>
  <si>
    <t>2696</t>
  </si>
  <si>
    <t>15:45:17</t>
  </si>
  <si>
    <t>15:52:29</t>
  </si>
  <si>
    <t>2697</t>
  </si>
  <si>
    <t>16:57:48</t>
  </si>
  <si>
    <t>17:08:25</t>
  </si>
  <si>
    <t>2698</t>
  </si>
  <si>
    <t>03:41:54</t>
  </si>
  <si>
    <t>04:08:47</t>
  </si>
  <si>
    <t>2699</t>
  </si>
  <si>
    <t>04:04:24</t>
  </si>
  <si>
    <t>2700</t>
  </si>
  <si>
    <t>04:11:22</t>
  </si>
  <si>
    <t>04:26:16</t>
  </si>
  <si>
    <t>2701</t>
  </si>
  <si>
    <t>04:18:30</t>
  </si>
  <si>
    <t>04:33:50</t>
  </si>
  <si>
    <t>2702</t>
  </si>
  <si>
    <t>04:27:13</t>
  </si>
  <si>
    <t>04:41:52</t>
  </si>
  <si>
    <t>2703</t>
  </si>
  <si>
    <t>04:34:39</t>
  </si>
  <si>
    <t>04:50:33</t>
  </si>
  <si>
    <t>2704</t>
  </si>
  <si>
    <t>04:38:54</t>
  </si>
  <si>
    <t>08:13:37</t>
  </si>
  <si>
    <t>2705</t>
  </si>
  <si>
    <t>04:49:36</t>
  </si>
  <si>
    <t>2706</t>
  </si>
  <si>
    <t>04:53:24</t>
  </si>
  <si>
    <t>05:15:15</t>
  </si>
  <si>
    <t>2707</t>
  </si>
  <si>
    <t>05:03:40</t>
  </si>
  <si>
    <t>05:20:21</t>
  </si>
  <si>
    <t>2708</t>
  </si>
  <si>
    <t>05:10:58</t>
  </si>
  <si>
    <t>05:28:32</t>
  </si>
  <si>
    <t>2709</t>
  </si>
  <si>
    <t>05:29:19</t>
  </si>
  <si>
    <t>05:41:22</t>
  </si>
  <si>
    <t>2710</t>
  </si>
  <si>
    <t>05:30:52</t>
  </si>
  <si>
    <t>05:46:58</t>
  </si>
  <si>
    <t>2711</t>
  </si>
  <si>
    <t>05:40:20</t>
  </si>
  <si>
    <t>05:55:12</t>
  </si>
  <si>
    <t>2712</t>
  </si>
  <si>
    <t>05:51:07</t>
  </si>
  <si>
    <t>06:02:26</t>
  </si>
  <si>
    <t>2713</t>
  </si>
  <si>
    <t>06:38:02</t>
  </si>
  <si>
    <t>06:48:20</t>
  </si>
  <si>
    <t>2714</t>
  </si>
  <si>
    <t>07:07:03</t>
  </si>
  <si>
    <t>07:16:00</t>
  </si>
  <si>
    <t>2715</t>
  </si>
  <si>
    <t>07:08:12</t>
  </si>
  <si>
    <t>07:23:29</t>
  </si>
  <si>
    <t>2716</t>
  </si>
  <si>
    <t>07:28:15</t>
  </si>
  <si>
    <t>07:43:50</t>
  </si>
  <si>
    <t>2717</t>
  </si>
  <si>
    <t>07:44:21</t>
  </si>
  <si>
    <t>07:55:56</t>
  </si>
  <si>
    <t>2718</t>
  </si>
  <si>
    <t>07:47:05</t>
  </si>
  <si>
    <t>08:04:31</t>
  </si>
  <si>
    <t>2719</t>
  </si>
  <si>
    <t>07:59:33</t>
  </si>
  <si>
    <t>11:32:07</t>
  </si>
  <si>
    <t>2720</t>
  </si>
  <si>
    <t>08:26:18</t>
  </si>
  <si>
    <t>08:38:48</t>
  </si>
  <si>
    <t>2721</t>
  </si>
  <si>
    <t>08:26:48</t>
  </si>
  <si>
    <t>08:45:20</t>
  </si>
  <si>
    <t>2722</t>
  </si>
  <si>
    <t>08:32:25</t>
  </si>
  <si>
    <t>08:54:25</t>
  </si>
  <si>
    <t>2723</t>
  </si>
  <si>
    <t>08:56:48</t>
  </si>
  <si>
    <t>2724</t>
  </si>
  <si>
    <t>08:46:09</t>
  </si>
  <si>
    <t>09:00:34</t>
  </si>
  <si>
    <t>2725</t>
  </si>
  <si>
    <t>08:57:20</t>
  </si>
  <si>
    <t>09:09:33</t>
  </si>
  <si>
    <t>2726</t>
  </si>
  <si>
    <t>09:03:28</t>
  </si>
  <si>
    <t>09:15:12</t>
  </si>
  <si>
    <t>2727</t>
  </si>
  <si>
    <t>09:16:24</t>
  </si>
  <si>
    <t>09:34:43</t>
  </si>
  <si>
    <t>2728</t>
  </si>
  <si>
    <t>09:37:50</t>
  </si>
  <si>
    <t>10:16:03</t>
  </si>
  <si>
    <t>2729</t>
  </si>
  <si>
    <t>10:12:04</t>
  </si>
  <si>
    <t>10:23:38</t>
  </si>
  <si>
    <t>2730</t>
  </si>
  <si>
    <t>10:50:38</t>
  </si>
  <si>
    <t>2731</t>
  </si>
  <si>
    <t>10:41:10</t>
  </si>
  <si>
    <t>2732</t>
  </si>
  <si>
    <t>10:47:46</t>
  </si>
  <si>
    <t>11:17:49</t>
  </si>
  <si>
    <t>2733</t>
  </si>
  <si>
    <t>10:55:48</t>
  </si>
  <si>
    <t>11:23:54</t>
  </si>
  <si>
    <t>2734</t>
  </si>
  <si>
    <t>11:19:53</t>
  </si>
  <si>
    <t>11:32:18</t>
  </si>
  <si>
    <t>2735</t>
  </si>
  <si>
    <t>11:34:58</t>
  </si>
  <si>
    <t>12:11:38</t>
  </si>
  <si>
    <t>2736</t>
  </si>
  <si>
    <t>11:43:34</t>
  </si>
  <si>
    <t>11:53:44</t>
  </si>
  <si>
    <t>2737</t>
  </si>
  <si>
    <t>11:47:50</t>
  </si>
  <si>
    <t>11:58:45</t>
  </si>
  <si>
    <t>2738</t>
  </si>
  <si>
    <t>11:55:00</t>
  </si>
  <si>
    <t>12:12:39</t>
  </si>
  <si>
    <t>2739</t>
  </si>
  <si>
    <t>12:08:10</t>
  </si>
  <si>
    <t>12:25:54</t>
  </si>
  <si>
    <t>2740</t>
  </si>
  <si>
    <t>12:21:38</t>
  </si>
  <si>
    <t>12:38:03</t>
  </si>
  <si>
    <t>2741</t>
  </si>
  <si>
    <t>12:27:08</t>
  </si>
  <si>
    <t>12:48:36</t>
  </si>
  <si>
    <t>2742</t>
  </si>
  <si>
    <t>12:47:04</t>
  </si>
  <si>
    <t>13:02:01</t>
  </si>
  <si>
    <t>2743</t>
  </si>
  <si>
    <t>12:49:25</t>
  </si>
  <si>
    <t>13:03:42</t>
  </si>
  <si>
    <t>2744</t>
  </si>
  <si>
    <t>13:10:22</t>
  </si>
  <si>
    <t>13:33:51</t>
  </si>
  <si>
    <t>2745</t>
  </si>
  <si>
    <t>13:34:55</t>
  </si>
  <si>
    <t>13:48:25</t>
  </si>
  <si>
    <t>2746</t>
  </si>
  <si>
    <t>13:54:31</t>
  </si>
  <si>
    <t>14:04:25</t>
  </si>
  <si>
    <t>2747</t>
  </si>
  <si>
    <t>14:25:19</t>
  </si>
  <si>
    <t>2748</t>
  </si>
  <si>
    <t>14:52:50</t>
  </si>
  <si>
    <t>15:17:38</t>
  </si>
  <si>
    <t>2749</t>
  </si>
  <si>
    <t>14:56:57</t>
  </si>
  <si>
    <t>15:08:07</t>
  </si>
  <si>
    <t>2750</t>
  </si>
  <si>
    <t>15:15:56</t>
  </si>
  <si>
    <t>15:33:10</t>
  </si>
  <si>
    <t>2751</t>
  </si>
  <si>
    <t>15:31:28</t>
  </si>
  <si>
    <t>02:15:28</t>
  </si>
  <si>
    <t>2752</t>
  </si>
  <si>
    <t>2753</t>
  </si>
  <si>
    <t>01:16:10</t>
  </si>
  <si>
    <t>2754</t>
  </si>
  <si>
    <t>01:03:47</t>
  </si>
  <si>
    <t>01:19:51</t>
  </si>
  <si>
    <t>2755</t>
  </si>
  <si>
    <t>01:26:50</t>
  </si>
  <si>
    <t>2756</t>
  </si>
  <si>
    <t>01:04:57</t>
  </si>
  <si>
    <t>2757</t>
  </si>
  <si>
    <t>01:05:54</t>
  </si>
  <si>
    <t>01:37:04</t>
  </si>
  <si>
    <t>2758</t>
  </si>
  <si>
    <t>01:40:02</t>
  </si>
  <si>
    <t>2759</t>
  </si>
  <si>
    <t>01:07:04</t>
  </si>
  <si>
    <t>01:51:23</t>
  </si>
  <si>
    <t>2760</t>
  </si>
  <si>
    <t>01:55:47</t>
  </si>
  <si>
    <t>2761</t>
  </si>
  <si>
    <t>01:22:38</t>
  </si>
  <si>
    <t>06:35:27</t>
  </si>
  <si>
    <t>2762</t>
  </si>
  <si>
    <t>01:52:20</t>
  </si>
  <si>
    <t>02:04:11</t>
  </si>
  <si>
    <t>2763</t>
  </si>
  <si>
    <t>01:54:29</t>
  </si>
  <si>
    <t>02:07:52</t>
  </si>
  <si>
    <t>2764</t>
  </si>
  <si>
    <t>02:05:26</t>
  </si>
  <si>
    <t>02:15:43</t>
  </si>
  <si>
    <t>2765</t>
  </si>
  <si>
    <t>02:26:45</t>
  </si>
  <si>
    <t>2766</t>
  </si>
  <si>
    <t>02:34:32</t>
  </si>
  <si>
    <t>02:45:57</t>
  </si>
  <si>
    <t>2767</t>
  </si>
  <si>
    <t>03:21:17</t>
  </si>
  <si>
    <t>03:31:19</t>
  </si>
  <si>
    <t>2768</t>
  </si>
  <si>
    <t>03:25:43</t>
  </si>
  <si>
    <t>03:37:52</t>
  </si>
  <si>
    <t>2769</t>
  </si>
  <si>
    <t>03:49:32</t>
  </si>
  <si>
    <t>2770</t>
  </si>
  <si>
    <t>03:53:18</t>
  </si>
  <si>
    <t>04:02:55</t>
  </si>
  <si>
    <t>2771</t>
  </si>
  <si>
    <t>04:06:25</t>
  </si>
  <si>
    <t>04:15:04</t>
  </si>
  <si>
    <t>2772</t>
  </si>
  <si>
    <t>04:10:09</t>
  </si>
  <si>
    <t>04:21:28</t>
  </si>
  <si>
    <t>2773</t>
  </si>
  <si>
    <t>04:42:06</t>
  </si>
  <si>
    <t>04:51:51</t>
  </si>
  <si>
    <t>2774</t>
  </si>
  <si>
    <t>2775</t>
  </si>
  <si>
    <t>04:53:05</t>
  </si>
  <si>
    <t>05:05:54</t>
  </si>
  <si>
    <t>2776</t>
  </si>
  <si>
    <t>05:13:45</t>
  </si>
  <si>
    <t>05:23:49</t>
  </si>
  <si>
    <t>2777</t>
  </si>
  <si>
    <t>05:17:59</t>
  </si>
  <si>
    <t>05:29:42</t>
  </si>
  <si>
    <t>2778</t>
  </si>
  <si>
    <t>05:20:20</t>
  </si>
  <si>
    <t>05:35:04</t>
  </si>
  <si>
    <t>2779</t>
  </si>
  <si>
    <t>05:26:40</t>
  </si>
  <si>
    <t>05:41:27</t>
  </si>
  <si>
    <t>2780</t>
  </si>
  <si>
    <t>05:38:12</t>
  </si>
  <si>
    <t>05:50:27</t>
  </si>
  <si>
    <t>2781</t>
  </si>
  <si>
    <t>05:58:05</t>
  </si>
  <si>
    <t>06:09:14</t>
  </si>
  <si>
    <t>2782</t>
  </si>
  <si>
    <t>06:04:49</t>
  </si>
  <si>
    <t>2783</t>
  </si>
  <si>
    <t>06:16:48</t>
  </si>
  <si>
    <t>06:28:46</t>
  </si>
  <si>
    <t>2784</t>
  </si>
  <si>
    <t>06:18:40</t>
  </si>
  <si>
    <t>06:35:42</t>
  </si>
  <si>
    <t>2785</t>
  </si>
  <si>
    <t>06:43:18</t>
  </si>
  <si>
    <t>07:04:17</t>
  </si>
  <si>
    <t>2786</t>
  </si>
  <si>
    <t>06:51:26</t>
  </si>
  <si>
    <t>07:12:37</t>
  </si>
  <si>
    <t>2787</t>
  </si>
  <si>
    <t>07:35:39</t>
  </si>
  <si>
    <t>07:48:02</t>
  </si>
  <si>
    <t>2788</t>
  </si>
  <si>
    <t>07:50:19</t>
  </si>
  <si>
    <t>08:06:25</t>
  </si>
  <si>
    <t>2789</t>
  </si>
  <si>
    <t>08:01:06</t>
  </si>
  <si>
    <t>08:14:22</t>
  </si>
  <si>
    <t>2790</t>
  </si>
  <si>
    <t>08:10:25</t>
  </si>
  <si>
    <t>08:39:53</t>
  </si>
  <si>
    <t>2791</t>
  </si>
  <si>
    <t>08:27:40</t>
  </si>
  <si>
    <t>08:52:39</t>
  </si>
  <si>
    <t>2792</t>
  </si>
  <si>
    <t>08:40:27</t>
  </si>
  <si>
    <t>08:51:05</t>
  </si>
  <si>
    <t>2793</t>
  </si>
  <si>
    <t>08:41:16</t>
  </si>
  <si>
    <t>08:57:02</t>
  </si>
  <si>
    <t>2794</t>
  </si>
  <si>
    <t>08:55:18</t>
  </si>
  <si>
    <t>09:06:33</t>
  </si>
  <si>
    <t>2795</t>
  </si>
  <si>
    <t>08:57:44</t>
  </si>
  <si>
    <t>09:11:03</t>
  </si>
  <si>
    <t>2796</t>
  </si>
  <si>
    <t>09:14:20</t>
  </si>
  <si>
    <t>09:42:52</t>
  </si>
  <si>
    <t>2797</t>
  </si>
  <si>
    <t>09:36:52</t>
  </si>
  <si>
    <t>09:48:38</t>
  </si>
  <si>
    <t>2798</t>
  </si>
  <si>
    <t>09:40:40</t>
  </si>
  <si>
    <t>09:56:02</t>
  </si>
  <si>
    <t>2799</t>
  </si>
  <si>
    <t>09:54:07</t>
  </si>
  <si>
    <t>10:03:50</t>
  </si>
  <si>
    <t>2800</t>
  </si>
  <si>
    <t>10:10:32</t>
  </si>
  <si>
    <t>10:33:41</t>
  </si>
  <si>
    <t>2801</t>
  </si>
  <si>
    <t>10:26:53</t>
  </si>
  <si>
    <t>10:47:31</t>
  </si>
  <si>
    <t>2802</t>
  </si>
  <si>
    <t>10:54:37</t>
  </si>
  <si>
    <t>11:23:33</t>
  </si>
  <si>
    <t>2803</t>
  </si>
  <si>
    <t>10:57:57</t>
  </si>
  <si>
    <t>11:30:09</t>
  </si>
  <si>
    <t>2804</t>
  </si>
  <si>
    <t>11:06:02</t>
  </si>
  <si>
    <t>11:33:20</t>
  </si>
  <si>
    <t>2805</t>
  </si>
  <si>
    <t>11:55:21</t>
  </si>
  <si>
    <t>2806</t>
  </si>
  <si>
    <t>11:49:35</t>
  </si>
  <si>
    <t>12:04:28</t>
  </si>
  <si>
    <t>2807</t>
  </si>
  <si>
    <t>11:56:00</t>
  </si>
  <si>
    <t>12:08:28</t>
  </si>
  <si>
    <t>2808</t>
  </si>
  <si>
    <t>12:07:11</t>
  </si>
  <si>
    <t>12:16:37</t>
  </si>
  <si>
    <t>2809</t>
  </si>
  <si>
    <t>12:09:24</t>
  </si>
  <si>
    <t>12:24:59</t>
  </si>
  <si>
    <t>2810</t>
  </si>
  <si>
    <t>12:39:31</t>
  </si>
  <si>
    <t>12:57:39</t>
  </si>
  <si>
    <t>2811</t>
  </si>
  <si>
    <t>12:52:53</t>
  </si>
  <si>
    <t>13:05:52</t>
  </si>
  <si>
    <t>2812</t>
  </si>
  <si>
    <t>13:06:15</t>
  </si>
  <si>
    <t>13:16:09</t>
  </si>
  <si>
    <t>2813</t>
  </si>
  <si>
    <t>13:29:19</t>
  </si>
  <si>
    <t>13:41:03</t>
  </si>
  <si>
    <t>2814</t>
  </si>
  <si>
    <t>13:32:46</t>
  </si>
  <si>
    <t>13:46:06</t>
  </si>
  <si>
    <t>2815</t>
  </si>
  <si>
    <t>14:02:14</t>
  </si>
  <si>
    <t>14:30:16</t>
  </si>
  <si>
    <t>2816</t>
  </si>
  <si>
    <t>14:15:49</t>
  </si>
  <si>
    <t>14:25:49</t>
  </si>
  <si>
    <t>2817</t>
  </si>
  <si>
    <t>14:18:48</t>
  </si>
  <si>
    <t>14:42:52</t>
  </si>
  <si>
    <t>2818</t>
  </si>
  <si>
    <t>14:31:19</t>
  </si>
  <si>
    <t>14:57:36</t>
  </si>
  <si>
    <t>2819</t>
  </si>
  <si>
    <t>14:40:55</t>
  </si>
  <si>
    <t>14:59:21</t>
  </si>
  <si>
    <t>2820</t>
  </si>
  <si>
    <t>14:50:49</t>
  </si>
  <si>
    <t>15:09:20</t>
  </si>
  <si>
    <t>2821</t>
  </si>
  <si>
    <t>15:06:51</t>
  </si>
  <si>
    <t>15:34:55</t>
  </si>
  <si>
    <t>2822</t>
  </si>
  <si>
    <t>15:19:55</t>
  </si>
  <si>
    <t>15:42:41</t>
  </si>
  <si>
    <t>2823</t>
  </si>
  <si>
    <t>17:22:57</t>
  </si>
  <si>
    <t>20:07:36</t>
  </si>
  <si>
    <t>2824</t>
  </si>
  <si>
    <t>17:34:10</t>
  </si>
  <si>
    <t>17:45:17</t>
  </si>
  <si>
    <t>2825</t>
  </si>
  <si>
    <t>18:11:24</t>
  </si>
  <si>
    <t>2826</t>
  </si>
  <si>
    <t>18:05:57</t>
  </si>
  <si>
    <t>18:18:34</t>
  </si>
  <si>
    <t>2827</t>
  </si>
  <si>
    <t>18:07:25</t>
  </si>
  <si>
    <t>18:24:43</t>
  </si>
  <si>
    <t>2828</t>
  </si>
  <si>
    <t>18:30:50</t>
  </si>
  <si>
    <t>2829</t>
  </si>
  <si>
    <t>18:52:04</t>
  </si>
  <si>
    <t>19:03:02</t>
  </si>
  <si>
    <t>2830</t>
  </si>
  <si>
    <t>19:06:44</t>
  </si>
  <si>
    <t>19:17:37</t>
  </si>
  <si>
    <t>2831</t>
  </si>
  <si>
    <t>01:10:08</t>
  </si>
  <si>
    <t>2832</t>
  </si>
  <si>
    <t>01:16:11</t>
  </si>
  <si>
    <t>2833</t>
  </si>
  <si>
    <t>01:24:54</t>
  </si>
  <si>
    <t>2834</t>
  </si>
  <si>
    <t>01:43:05</t>
  </si>
  <si>
    <t>2835</t>
  </si>
  <si>
    <t>01:49:05</t>
  </si>
  <si>
    <t>2836</t>
  </si>
  <si>
    <t>01:05:29</t>
  </si>
  <si>
    <t>01:33:08</t>
  </si>
  <si>
    <t>2837</t>
  </si>
  <si>
    <t>01:06:06</t>
  </si>
  <si>
    <t>01:38:32</t>
  </si>
  <si>
    <t>2838</t>
  </si>
  <si>
    <t>01:54:57</t>
  </si>
  <si>
    <t>2839</t>
  </si>
  <si>
    <t>01:11:21</t>
  </si>
  <si>
    <t>01:27:20</t>
  </si>
  <si>
    <t>2840</t>
  </si>
  <si>
    <t>01:12:49</t>
  </si>
  <si>
    <t>2841</t>
  </si>
  <si>
    <t>01:28:28</t>
  </si>
  <si>
    <t>02:10:04</t>
  </si>
  <si>
    <t>2842</t>
  </si>
  <si>
    <t>02:03:08</t>
  </si>
  <si>
    <t>02:40:18</t>
  </si>
  <si>
    <t>2843</t>
  </si>
  <si>
    <t>02:04:24</t>
  </si>
  <si>
    <t>02:24:45</t>
  </si>
  <si>
    <t>2844</t>
  </si>
  <si>
    <t>02:22:34</t>
  </si>
  <si>
    <t>02:32:34</t>
  </si>
  <si>
    <t>2845</t>
  </si>
  <si>
    <t>02:25:51</t>
  </si>
  <si>
    <t>02:39:00</t>
  </si>
  <si>
    <t>2846</t>
  </si>
  <si>
    <t>03:24:33</t>
  </si>
  <si>
    <t>03:35:01</t>
  </si>
  <si>
    <t>2847</t>
  </si>
  <si>
    <t>03:41:05</t>
  </si>
  <si>
    <t>03:51:45</t>
  </si>
  <si>
    <t>2848</t>
  </si>
  <si>
    <t>03:44:34</t>
  </si>
  <si>
    <t>04:01:17</t>
  </si>
  <si>
    <t>2849</t>
  </si>
  <si>
    <t>04:06:06</t>
  </si>
  <si>
    <t>2850</t>
  </si>
  <si>
    <t>04:16:52</t>
  </si>
  <si>
    <t>04:27:44</t>
  </si>
  <si>
    <t>2851</t>
  </si>
  <si>
    <t>04:24:46</t>
  </si>
  <si>
    <t>04:35:04</t>
  </si>
  <si>
    <t>2852</t>
  </si>
  <si>
    <t>04:36:33</t>
  </si>
  <si>
    <t>04:47:39</t>
  </si>
  <si>
    <t>2853</t>
  </si>
  <si>
    <t>04:45:21</t>
  </si>
  <si>
    <t>04:56:25</t>
  </si>
  <si>
    <t>2854</t>
  </si>
  <si>
    <t>04:46:36</t>
  </si>
  <si>
    <t>2855</t>
  </si>
  <si>
    <t>05:06:48</t>
  </si>
  <si>
    <t>05:18:25</t>
  </si>
  <si>
    <t>2856</t>
  </si>
  <si>
    <t>05:08:30</t>
  </si>
  <si>
    <t>2857</t>
  </si>
  <si>
    <t>05:21:08</t>
  </si>
  <si>
    <t>05:34:03</t>
  </si>
  <si>
    <t>2858</t>
  </si>
  <si>
    <t>05:31:25</t>
  </si>
  <si>
    <t>2859</t>
  </si>
  <si>
    <t>05:39:38</t>
  </si>
  <si>
    <t>05:53:14</t>
  </si>
  <si>
    <t>2860</t>
  </si>
  <si>
    <t>05:51:10</t>
  </si>
  <si>
    <t>06:03:16</t>
  </si>
  <si>
    <t>2861</t>
  </si>
  <si>
    <t>06:31:26</t>
  </si>
  <si>
    <t>2862</t>
  </si>
  <si>
    <t>06:33:49</t>
  </si>
  <si>
    <t>06:44:30</t>
  </si>
  <si>
    <t>2863</t>
  </si>
  <si>
    <t>07:02:26</t>
  </si>
  <si>
    <t>07:14:00</t>
  </si>
  <si>
    <t>2864</t>
  </si>
  <si>
    <t>07:10:16</t>
  </si>
  <si>
    <t>07:20:54</t>
  </si>
  <si>
    <t>2865</t>
  </si>
  <si>
    <t>07:14:48</t>
  </si>
  <si>
    <t>07:40:39</t>
  </si>
  <si>
    <t>2866</t>
  </si>
  <si>
    <t>07:51:04</t>
  </si>
  <si>
    <t>2867</t>
  </si>
  <si>
    <t>07:55:29</t>
  </si>
  <si>
    <t>08:07:28</t>
  </si>
  <si>
    <t>2868</t>
  </si>
  <si>
    <t>08:12:40</t>
  </si>
  <si>
    <t>08:23:52</t>
  </si>
  <si>
    <t>2869</t>
  </si>
  <si>
    <t>08:16:00</t>
  </si>
  <si>
    <t>08:30:05</t>
  </si>
  <si>
    <t>2870</t>
  </si>
  <si>
    <t>08:27:07</t>
  </si>
  <si>
    <t>08:37:45</t>
  </si>
  <si>
    <t>2871</t>
  </si>
  <si>
    <t>08:41:00</t>
  </si>
  <si>
    <t>08:54:18</t>
  </si>
  <si>
    <t>2872</t>
  </si>
  <si>
    <t>08:58:21</t>
  </si>
  <si>
    <t>2873</t>
  </si>
  <si>
    <t>08:50:43</t>
  </si>
  <si>
    <t>09:04:57</t>
  </si>
  <si>
    <t>2874</t>
  </si>
  <si>
    <t>09:16:48</t>
  </si>
  <si>
    <t>09:49:49</t>
  </si>
  <si>
    <t>2875</t>
  </si>
  <si>
    <t>09:19:52</t>
  </si>
  <si>
    <t>09:35:05</t>
  </si>
  <si>
    <t>2876</t>
  </si>
  <si>
    <t>09:54:17</t>
  </si>
  <si>
    <t>10:06:07</t>
  </si>
  <si>
    <t>2877</t>
  </si>
  <si>
    <t>10:16:34</t>
  </si>
  <si>
    <t>10:26:34</t>
  </si>
  <si>
    <t>2878</t>
  </si>
  <si>
    <t>10:19:45</t>
  </si>
  <si>
    <t>10:33:25</t>
  </si>
  <si>
    <t>2879</t>
  </si>
  <si>
    <t>10:28:37</t>
  </si>
  <si>
    <t>10:40:14</t>
  </si>
  <si>
    <t>2880</t>
  </si>
  <si>
    <t>10:42:48</t>
  </si>
  <si>
    <t>11:07:52</t>
  </si>
  <si>
    <t>2881</t>
  </si>
  <si>
    <t>10:44:55</t>
  </si>
  <si>
    <t>11:12:54</t>
  </si>
  <si>
    <t>2882</t>
  </si>
  <si>
    <t>10:56:32</t>
  </si>
  <si>
    <t>11:20:10</t>
  </si>
  <si>
    <t>2883</t>
  </si>
  <si>
    <t>11:13:20</t>
  </si>
  <si>
    <t>11:26:03</t>
  </si>
  <si>
    <t>2884</t>
  </si>
  <si>
    <t>11:18:29</t>
  </si>
  <si>
    <t>11:35:04</t>
  </si>
  <si>
    <t>2885</t>
  </si>
  <si>
    <t>11:32:05</t>
  </si>
  <si>
    <t>11:44:36</t>
  </si>
  <si>
    <t>2886</t>
  </si>
  <si>
    <t>11:36:45</t>
  </si>
  <si>
    <t>2887</t>
  </si>
  <si>
    <t>11:50:32</t>
  </si>
  <si>
    <t>12:15:00</t>
  </si>
  <si>
    <t>2888</t>
  </si>
  <si>
    <t>12:09:18</t>
  </si>
  <si>
    <t>12:18:42</t>
  </si>
  <si>
    <t>2889</t>
  </si>
  <si>
    <t>12:10:22</t>
  </si>
  <si>
    <t>12:25:47</t>
  </si>
  <si>
    <t>2890</t>
  </si>
  <si>
    <t>12:23:30</t>
  </si>
  <si>
    <t>12:37:20</t>
  </si>
  <si>
    <t>2891</t>
  </si>
  <si>
    <t>13:02:46</t>
  </si>
  <si>
    <t>13:16:03</t>
  </si>
  <si>
    <t>2892</t>
  </si>
  <si>
    <t>13:20:26</t>
  </si>
  <si>
    <t>13:36:36</t>
  </si>
  <si>
    <t>2893</t>
  </si>
  <si>
    <t>13:23:49</t>
  </si>
  <si>
    <t>13:37:52</t>
  </si>
  <si>
    <t>2894</t>
  </si>
  <si>
    <t>13:26:23</t>
  </si>
  <si>
    <t>13:41:04</t>
  </si>
  <si>
    <t>2895</t>
  </si>
  <si>
    <t>13:52:52</t>
  </si>
  <si>
    <t>14:03:38</t>
  </si>
  <si>
    <t>2896</t>
  </si>
  <si>
    <t>13:59:19</t>
  </si>
  <si>
    <t>14:08:03</t>
  </si>
  <si>
    <t>2897</t>
  </si>
  <si>
    <t>14:09:42</t>
  </si>
  <si>
    <t>14:36:04</t>
  </si>
  <si>
    <t>2898</t>
  </si>
  <si>
    <t>14:16:06</t>
  </si>
  <si>
    <t>14:37:49</t>
  </si>
  <si>
    <t>2899</t>
  </si>
  <si>
    <t>14:24:34</t>
  </si>
  <si>
    <t>14:44:20</t>
  </si>
  <si>
    <t>2900</t>
  </si>
  <si>
    <t>14:36:20</t>
  </si>
  <si>
    <t>01:28:10</t>
  </si>
  <si>
    <t>2901</t>
  </si>
  <si>
    <t>15:06:00</t>
  </si>
  <si>
    <t>15:20:03</t>
  </si>
  <si>
    <t>2902</t>
  </si>
  <si>
    <t>15:17:41</t>
  </si>
  <si>
    <t>15:28:16</t>
  </si>
  <si>
    <t>2903</t>
  </si>
  <si>
    <t>15:48:10</t>
  </si>
  <si>
    <t>16:00:24</t>
  </si>
  <si>
    <t>2904</t>
  </si>
  <si>
    <t>16:40:07</t>
  </si>
  <si>
    <t>2905</t>
  </si>
  <si>
    <t>16:43:26</t>
  </si>
  <si>
    <t>2906</t>
  </si>
  <si>
    <t>16:51:52</t>
  </si>
  <si>
    <t>17:00:09</t>
  </si>
  <si>
    <t>2907</t>
  </si>
  <si>
    <t>18:27:53</t>
  </si>
  <si>
    <t>18:41:18</t>
  </si>
  <si>
    <t>2908</t>
  </si>
  <si>
    <t>17:15:00</t>
  </si>
  <si>
    <t>2909</t>
  </si>
  <si>
    <t>17:30:00</t>
  </si>
  <si>
    <t>2910</t>
  </si>
  <si>
    <t>17:40:00</t>
  </si>
  <si>
    <t>2911</t>
  </si>
  <si>
    <t>18:10:00</t>
  </si>
  <si>
    <t>2912</t>
  </si>
  <si>
    <t>00:59:58</t>
  </si>
  <si>
    <t>01:09:53</t>
  </si>
  <si>
    <t>2913</t>
  </si>
  <si>
    <t>01:00:44</t>
  </si>
  <si>
    <t>01:15:31</t>
  </si>
  <si>
    <t>2914</t>
  </si>
  <si>
    <t>01:20:38</t>
  </si>
  <si>
    <t>2915</t>
  </si>
  <si>
    <t>01:28:36</t>
  </si>
  <si>
    <t>2916</t>
  </si>
  <si>
    <t>01:04:28</t>
  </si>
  <si>
    <t>01:33:21</t>
  </si>
  <si>
    <t>2917</t>
  </si>
  <si>
    <t>01:05:32</t>
  </si>
  <si>
    <t>01:49:15</t>
  </si>
  <si>
    <t>2918</t>
  </si>
  <si>
    <t>01:08:19</t>
  </si>
  <si>
    <t>01:37:32</t>
  </si>
  <si>
    <t>2919</t>
  </si>
  <si>
    <t>01:10:54</t>
  </si>
  <si>
    <t>01:46:12</t>
  </si>
  <si>
    <t>2920</t>
  </si>
  <si>
    <t>01:12:59</t>
  </si>
  <si>
    <t>01:54:39</t>
  </si>
  <si>
    <t>2921</t>
  </si>
  <si>
    <t>01:14:16</t>
  </si>
  <si>
    <t>02:01:21</t>
  </si>
  <si>
    <t>2922</t>
  </si>
  <si>
    <t>01:26:37</t>
  </si>
  <si>
    <t>02:05:12</t>
  </si>
  <si>
    <t>2923</t>
  </si>
  <si>
    <t>01:45:14</t>
  </si>
  <si>
    <t>02:13:11</t>
  </si>
  <si>
    <t>2924</t>
  </si>
  <si>
    <t>02:17:16</t>
  </si>
  <si>
    <t>2925</t>
  </si>
  <si>
    <t>02:24:13</t>
  </si>
  <si>
    <t>02:37:32</t>
  </si>
  <si>
    <t>2926</t>
  </si>
  <si>
    <t>02:42:27</t>
  </si>
  <si>
    <t>2927</t>
  </si>
  <si>
    <t>03:19:24</t>
  </si>
  <si>
    <t>03:29:49</t>
  </si>
  <si>
    <t>2928</t>
  </si>
  <si>
    <t>03:34:49</t>
  </si>
  <si>
    <t>03:44:24</t>
  </si>
  <si>
    <t>2929</t>
  </si>
  <si>
    <t>03:40:10</t>
  </si>
  <si>
    <t>03:52:00</t>
  </si>
  <si>
    <t>2930</t>
  </si>
  <si>
    <t>03:48:03</t>
  </si>
  <si>
    <t>03:57:19</t>
  </si>
  <si>
    <t>2931</t>
  </si>
  <si>
    <t>03:59:35</t>
  </si>
  <si>
    <t>04:14:18</t>
  </si>
  <si>
    <t>2932</t>
  </si>
  <si>
    <t>04:10:53</t>
  </si>
  <si>
    <t>04:20:41</t>
  </si>
  <si>
    <t>2933</t>
  </si>
  <si>
    <t>04:22:22</t>
  </si>
  <si>
    <t>04:33:53</t>
  </si>
  <si>
    <t>2934</t>
  </si>
  <si>
    <t>04:31:05</t>
  </si>
  <si>
    <t>04:45:09</t>
  </si>
  <si>
    <t>2935</t>
  </si>
  <si>
    <t>04:47:28</t>
  </si>
  <si>
    <t>04:58:55</t>
  </si>
  <si>
    <t>2936</t>
  </si>
  <si>
    <t>04:51:36</t>
  </si>
  <si>
    <t>05:03:28</t>
  </si>
  <si>
    <t>2937</t>
  </si>
  <si>
    <t>05:05:38</t>
  </si>
  <si>
    <t>05:18:24</t>
  </si>
  <si>
    <t>2938</t>
  </si>
  <si>
    <t>05:16:53</t>
  </si>
  <si>
    <t>05:26:51</t>
  </si>
  <si>
    <t>2939</t>
  </si>
  <si>
    <t>05:46:17</t>
  </si>
  <si>
    <t>2940</t>
  </si>
  <si>
    <t>06:07:31</t>
  </si>
  <si>
    <t>2941</t>
  </si>
  <si>
    <t>05:41:03</t>
  </si>
  <si>
    <t>05:56:06</t>
  </si>
  <si>
    <t>2942</t>
  </si>
  <si>
    <t>05:56:58</t>
  </si>
  <si>
    <t>06:10:22</t>
  </si>
  <si>
    <t>2943</t>
  </si>
  <si>
    <t>06:11:10</t>
  </si>
  <si>
    <t>06:22:10</t>
  </si>
  <si>
    <t>2944</t>
  </si>
  <si>
    <t>06:29:08</t>
  </si>
  <si>
    <t>06:40:22</t>
  </si>
  <si>
    <t>2945</t>
  </si>
  <si>
    <t>06:30:17</t>
  </si>
  <si>
    <t>06:45:35</t>
  </si>
  <si>
    <t>2946</t>
  </si>
  <si>
    <t>06:47:34</t>
  </si>
  <si>
    <t>07:01:39</t>
  </si>
  <si>
    <t>2947</t>
  </si>
  <si>
    <t>07:02:31</t>
  </si>
  <si>
    <t>07:13:19</t>
  </si>
  <si>
    <t>2948</t>
  </si>
  <si>
    <t>07:11:20</t>
  </si>
  <si>
    <t>07:22:54</t>
  </si>
  <si>
    <t>2949</t>
  </si>
  <si>
    <t>07:42:33</t>
  </si>
  <si>
    <t>2950</t>
  </si>
  <si>
    <t>07:45:17</t>
  </si>
  <si>
    <t>08:00:44</t>
  </si>
  <si>
    <t>2951</t>
  </si>
  <si>
    <t>07:56:14</t>
  </si>
  <si>
    <t>08:10:00</t>
  </si>
  <si>
    <t>2952</t>
  </si>
  <si>
    <t>08:24:22</t>
  </si>
  <si>
    <t>08:37:16</t>
  </si>
  <si>
    <t>2953</t>
  </si>
  <si>
    <t>08:41:12</t>
  </si>
  <si>
    <t>08:59:13</t>
  </si>
  <si>
    <t>2954</t>
  </si>
  <si>
    <t>08:49:28</t>
  </si>
  <si>
    <t>09:02:30</t>
  </si>
  <si>
    <t>2955</t>
  </si>
  <si>
    <t>08:59:45</t>
  </si>
  <si>
    <t>09:10:49</t>
  </si>
  <si>
    <t>2956</t>
  </si>
  <si>
    <t>09:11:51</t>
  </si>
  <si>
    <t>09:33:38</t>
  </si>
  <si>
    <t>2957</t>
  </si>
  <si>
    <t>09:30:37</t>
  </si>
  <si>
    <t>09:56:10</t>
  </si>
  <si>
    <t>2958</t>
  </si>
  <si>
    <t>09:47:27</t>
  </si>
  <si>
    <t>09:59:03</t>
  </si>
  <si>
    <t>2959</t>
  </si>
  <si>
    <t>09:50:57</t>
  </si>
  <si>
    <t>10:04:04</t>
  </si>
  <si>
    <t>2960</t>
  </si>
  <si>
    <t>10:07:00</t>
  </si>
  <si>
    <t>10:17:36</t>
  </si>
  <si>
    <t>2961</t>
  </si>
  <si>
    <t>10:23:17</t>
  </si>
  <si>
    <t>10:36:44</t>
  </si>
  <si>
    <t>2962</t>
  </si>
  <si>
    <t>10:52:22</t>
  </si>
  <si>
    <t>11:16:49</t>
  </si>
  <si>
    <t>2963</t>
  </si>
  <si>
    <t>11:07:53</t>
  </si>
  <si>
    <t>11:27:13</t>
  </si>
  <si>
    <t>2964</t>
  </si>
  <si>
    <t>11:21:27</t>
  </si>
  <si>
    <t>11:33:31</t>
  </si>
  <si>
    <t>2965</t>
  </si>
  <si>
    <t>11:31:32</t>
  </si>
  <si>
    <t>11:42:25</t>
  </si>
  <si>
    <t>2966</t>
  </si>
  <si>
    <t>11:43:30</t>
  </si>
  <si>
    <t>11:54:58</t>
  </si>
  <si>
    <t>2967</t>
  </si>
  <si>
    <t>11:49:04</t>
  </si>
  <si>
    <t>12:03:29</t>
  </si>
  <si>
    <t>2968</t>
  </si>
  <si>
    <t>11:57:38</t>
  </si>
  <si>
    <t>12:53:32</t>
  </si>
  <si>
    <t>2969</t>
  </si>
  <si>
    <t>12:28:17</t>
  </si>
  <si>
    <t>12:58:37</t>
  </si>
  <si>
    <t>2970</t>
  </si>
  <si>
    <t>12:41:28</t>
  </si>
  <si>
    <t>13:05:06</t>
  </si>
  <si>
    <t>2971</t>
  </si>
  <si>
    <t>12:50:47</t>
  </si>
  <si>
    <t>13:12:22</t>
  </si>
  <si>
    <t>2972</t>
  </si>
  <si>
    <t>13:10:02</t>
  </si>
  <si>
    <t>13:22:40</t>
  </si>
  <si>
    <t>2973</t>
  </si>
  <si>
    <t>13:32:26</t>
  </si>
  <si>
    <t>13:42:48</t>
  </si>
  <si>
    <t>2974</t>
  </si>
  <si>
    <t>13:40:51</t>
  </si>
  <si>
    <t>14:10:00</t>
  </si>
  <si>
    <t>2975</t>
  </si>
  <si>
    <t>13:51:02</t>
  </si>
  <si>
    <t>14:02:07</t>
  </si>
  <si>
    <t>2976</t>
  </si>
  <si>
    <t>14:05:06</t>
  </si>
  <si>
    <t>14:37:55</t>
  </si>
  <si>
    <t>2977</t>
  </si>
  <si>
    <t>14:35:02</t>
  </si>
  <si>
    <t>14:45:51</t>
  </si>
  <si>
    <t>2978</t>
  </si>
  <si>
    <t>14:50:54</t>
  </si>
  <si>
    <t>15:00:22</t>
  </si>
  <si>
    <t>2979</t>
  </si>
  <si>
    <t>15:04:16</t>
  </si>
  <si>
    <t>15:16:57</t>
  </si>
  <si>
    <t>2980</t>
  </si>
  <si>
    <t>15:19:22</t>
  </si>
  <si>
    <t>01:25:27</t>
  </si>
  <si>
    <t>2981</t>
  </si>
  <si>
    <t>15:55:31</t>
  </si>
  <si>
    <t>16:06:08</t>
  </si>
  <si>
    <t>2982</t>
  </si>
  <si>
    <t>16:10:43</t>
  </si>
  <si>
    <t>16:21:55</t>
  </si>
  <si>
    <t>2983</t>
  </si>
  <si>
    <t>16:41:34</t>
  </si>
  <si>
    <t>16:51:43</t>
  </si>
  <si>
    <t>2984</t>
  </si>
  <si>
    <t>17:12:41</t>
  </si>
  <si>
    <t>17:23:54</t>
  </si>
  <si>
    <t>2985</t>
  </si>
  <si>
    <t>18:16:58</t>
  </si>
  <si>
    <t>18:27:08</t>
  </si>
  <si>
    <t>2986</t>
  </si>
  <si>
    <t>18:28:27</t>
  </si>
  <si>
    <t>18:40:03</t>
  </si>
  <si>
    <t>2987</t>
  </si>
  <si>
    <t>18:38:20</t>
  </si>
  <si>
    <t>18:50:10</t>
  </si>
  <si>
    <t>2988</t>
  </si>
  <si>
    <t>18:51:15</t>
  </si>
  <si>
    <t>19:05:32</t>
  </si>
  <si>
    <t>2989</t>
  </si>
  <si>
    <t>18:56:51</t>
  </si>
  <si>
    <t>19:09:46</t>
  </si>
  <si>
    <t>2990</t>
  </si>
  <si>
    <t>19:37:54</t>
  </si>
  <si>
    <t>19:48:29</t>
  </si>
  <si>
    <t>2991</t>
  </si>
  <si>
    <t>15:39:00</t>
  </si>
  <si>
    <t>00:58:22</t>
  </si>
  <si>
    <t>01:11:35</t>
  </si>
  <si>
    <t>00:58:52</t>
  </si>
  <si>
    <t>01:17:24</t>
  </si>
  <si>
    <t>01:00:15</t>
  </si>
  <si>
    <t>01:25:41</t>
  </si>
  <si>
    <t>01:30:31</t>
  </si>
  <si>
    <t>01:04:02</t>
  </si>
  <si>
    <t>01:36:33</t>
  </si>
  <si>
    <t>2992</t>
  </si>
  <si>
    <t>01:05:30</t>
  </si>
  <si>
    <t>01:41:41</t>
  </si>
  <si>
    <t>2993</t>
  </si>
  <si>
    <t>01:06:46</t>
  </si>
  <si>
    <t>01:48:44</t>
  </si>
  <si>
    <t>2994</t>
  </si>
  <si>
    <t>01:08:30</t>
  </si>
  <si>
    <t>01:54:41</t>
  </si>
  <si>
    <t>2995</t>
  </si>
  <si>
    <t>02:01:33</t>
  </si>
  <si>
    <t>2996</t>
  </si>
  <si>
    <t>01:19:03</t>
  </si>
  <si>
    <t>02:07:31</t>
  </si>
  <si>
    <t>2997</t>
  </si>
  <si>
    <t>02:04:59</t>
  </si>
  <si>
    <t>02:19:05</t>
  </si>
  <si>
    <t>2998</t>
  </si>
  <si>
    <t>02:32:02</t>
  </si>
  <si>
    <t>2999</t>
  </si>
  <si>
    <t>02:11:37</t>
  </si>
  <si>
    <t>02:36:15</t>
  </si>
  <si>
    <t>3000</t>
  </si>
  <si>
    <t>02:28:40</t>
  </si>
  <si>
    <t>02:43:22</t>
  </si>
  <si>
    <t>3001</t>
  </si>
  <si>
    <t>02:29:43</t>
  </si>
  <si>
    <t>02:51:45</t>
  </si>
  <si>
    <t>3002</t>
  </si>
  <si>
    <t>03:25:02</t>
  </si>
  <si>
    <t>03:34:21</t>
  </si>
  <si>
    <t>3003</t>
  </si>
  <si>
    <t>03:38:45</t>
  </si>
  <si>
    <t>03:46:45</t>
  </si>
  <si>
    <t>3004</t>
  </si>
  <si>
    <t>03:52:37</t>
  </si>
  <si>
    <t>04:02:50</t>
  </si>
  <si>
    <t>3005</t>
  </si>
  <si>
    <t>04:17:33</t>
  </si>
  <si>
    <t>04:28:11</t>
  </si>
  <si>
    <t>3006</t>
  </si>
  <si>
    <t>04:21:44</t>
  </si>
  <si>
    <t>04:33:33</t>
  </si>
  <si>
    <t>3007</t>
  </si>
  <si>
    <t>04:26:47</t>
  </si>
  <si>
    <t>04:42:55</t>
  </si>
  <si>
    <t>3008</t>
  </si>
  <si>
    <t>04:37:50</t>
  </si>
  <si>
    <t>04:48:45</t>
  </si>
  <si>
    <t>3009</t>
  </si>
  <si>
    <t>04:46:57</t>
  </si>
  <si>
    <t>04:57:00</t>
  </si>
  <si>
    <t>3010</t>
  </si>
  <si>
    <t>04:53:29</t>
  </si>
  <si>
    <t>05:06:25</t>
  </si>
  <si>
    <t>3011</t>
  </si>
  <si>
    <t>05:13:08</t>
  </si>
  <si>
    <t>07:52:46</t>
  </si>
  <si>
    <t>3012</t>
  </si>
  <si>
    <t>05:18:43</t>
  </si>
  <si>
    <t>05:30:01</t>
  </si>
  <si>
    <t>3013</t>
  </si>
  <si>
    <t>05:31:08</t>
  </si>
  <si>
    <t>05:42:18</t>
  </si>
  <si>
    <t>3014</t>
  </si>
  <si>
    <t>05:51:23</t>
  </si>
  <si>
    <t>3015</t>
  </si>
  <si>
    <t>05:49:19</t>
  </si>
  <si>
    <t>06:37:44</t>
  </si>
  <si>
    <t>3016</t>
  </si>
  <si>
    <t>05:57:51</t>
  </si>
  <si>
    <t>06:45:15</t>
  </si>
  <si>
    <t>3017</t>
  </si>
  <si>
    <t>06:19:29</t>
  </si>
  <si>
    <t>06:50:43</t>
  </si>
  <si>
    <t>3018</t>
  </si>
  <si>
    <t>06:40:44</t>
  </si>
  <si>
    <t>06:56:39</t>
  </si>
  <si>
    <t>3019</t>
  </si>
  <si>
    <t>07:08:59</t>
  </si>
  <si>
    <t>07:21:40</t>
  </si>
  <si>
    <t>3020</t>
  </si>
  <si>
    <t>07:22:12</t>
  </si>
  <si>
    <t>07:31:50</t>
  </si>
  <si>
    <t>3021</t>
  </si>
  <si>
    <t>07:24:28</t>
  </si>
  <si>
    <t>07:37:45</t>
  </si>
  <si>
    <t>3022</t>
  </si>
  <si>
    <t>07:38:45</t>
  </si>
  <si>
    <t>07:48:00</t>
  </si>
  <si>
    <t>3023</t>
  </si>
  <si>
    <t>07:49:47</t>
  </si>
  <si>
    <t>08:00:14</t>
  </si>
  <si>
    <t>3024</t>
  </si>
  <si>
    <t>07:52:55</t>
  </si>
  <si>
    <t>08:06:34</t>
  </si>
  <si>
    <t>3025</t>
  </si>
  <si>
    <t>08:04:47</t>
  </si>
  <si>
    <t>08:13:48</t>
  </si>
  <si>
    <t>3026</t>
  </si>
  <si>
    <t>08:17:11</t>
  </si>
  <si>
    <t>08:26:33</t>
  </si>
  <si>
    <t>3027</t>
  </si>
  <si>
    <t>08:30:31</t>
  </si>
  <si>
    <t>08:40:10</t>
  </si>
  <si>
    <t>3028</t>
  </si>
  <si>
    <t>09:02:10</t>
  </si>
  <si>
    <t>09:12:19</t>
  </si>
  <si>
    <t>3029</t>
  </si>
  <si>
    <t>09:03:17</t>
  </si>
  <si>
    <t>09:18:45</t>
  </si>
  <si>
    <t>3030</t>
  </si>
  <si>
    <t>09:42:38</t>
  </si>
  <si>
    <t>3031</t>
  </si>
  <si>
    <t>09:39:01</t>
  </si>
  <si>
    <t>09:49:20</t>
  </si>
  <si>
    <t>3032</t>
  </si>
  <si>
    <t>09:50:40</t>
  </si>
  <si>
    <t>10:00:37</t>
  </si>
  <si>
    <t>3033</t>
  </si>
  <si>
    <t>10:12:38</t>
  </si>
  <si>
    <t>10:21:44</t>
  </si>
  <si>
    <t>3034</t>
  </si>
  <si>
    <t>10:13:31</t>
  </si>
  <si>
    <t>10:27:27</t>
  </si>
  <si>
    <t>3035</t>
  </si>
  <si>
    <t>10:22:37</t>
  </si>
  <si>
    <t>10:33:20</t>
  </si>
  <si>
    <t>3036</t>
  </si>
  <si>
    <t>10:34:16</t>
  </si>
  <si>
    <t>10:44:33</t>
  </si>
  <si>
    <t>3037</t>
  </si>
  <si>
    <t>10:48:03</t>
  </si>
  <si>
    <t>11:18:12</t>
  </si>
  <si>
    <t>3038</t>
  </si>
  <si>
    <t>10:54:17</t>
  </si>
  <si>
    <t>11:24:29</t>
  </si>
  <si>
    <t>3039</t>
  </si>
  <si>
    <t>11:03:28</t>
  </si>
  <si>
    <t>11:20:21</t>
  </si>
  <si>
    <t>3040</t>
  </si>
  <si>
    <t>11:21:04</t>
  </si>
  <si>
    <t>11:41:31</t>
  </si>
  <si>
    <t>3041</t>
  </si>
  <si>
    <t>11:23:20</t>
  </si>
  <si>
    <t>3042</t>
  </si>
  <si>
    <t>12:03:09</t>
  </si>
  <si>
    <t>15:16:27</t>
  </si>
  <si>
    <t>3043</t>
  </si>
  <si>
    <t>12:15:24</t>
  </si>
  <si>
    <t>12:26:21</t>
  </si>
  <si>
    <t>3044</t>
  </si>
  <si>
    <t>12:23:00</t>
  </si>
  <si>
    <t>12:34:10</t>
  </si>
  <si>
    <t>3045</t>
  </si>
  <si>
    <t>12:42:26</t>
  </si>
  <si>
    <t>12:53:53</t>
  </si>
  <si>
    <t>3046</t>
  </si>
  <si>
    <t>12:47:50</t>
  </si>
  <si>
    <t>13:01:23</t>
  </si>
  <si>
    <t>3047</t>
  </si>
  <si>
    <t>12:56:59</t>
  </si>
  <si>
    <t>13:06:43</t>
  </si>
  <si>
    <t>3048</t>
  </si>
  <si>
    <t>13:12:25</t>
  </si>
  <si>
    <t>3049</t>
  </si>
  <si>
    <t>13:15:59</t>
  </si>
  <si>
    <t>13:26:18</t>
  </si>
  <si>
    <t>3050</t>
  </si>
  <si>
    <t>13:27:48</t>
  </si>
  <si>
    <t>13:37:54</t>
  </si>
  <si>
    <t>3051</t>
  </si>
  <si>
    <t>13:36:09</t>
  </si>
  <si>
    <t>13:47:34</t>
  </si>
  <si>
    <t>3052</t>
  </si>
  <si>
    <t>14:03:24</t>
  </si>
  <si>
    <t>14:13:32</t>
  </si>
  <si>
    <t>3053</t>
  </si>
  <si>
    <t>14:09:56</t>
  </si>
  <si>
    <t>14:20:38</t>
  </si>
  <si>
    <t>3054</t>
  </si>
  <si>
    <t>14:21:17</t>
  </si>
  <si>
    <t>14:50:02</t>
  </si>
  <si>
    <t>3055</t>
  </si>
  <si>
    <t>14:57:35</t>
  </si>
  <si>
    <t>15:19:18</t>
  </si>
  <si>
    <t>3056</t>
  </si>
  <si>
    <t>15:05:45</t>
  </si>
  <si>
    <t>15:16:40</t>
  </si>
  <si>
    <t>3057</t>
  </si>
  <si>
    <t>15:17:34</t>
  </si>
  <si>
    <t>15:37:32</t>
  </si>
  <si>
    <t>3058</t>
  </si>
  <si>
    <t>15:40:21</t>
  </si>
  <si>
    <t>15:53:59</t>
  </si>
  <si>
    <t>3059</t>
  </si>
  <si>
    <t>15:47:44</t>
  </si>
  <si>
    <t>15:59:08</t>
  </si>
  <si>
    <t>3060</t>
  </si>
  <si>
    <t>15:56:04</t>
  </si>
  <si>
    <t>16:07:46</t>
  </si>
  <si>
    <t>3061</t>
  </si>
  <si>
    <t>16:05:29</t>
  </si>
  <si>
    <t>01:24:30</t>
  </si>
  <si>
    <t>3062</t>
  </si>
  <si>
    <t>16:24:06</t>
  </si>
  <si>
    <t>3063</t>
  </si>
  <si>
    <t>16:42:07</t>
  </si>
  <si>
    <t>16:54:49</t>
  </si>
  <si>
    <t>3064</t>
  </si>
  <si>
    <t>17:06:25</t>
  </si>
  <si>
    <t>17:18:11</t>
  </si>
  <si>
    <t>3065</t>
  </si>
  <si>
    <t>17:15:01</t>
  </si>
  <si>
    <t>17:26:45</t>
  </si>
  <si>
    <t>3066</t>
  </si>
  <si>
    <t>17:46:54</t>
  </si>
  <si>
    <t>18:14:48</t>
  </si>
  <si>
    <t>3067</t>
  </si>
  <si>
    <t>18:20:34</t>
  </si>
  <si>
    <t>18:32:51</t>
  </si>
  <si>
    <t>3068</t>
  </si>
  <si>
    <t>18:22:40</t>
  </si>
  <si>
    <t>18:42:01</t>
  </si>
  <si>
    <t>Quế Sơn Trung, ngày 02 tháng 07 năm 2026</t>
  </si>
  <si>
    <t xml:space="preserve">BẢNG KÊ CHI TIẾT KHỐI LƯỢNG VẬN CHUYỂN DĂM GỖ
( Vận chuyển từ ngày 19/06/2026 đến ngày 30/06/2026 )
 </t>
  </si>
  <si>
    <t>BẢNG KÊ GIAO NHẬN DẦU TẠI KHO NM QUẾ SƠN</t>
  </si>
  <si>
    <t>15:44:09</t>
  </si>
  <si>
    <t>07:14:45</t>
  </si>
  <si>
    <t>01:10:06</t>
  </si>
  <si>
    <t>05:01:48</t>
  </si>
  <si>
    <t>04:22:12</t>
  </si>
  <si>
    <t>18:58:01</t>
  </si>
  <si>
    <t>07:58:54</t>
  </si>
  <si>
    <t>08:02:08</t>
  </si>
  <si>
    <t>05:12:37</t>
  </si>
  <si>
    <t>01:26:26</t>
  </si>
  <si>
    <t>14:22:34</t>
  </si>
  <si>
    <t>18:04:57</t>
  </si>
  <si>
    <t>07:24:12</t>
  </si>
  <si>
    <t>05:48:56</t>
  </si>
  <si>
    <t>01:49:17</t>
  </si>
  <si>
    <t>13:47:24</t>
  </si>
  <si>
    <t>01:08:16</t>
  </si>
  <si>
    <t>01:12:55</t>
  </si>
  <si>
    <t>DN_43H01068</t>
  </si>
  <si>
    <t>DH_92H00192</t>
  </si>
  <si>
    <t>QC_92H00893</t>
  </si>
  <si>
    <t>DN_43H01021</t>
  </si>
  <si>
    <t>DN_43H01080</t>
  </si>
  <si>
    <t>QC_92H00834</t>
  </si>
  <si>
    <t>DH_92H00057</t>
  </si>
  <si>
    <t>DN_43H01098</t>
  </si>
  <si>
    <t>4149</t>
  </si>
  <si>
    <t>05:25:38</t>
  </si>
  <si>
    <t>05:46:57</t>
  </si>
  <si>
    <t>4150</t>
  </si>
  <si>
    <t>05:30:39</t>
  </si>
  <si>
    <t>05:53:35</t>
  </si>
  <si>
    <t>4151</t>
  </si>
  <si>
    <t>05:39:22</t>
  </si>
  <si>
    <t>05:59:34</t>
  </si>
  <si>
    <t>4152</t>
  </si>
  <si>
    <t>05:47:55</t>
  </si>
  <si>
    <t>06:07:41</t>
  </si>
  <si>
    <t>4153</t>
  </si>
  <si>
    <t>05:49:13</t>
  </si>
  <si>
    <t>06:12:43</t>
  </si>
  <si>
    <t>4154</t>
  </si>
  <si>
    <t>05:50:26</t>
  </si>
  <si>
    <t>06:17:57</t>
  </si>
  <si>
    <t>4155</t>
  </si>
  <si>
    <t>05:52:24</t>
  </si>
  <si>
    <t>06:25:03</t>
  </si>
  <si>
    <t>4156</t>
  </si>
  <si>
    <t>05:54:57</t>
  </si>
  <si>
    <t>06:31:40</t>
  </si>
  <si>
    <t>4157</t>
  </si>
  <si>
    <t>06:19:07</t>
  </si>
  <si>
    <t>06:40:07</t>
  </si>
  <si>
    <t>4158</t>
  </si>
  <si>
    <t>06:27:56</t>
  </si>
  <si>
    <t>06:46:49</t>
  </si>
  <si>
    <t>4159</t>
  </si>
  <si>
    <t>06:44:50</t>
  </si>
  <si>
    <t>06:55:30</t>
  </si>
  <si>
    <t>4160</t>
  </si>
  <si>
    <t>07:14:53</t>
  </si>
  <si>
    <t>07:34:14</t>
  </si>
  <si>
    <t>4161</t>
  </si>
  <si>
    <t>09:08:54</t>
  </si>
  <si>
    <t>09:21:43</t>
  </si>
  <si>
    <t>4162</t>
  </si>
  <si>
    <t>09:16:23</t>
  </si>
  <si>
    <t>09:29:01</t>
  </si>
  <si>
    <t>4163</t>
  </si>
  <si>
    <t>09:22:42</t>
  </si>
  <si>
    <t>09:36:29</t>
  </si>
  <si>
    <t>4164</t>
  </si>
  <si>
    <t>09:39:28</t>
  </si>
  <si>
    <t>09:51:03</t>
  </si>
  <si>
    <t>4165</t>
  </si>
  <si>
    <t>09:42:25</t>
  </si>
  <si>
    <t>09:57:39</t>
  </si>
  <si>
    <t>4166</t>
  </si>
  <si>
    <t>10:03:32</t>
  </si>
  <si>
    <t>10:14:05</t>
  </si>
  <si>
    <t>4167</t>
  </si>
  <si>
    <t>10:09:08</t>
  </si>
  <si>
    <t>10:23:04</t>
  </si>
  <si>
    <t>4168</t>
  </si>
  <si>
    <t>10:15:07</t>
  </si>
  <si>
    <t>10:30:19</t>
  </si>
  <si>
    <t>4169</t>
  </si>
  <si>
    <t>10:32:23</t>
  </si>
  <si>
    <t>10:52:09</t>
  </si>
  <si>
    <t>4170</t>
  </si>
  <si>
    <t>10:38:41</t>
  </si>
  <si>
    <t>11:21:26</t>
  </si>
  <si>
    <t>4171</t>
  </si>
  <si>
    <t>4172</t>
  </si>
  <si>
    <t>12:15:59</t>
  </si>
  <si>
    <t>12:28:27</t>
  </si>
  <si>
    <t>4173</t>
  </si>
  <si>
    <t>12:29:21</t>
  </si>
  <si>
    <t>12:39:36</t>
  </si>
  <si>
    <t>4174</t>
  </si>
  <si>
    <t>13:23:20</t>
  </si>
  <si>
    <t>4175</t>
  </si>
  <si>
    <t>13:13:50</t>
  </si>
  <si>
    <t>13:29:15</t>
  </si>
  <si>
    <t>4176</t>
  </si>
  <si>
    <t>13:19:12</t>
  </si>
  <si>
    <t>13:35:35</t>
  </si>
  <si>
    <t>4177</t>
  </si>
  <si>
    <t>13:21:15</t>
  </si>
  <si>
    <t>4178</t>
  </si>
  <si>
    <t>13:30:50</t>
  </si>
  <si>
    <t>13:43:15</t>
  </si>
  <si>
    <t>4179</t>
  </si>
  <si>
    <t>13:45:56</t>
  </si>
  <si>
    <t>13:56:56</t>
  </si>
  <si>
    <t>4180</t>
  </si>
  <si>
    <t>18:23:09</t>
  </si>
  <si>
    <t>4181</t>
  </si>
  <si>
    <t>14:53:17</t>
  </si>
  <si>
    <t>4182</t>
  </si>
  <si>
    <t>15:22:48</t>
  </si>
  <si>
    <t>4183</t>
  </si>
  <si>
    <t>15:34:36</t>
  </si>
  <si>
    <t>15:51:49</t>
  </si>
  <si>
    <t>4184</t>
  </si>
  <si>
    <t>16:16:15</t>
  </si>
  <si>
    <t>16:32:57</t>
  </si>
  <si>
    <t>4185</t>
  </si>
  <si>
    <t>16:33:51</t>
  </si>
  <si>
    <t>16:48:23</t>
  </si>
  <si>
    <t>4186</t>
  </si>
  <si>
    <t>16:38:03</t>
  </si>
  <si>
    <t>16:56:06</t>
  </si>
  <si>
    <t>4187</t>
  </si>
  <si>
    <t>16:54:43</t>
  </si>
  <si>
    <t>17:07:57</t>
  </si>
  <si>
    <t>4188</t>
  </si>
  <si>
    <t>17:09:07</t>
  </si>
  <si>
    <t>17:21:31</t>
  </si>
  <si>
    <t>4189</t>
  </si>
  <si>
    <t>17:15:45</t>
  </si>
  <si>
    <t>17:27:04</t>
  </si>
  <si>
    <t>4190</t>
  </si>
  <si>
    <t>17:31:55</t>
  </si>
  <si>
    <t>17:44:08</t>
  </si>
  <si>
    <t>4191</t>
  </si>
  <si>
    <t>17:58:45</t>
  </si>
  <si>
    <t>18:13:10</t>
  </si>
  <si>
    <t>4192</t>
  </si>
  <si>
    <t>18:07:28</t>
  </si>
  <si>
    <t>18:22:43</t>
  </si>
  <si>
    <t>4193</t>
  </si>
  <si>
    <t>01:18:51</t>
  </si>
  <si>
    <t>4194</t>
  </si>
  <si>
    <t>01:01:38</t>
  </si>
  <si>
    <t>01:27:00</t>
  </si>
  <si>
    <t>4195</t>
  </si>
  <si>
    <t>01:06:32</t>
  </si>
  <si>
    <t>01:32:47</t>
  </si>
  <si>
    <t>4196</t>
  </si>
  <si>
    <t>01:07:52</t>
  </si>
  <si>
    <t>4197</t>
  </si>
  <si>
    <t>01:09:45</t>
  </si>
  <si>
    <t>01:45:46</t>
  </si>
  <si>
    <t>4198</t>
  </si>
  <si>
    <t>01:11:46</t>
  </si>
  <si>
    <t>01:52:49</t>
  </si>
  <si>
    <t>4199</t>
  </si>
  <si>
    <t>02:05:46</t>
  </si>
  <si>
    <t>4200</t>
  </si>
  <si>
    <t>01:59:59</t>
  </si>
  <si>
    <t>4201</t>
  </si>
  <si>
    <t>01:16:17</t>
  </si>
  <si>
    <t>02:13:02</t>
  </si>
  <si>
    <t>4202</t>
  </si>
  <si>
    <t>01:58:01</t>
  </si>
  <si>
    <t>02:18:49</t>
  </si>
  <si>
    <t>4203</t>
  </si>
  <si>
    <t>02:19:55</t>
  </si>
  <si>
    <t>02:32:01</t>
  </si>
  <si>
    <t>4204</t>
  </si>
  <si>
    <t>02:34:40</t>
  </si>
  <si>
    <t>02:52:23</t>
  </si>
  <si>
    <t>4205</t>
  </si>
  <si>
    <t>03:48:34</t>
  </si>
  <si>
    <t>04:00:56</t>
  </si>
  <si>
    <t>4206</t>
  </si>
  <si>
    <t>03:53:17</t>
  </si>
  <si>
    <t>04:07:47</t>
  </si>
  <si>
    <t>4207</t>
  </si>
  <si>
    <t>04:10:30</t>
  </si>
  <si>
    <t>04:21:09</t>
  </si>
  <si>
    <t>4208</t>
  </si>
  <si>
    <t>04:37:25</t>
  </si>
  <si>
    <t>4209</t>
  </si>
  <si>
    <t>04:35:22</t>
  </si>
  <si>
    <t>04:46:35</t>
  </si>
  <si>
    <t>4210</t>
  </si>
  <si>
    <t>05:07:09</t>
  </si>
  <si>
    <t>4211</t>
  </si>
  <si>
    <t>04:55:14</t>
  </si>
  <si>
    <t>4212</t>
  </si>
  <si>
    <t>05:04:09</t>
  </si>
  <si>
    <t>05:21:55</t>
  </si>
  <si>
    <t>4213</t>
  </si>
  <si>
    <t>05:22:57</t>
  </si>
  <si>
    <t>05:37:34</t>
  </si>
  <si>
    <t>4214</t>
  </si>
  <si>
    <t>05:33:43</t>
  </si>
  <si>
    <t>05:44:48</t>
  </si>
  <si>
    <t>4215</t>
  </si>
  <si>
    <t>05:35:30</t>
  </si>
  <si>
    <t>05:49:56</t>
  </si>
  <si>
    <t>4216</t>
  </si>
  <si>
    <t>05:51:44</t>
  </si>
  <si>
    <t>06:05:43</t>
  </si>
  <si>
    <t>4217</t>
  </si>
  <si>
    <t>06:26:28</t>
  </si>
  <si>
    <t>06:37:31</t>
  </si>
  <si>
    <t>4218</t>
  </si>
  <si>
    <t>06:48:07</t>
  </si>
  <si>
    <t>07:06:58</t>
  </si>
  <si>
    <t>4219</t>
  </si>
  <si>
    <t>07:14:31</t>
  </si>
  <si>
    <t>07:25:17</t>
  </si>
  <si>
    <t>4220</t>
  </si>
  <si>
    <t>07:33:54</t>
  </si>
  <si>
    <t>07:45:59</t>
  </si>
  <si>
    <t>4221</t>
  </si>
  <si>
    <t>07:42:42</t>
  </si>
  <si>
    <t>07:53:30</t>
  </si>
  <si>
    <t>4222</t>
  </si>
  <si>
    <t>07:54:21</t>
  </si>
  <si>
    <t>08:03:20</t>
  </si>
  <si>
    <t>4223</t>
  </si>
  <si>
    <t>08:13:01</t>
  </si>
  <si>
    <t>08:24:05</t>
  </si>
  <si>
    <t>4224</t>
  </si>
  <si>
    <t>08:21:20</t>
  </si>
  <si>
    <t>4225</t>
  </si>
  <si>
    <t>08:29:18</t>
  </si>
  <si>
    <t>08:40:36</t>
  </si>
  <si>
    <t>4226</t>
  </si>
  <si>
    <t>08:49:01</t>
  </si>
  <si>
    <t>09:11:44</t>
  </si>
  <si>
    <t>4227</t>
  </si>
  <si>
    <t>08:50:08</t>
  </si>
  <si>
    <t>09:24:00</t>
  </si>
  <si>
    <t>4228</t>
  </si>
  <si>
    <t>09:05:06</t>
  </si>
  <si>
    <t>09:18:37</t>
  </si>
  <si>
    <t>4229</t>
  </si>
  <si>
    <t>09:31:55</t>
  </si>
  <si>
    <t>09:44:31</t>
  </si>
  <si>
    <t>4230</t>
  </si>
  <si>
    <t>10:21:40</t>
  </si>
  <si>
    <t>10:31:11</t>
  </si>
  <si>
    <t>4231</t>
  </si>
  <si>
    <t>10:41:44</t>
  </si>
  <si>
    <t>11:07:08</t>
  </si>
  <si>
    <t>4232</t>
  </si>
  <si>
    <t>10:46:15</t>
  </si>
  <si>
    <t>11:11:34</t>
  </si>
  <si>
    <t>4233</t>
  </si>
  <si>
    <t>10:52:52</t>
  </si>
  <si>
    <t>11:27:47</t>
  </si>
  <si>
    <t>4234</t>
  </si>
  <si>
    <t>11:00:11</t>
  </si>
  <si>
    <t>11:16:46</t>
  </si>
  <si>
    <t>4235</t>
  </si>
  <si>
    <t>11:25:09</t>
  </si>
  <si>
    <t>11:53:46</t>
  </si>
  <si>
    <t>4236</t>
  </si>
  <si>
    <t>11:33:30</t>
  </si>
  <si>
    <t>11:46:19</t>
  </si>
  <si>
    <t>4237</t>
  </si>
  <si>
    <t>12:09:07</t>
  </si>
  <si>
    <t>12:22:00</t>
  </si>
  <si>
    <t>4238</t>
  </si>
  <si>
    <t>12:14:39</t>
  </si>
  <si>
    <t>12:29:25</t>
  </si>
  <si>
    <t>4239</t>
  </si>
  <si>
    <t>12:36:01</t>
  </si>
  <si>
    <t>12:47:41</t>
  </si>
  <si>
    <t>4240</t>
  </si>
  <si>
    <t>12:36:52</t>
  </si>
  <si>
    <t>12:56:37</t>
  </si>
  <si>
    <t>4241</t>
  </si>
  <si>
    <t>13:22:35</t>
  </si>
  <si>
    <t>13:31:57</t>
  </si>
  <si>
    <t>4242</t>
  </si>
  <si>
    <t>13:59:02</t>
  </si>
  <si>
    <t>14:10:36</t>
  </si>
  <si>
    <t>4243</t>
  </si>
  <si>
    <t>14:12:14</t>
  </si>
  <si>
    <t>14:23:28</t>
  </si>
  <si>
    <t>4244</t>
  </si>
  <si>
    <t>14:16:42</t>
  </si>
  <si>
    <t>14:29:06</t>
  </si>
  <si>
    <t>4245</t>
  </si>
  <si>
    <t>14:32:24</t>
  </si>
  <si>
    <t>14:45:19</t>
  </si>
  <si>
    <t>4246</t>
  </si>
  <si>
    <t>4247</t>
  </si>
  <si>
    <t>14:43:35</t>
  </si>
  <si>
    <t>14:57:22</t>
  </si>
  <si>
    <t>4248</t>
  </si>
  <si>
    <t>15:30:28</t>
  </si>
  <si>
    <t>15:41:29</t>
  </si>
  <si>
    <t>4249</t>
  </si>
  <si>
    <t>15:35:02</t>
  </si>
  <si>
    <t>15:48:19</t>
  </si>
  <si>
    <t>4250</t>
  </si>
  <si>
    <t>15:36:38</t>
  </si>
  <si>
    <t>15:55:39</t>
  </si>
  <si>
    <t>4251</t>
  </si>
  <si>
    <t>16:23:52</t>
  </si>
  <si>
    <t>16:46:07</t>
  </si>
  <si>
    <t>4252</t>
  </si>
  <si>
    <t>17:10:28</t>
  </si>
  <si>
    <t>17:20:44</t>
  </si>
  <si>
    <t>4253</t>
  </si>
  <si>
    <t>17:13:44</t>
  </si>
  <si>
    <t>17:25:46</t>
  </si>
  <si>
    <t>4254</t>
  </si>
  <si>
    <t>17:31:00</t>
  </si>
  <si>
    <t>17:58:24</t>
  </si>
  <si>
    <t>4255</t>
  </si>
  <si>
    <t>17:42:19</t>
  </si>
  <si>
    <t>4256</t>
  </si>
  <si>
    <t>17:48:06</t>
  </si>
  <si>
    <t>18:10:21</t>
  </si>
  <si>
    <t>4257</t>
  </si>
  <si>
    <t>18:23:46</t>
  </si>
  <si>
    <t>18:37:45</t>
  </si>
  <si>
    <t>4258</t>
  </si>
  <si>
    <t>18:38:29</t>
  </si>
  <si>
    <t>18:51:16</t>
  </si>
  <si>
    <t>4259</t>
  </si>
  <si>
    <t>18:45:54</t>
  </si>
  <si>
    <t>4260</t>
  </si>
  <si>
    <t>01:00:19</t>
  </si>
  <si>
    <t>01:14:15</t>
  </si>
  <si>
    <t>4261</t>
  </si>
  <si>
    <t>01:02:19</t>
  </si>
  <si>
    <t>01:31:56</t>
  </si>
  <si>
    <t>4262</t>
  </si>
  <si>
    <t>01:04:00</t>
  </si>
  <si>
    <t>01:21:57</t>
  </si>
  <si>
    <t>4263</t>
  </si>
  <si>
    <t>01:07:26</t>
  </si>
  <si>
    <t>4264</t>
  </si>
  <si>
    <t>01:15:04</t>
  </si>
  <si>
    <t>01:40:39</t>
  </si>
  <si>
    <t>4265</t>
  </si>
  <si>
    <t>01:27:51</t>
  </si>
  <si>
    <t>01:47:24</t>
  </si>
  <si>
    <t>4266</t>
  </si>
  <si>
    <t>01:29:45</t>
  </si>
  <si>
    <t>01:53:41</t>
  </si>
  <si>
    <t>4267</t>
  </si>
  <si>
    <t>4268</t>
  </si>
  <si>
    <t>01:48:50</t>
  </si>
  <si>
    <t>02:06:58</t>
  </si>
  <si>
    <t>4269</t>
  </si>
  <si>
    <t>01:56:32</t>
  </si>
  <si>
    <t>02:13:56</t>
  </si>
  <si>
    <t>4270</t>
  </si>
  <si>
    <t>02:02:40</t>
  </si>
  <si>
    <t>02:20:02</t>
  </si>
  <si>
    <t>4271</t>
  </si>
  <si>
    <t>02:23:23</t>
  </si>
  <si>
    <t>02:37:02</t>
  </si>
  <si>
    <t>4272</t>
  </si>
  <si>
    <t>02:29:11</t>
  </si>
  <si>
    <t>02:43:01</t>
  </si>
  <si>
    <t>4273</t>
  </si>
  <si>
    <t>03:31:39</t>
  </si>
  <si>
    <t>03:44:25</t>
  </si>
  <si>
    <t>4274</t>
  </si>
  <si>
    <t>03:58:49</t>
  </si>
  <si>
    <t>04:12:35</t>
  </si>
  <si>
    <t>4275</t>
  </si>
  <si>
    <t>04:04:50</t>
  </si>
  <si>
    <t>4276</t>
  </si>
  <si>
    <t>04:18:29</t>
  </si>
  <si>
    <t>04:30:28</t>
  </si>
  <si>
    <t>4277</t>
  </si>
  <si>
    <t>04:37:58</t>
  </si>
  <si>
    <t>04:50:17</t>
  </si>
  <si>
    <t>4278</t>
  </si>
  <si>
    <t>04:41:39</t>
  </si>
  <si>
    <t>04:55:49</t>
  </si>
  <si>
    <t>4279</t>
  </si>
  <si>
    <t>05:12:34</t>
  </si>
  <si>
    <t>4280</t>
  </si>
  <si>
    <t>05:11:21</t>
  </si>
  <si>
    <t>4281</t>
  </si>
  <si>
    <t>05:17:37</t>
  </si>
  <si>
    <t>05:34:53</t>
  </si>
  <si>
    <t>4282</t>
  </si>
  <si>
    <t>05:19:06</t>
  </si>
  <si>
    <t>05:37:44</t>
  </si>
  <si>
    <t>4283</t>
  </si>
  <si>
    <t>05:23:16</t>
  </si>
  <si>
    <t>4284</t>
  </si>
  <si>
    <t>05:46:22</t>
  </si>
  <si>
    <t>05:58:53</t>
  </si>
  <si>
    <t>4285</t>
  </si>
  <si>
    <t>05:49:45</t>
  </si>
  <si>
    <t>06:05:35</t>
  </si>
  <si>
    <t>4286</t>
  </si>
  <si>
    <t>06:07:07</t>
  </si>
  <si>
    <t>06:17:27</t>
  </si>
  <si>
    <t>4287</t>
  </si>
  <si>
    <t>06:54:04</t>
  </si>
  <si>
    <t>07:07:08</t>
  </si>
  <si>
    <t>4288</t>
  </si>
  <si>
    <t>07:05:37</t>
  </si>
  <si>
    <t>07:27:07</t>
  </si>
  <si>
    <t>4289</t>
  </si>
  <si>
    <t>07:20:35</t>
  </si>
  <si>
    <t>07:44:59</t>
  </si>
  <si>
    <t>4290</t>
  </si>
  <si>
    <t>07:43:51</t>
  </si>
  <si>
    <t>07:54:51</t>
  </si>
  <si>
    <t>4291</t>
  </si>
  <si>
    <t>07:48:01</t>
  </si>
  <si>
    <t>4292</t>
  </si>
  <si>
    <t>08:14:00</t>
  </si>
  <si>
    <t>4293</t>
  </si>
  <si>
    <t>08:19:14</t>
  </si>
  <si>
    <t>08:30:42</t>
  </si>
  <si>
    <t>4294</t>
  </si>
  <si>
    <t>08:44:27</t>
  </si>
  <si>
    <t>08:56:20</t>
  </si>
  <si>
    <t>4295</t>
  </si>
  <si>
    <t>08:45:36</t>
  </si>
  <si>
    <t>09:12:52</t>
  </si>
  <si>
    <t>4296</t>
  </si>
  <si>
    <t>08:54:12</t>
  </si>
  <si>
    <t>09:05:12</t>
  </si>
  <si>
    <t>4297</t>
  </si>
  <si>
    <t>09:13:55</t>
  </si>
  <si>
    <t>09:24:21</t>
  </si>
  <si>
    <t>4298</t>
  </si>
  <si>
    <t>09:20:58</t>
  </si>
  <si>
    <t>09:34:36</t>
  </si>
  <si>
    <t>4299</t>
  </si>
  <si>
    <t>09:26:17</t>
  </si>
  <si>
    <t>09:46:50</t>
  </si>
  <si>
    <t>4300</t>
  </si>
  <si>
    <t>10:11:41</t>
  </si>
  <si>
    <t>10:23:23</t>
  </si>
  <si>
    <t>4301</t>
  </si>
  <si>
    <t>10:29:31</t>
  </si>
  <si>
    <t>10:41:13</t>
  </si>
  <si>
    <t>4302</t>
  </si>
  <si>
    <t>10:45:01</t>
  </si>
  <si>
    <t>11:07:27</t>
  </si>
  <si>
    <t>4303</t>
  </si>
  <si>
    <t>11:04:39</t>
  </si>
  <si>
    <t>11:20:43</t>
  </si>
  <si>
    <t>4304</t>
  </si>
  <si>
    <t>11:16:01</t>
  </si>
  <si>
    <t>11:27:38</t>
  </si>
  <si>
    <t>4305</t>
  </si>
  <si>
    <t>11:17:26</t>
  </si>
  <si>
    <t>11:32:27</t>
  </si>
  <si>
    <t>4306</t>
  </si>
  <si>
    <t>11:29:35</t>
  </si>
  <si>
    <t>11:41:27</t>
  </si>
  <si>
    <t>4307</t>
  </si>
  <si>
    <t>11:58:37</t>
  </si>
  <si>
    <t>12:26:34</t>
  </si>
  <si>
    <t>4308</t>
  </si>
  <si>
    <t>11:59:59</t>
  </si>
  <si>
    <t>12:15:51</t>
  </si>
  <si>
    <t>4309</t>
  </si>
  <si>
    <t>12:18:45</t>
  </si>
  <si>
    <t>12:31:49</t>
  </si>
  <si>
    <t>4310</t>
  </si>
  <si>
    <t>13:06:54</t>
  </si>
  <si>
    <t>4311</t>
  </si>
  <si>
    <t>12:59:05</t>
  </si>
  <si>
    <t>13:11:44</t>
  </si>
  <si>
    <t>4312</t>
  </si>
  <si>
    <t>13:24:11</t>
  </si>
  <si>
    <t>13:38:07</t>
  </si>
  <si>
    <t>4313</t>
  </si>
  <si>
    <t>13:30:06</t>
  </si>
  <si>
    <t>13:42:19</t>
  </si>
  <si>
    <t>4314</t>
  </si>
  <si>
    <t>13:59:42</t>
  </si>
  <si>
    <t>14:10:06</t>
  </si>
  <si>
    <t>4315</t>
  </si>
  <si>
    <t>14:35:14</t>
  </si>
  <si>
    <t>14:48:58</t>
  </si>
  <si>
    <t>4316</t>
  </si>
  <si>
    <t>14:36:32</t>
  </si>
  <si>
    <t>14:54:03</t>
  </si>
  <si>
    <t>4317</t>
  </si>
  <si>
    <t>14:46:28</t>
  </si>
  <si>
    <t>14:59:34</t>
  </si>
  <si>
    <t>4318</t>
  </si>
  <si>
    <t>15:06:18</t>
  </si>
  <si>
    <t>15:20:30</t>
  </si>
  <si>
    <t>4319</t>
  </si>
  <si>
    <t>15:07:06</t>
  </si>
  <si>
    <t>15:33:31</t>
  </si>
  <si>
    <t>4320</t>
  </si>
  <si>
    <t>15:21:14</t>
  </si>
  <si>
    <t>15:45:18</t>
  </si>
  <si>
    <t>4321</t>
  </si>
  <si>
    <t>15:43:33</t>
  </si>
  <si>
    <t>16:13:08</t>
  </si>
  <si>
    <t>4322</t>
  </si>
  <si>
    <t>15:46:04</t>
  </si>
  <si>
    <t>16:06:29</t>
  </si>
  <si>
    <t>4323</t>
  </si>
  <si>
    <t>16:17:10</t>
  </si>
  <si>
    <t>16:28:38</t>
  </si>
  <si>
    <t>4324</t>
  </si>
  <si>
    <t>16:40:09</t>
  </si>
  <si>
    <t>16:56:14</t>
  </si>
  <si>
    <t>4325</t>
  </si>
  <si>
    <t>16:47:24</t>
  </si>
  <si>
    <t>16:58:06</t>
  </si>
  <si>
    <t>4326</t>
  </si>
  <si>
    <t>17:00:14</t>
  </si>
  <si>
    <t>17:11:13</t>
  </si>
  <si>
    <t>4327</t>
  </si>
  <si>
    <t>17:38:32</t>
  </si>
  <si>
    <t>17:52:07</t>
  </si>
  <si>
    <t>4328</t>
  </si>
  <si>
    <t>18:02:38</t>
  </si>
  <si>
    <t>18:15:54</t>
  </si>
  <si>
    <t>4329</t>
  </si>
  <si>
    <t>18:07:48</t>
  </si>
  <si>
    <t>18:23:45</t>
  </si>
  <si>
    <t>4330</t>
  </si>
  <si>
    <t>18:08:55</t>
  </si>
  <si>
    <t>18:25:15</t>
  </si>
  <si>
    <t>4331</t>
  </si>
  <si>
    <t>18:43:22</t>
  </si>
  <si>
    <t>02:09:31</t>
  </si>
  <si>
    <t>4332</t>
  </si>
  <si>
    <t>19:16:29</t>
  </si>
  <si>
    <t>19:28:05</t>
  </si>
  <si>
    <t>4333</t>
  </si>
  <si>
    <t>19:44:51</t>
  </si>
  <si>
    <t>19:56:13</t>
  </si>
  <si>
    <t>4334</t>
  </si>
  <si>
    <t>01:00:17</t>
  </si>
  <si>
    <t>01:13:55</t>
  </si>
  <si>
    <t>4335</t>
  </si>
  <si>
    <t>01:02:14</t>
  </si>
  <si>
    <t>01:20:19</t>
  </si>
  <si>
    <t>4336</t>
  </si>
  <si>
    <t>01:03:43</t>
  </si>
  <si>
    <t>01:34:04</t>
  </si>
  <si>
    <t>4337</t>
  </si>
  <si>
    <t>01:05:13</t>
  </si>
  <si>
    <t>01:55:59</t>
  </si>
  <si>
    <t>4338</t>
  </si>
  <si>
    <t>01:06:39</t>
  </si>
  <si>
    <t>02:02:15</t>
  </si>
  <si>
    <t>4339</t>
  </si>
  <si>
    <t>01:47:28</t>
  </si>
  <si>
    <t>4340</t>
  </si>
  <si>
    <t>01:10:13</t>
  </si>
  <si>
    <t>01:27:30</t>
  </si>
  <si>
    <t>4341</t>
  </si>
  <si>
    <t>01:15:03</t>
  </si>
  <si>
    <t>02:09:42</t>
  </si>
  <si>
    <t>4342</t>
  </si>
  <si>
    <t>01:23:12</t>
  </si>
  <si>
    <t>01:41:34</t>
  </si>
  <si>
    <t>4343</t>
  </si>
  <si>
    <t>01:48:35</t>
  </si>
  <si>
    <t>02:17:48</t>
  </si>
  <si>
    <t>4344</t>
  </si>
  <si>
    <t>01:53:57</t>
  </si>
  <si>
    <t>02:26:18</t>
  </si>
  <si>
    <t>4345</t>
  </si>
  <si>
    <t>01:57:05</t>
  </si>
  <si>
    <t>02:32:17</t>
  </si>
  <si>
    <t>4346</t>
  </si>
  <si>
    <t>02:04:32</t>
  </si>
  <si>
    <t>02:39:54</t>
  </si>
  <si>
    <t>4347</t>
  </si>
  <si>
    <t>03:25:20</t>
  </si>
  <si>
    <t>03:38:31</t>
  </si>
  <si>
    <t>4348</t>
  </si>
  <si>
    <t>03:36:44</t>
  </si>
  <si>
    <t>03:48:12</t>
  </si>
  <si>
    <t>4349</t>
  </si>
  <si>
    <t>03:49:00</t>
  </si>
  <si>
    <t>03:59:52</t>
  </si>
  <si>
    <t>4350</t>
  </si>
  <si>
    <t>04:04:38</t>
  </si>
  <si>
    <t>04:16:27</t>
  </si>
  <si>
    <t>4351</t>
  </si>
  <si>
    <t>04:11:19</t>
  </si>
  <si>
    <t>04:23:46</t>
  </si>
  <si>
    <t>4352</t>
  </si>
  <si>
    <t>04:25:31</t>
  </si>
  <si>
    <t>04:37:37</t>
  </si>
  <si>
    <t>4353</t>
  </si>
  <si>
    <t>04:45:12</t>
  </si>
  <si>
    <t>04:59:28</t>
  </si>
  <si>
    <t>4354</t>
  </si>
  <si>
    <t>04:54:45</t>
  </si>
  <si>
    <t>05:05:52</t>
  </si>
  <si>
    <t>4355</t>
  </si>
  <si>
    <t>05:06:38</t>
  </si>
  <si>
    <t>05:17:32</t>
  </si>
  <si>
    <t>4356</t>
  </si>
  <si>
    <t>05:32:05</t>
  </si>
  <si>
    <t>05:52:01</t>
  </si>
  <si>
    <t>4357</t>
  </si>
  <si>
    <t>05:43:42</t>
  </si>
  <si>
    <t>05:55:53</t>
  </si>
  <si>
    <t>4358</t>
  </si>
  <si>
    <t>05:47:41</t>
  </si>
  <si>
    <t>06:01:11</t>
  </si>
  <si>
    <t>4359</t>
  </si>
  <si>
    <t>05:53:27</t>
  </si>
  <si>
    <t>06:07:58</t>
  </si>
  <si>
    <t>4360</t>
  </si>
  <si>
    <t>06:02:09</t>
  </si>
  <si>
    <t>06:16:58</t>
  </si>
  <si>
    <t>4361</t>
  </si>
  <si>
    <t>06:15:42</t>
  </si>
  <si>
    <t>06:29:23</t>
  </si>
  <si>
    <t>4362</t>
  </si>
  <si>
    <t>06:26:06</t>
  </si>
  <si>
    <t>06:36:16</t>
  </si>
  <si>
    <t>4363</t>
  </si>
  <si>
    <t>06:54:54</t>
  </si>
  <si>
    <t>07:05:42</t>
  </si>
  <si>
    <t>4364</t>
  </si>
  <si>
    <t>06:58:04</t>
  </si>
  <si>
    <t>4365</t>
  </si>
  <si>
    <t>07:24:09</t>
  </si>
  <si>
    <t>07:36:59</t>
  </si>
  <si>
    <t>4366</t>
  </si>
  <si>
    <t>07:46:58</t>
  </si>
  <si>
    <t>07:57:47</t>
  </si>
  <si>
    <t>4367</t>
  </si>
  <si>
    <t>08:01:17</t>
  </si>
  <si>
    <t>08:10:32</t>
  </si>
  <si>
    <t>4368</t>
  </si>
  <si>
    <t>08:16:38</t>
  </si>
  <si>
    <t>4369</t>
  </si>
  <si>
    <t>08:48:24</t>
  </si>
  <si>
    <t>09:00:59</t>
  </si>
  <si>
    <t>4370</t>
  </si>
  <si>
    <t>09:04:56</t>
  </si>
  <si>
    <t>09:18:10</t>
  </si>
  <si>
    <t>4371</t>
  </si>
  <si>
    <t>09:15:07</t>
  </si>
  <si>
    <t>09:26:04</t>
  </si>
  <si>
    <t>4372</t>
  </si>
  <si>
    <t>09:24:14</t>
  </si>
  <si>
    <t>09:34:24</t>
  </si>
  <si>
    <t>4373</t>
  </si>
  <si>
    <t>09:40:49</t>
  </si>
  <si>
    <t>09:53:34</t>
  </si>
  <si>
    <t>4374</t>
  </si>
  <si>
    <t>09:48:12</t>
  </si>
  <si>
    <t>09:58:29</t>
  </si>
  <si>
    <t>4375</t>
  </si>
  <si>
    <t>09:59:40</t>
  </si>
  <si>
    <t>10:10:28</t>
  </si>
  <si>
    <t>4376</t>
  </si>
  <si>
    <t>10:12:46</t>
  </si>
  <si>
    <t>10:30:47</t>
  </si>
  <si>
    <t>4377</t>
  </si>
  <si>
    <t>10:45:53</t>
  </si>
  <si>
    <t>11:00:54</t>
  </si>
  <si>
    <t>4378</t>
  </si>
  <si>
    <t>10:58:54</t>
  </si>
  <si>
    <t>11:11:20</t>
  </si>
  <si>
    <t>4379</t>
  </si>
  <si>
    <t>11:19:57</t>
  </si>
  <si>
    <t>14:52:49</t>
  </si>
  <si>
    <t>4380</t>
  </si>
  <si>
    <t>12:11:49</t>
  </si>
  <si>
    <t>12:22:58</t>
  </si>
  <si>
    <t>4381</t>
  </si>
  <si>
    <t>12:14:24</t>
  </si>
  <si>
    <t>12:34:05</t>
  </si>
  <si>
    <t>4382</t>
  </si>
  <si>
    <t>12:30:48</t>
  </si>
  <si>
    <t>12:41:39</t>
  </si>
  <si>
    <t>4383</t>
  </si>
  <si>
    <t>12:35:21</t>
  </si>
  <si>
    <t>12:50:48</t>
  </si>
  <si>
    <t>4384</t>
  </si>
  <si>
    <t>12:38:38</t>
  </si>
  <si>
    <t>12:58:15</t>
  </si>
  <si>
    <t>4385</t>
  </si>
  <si>
    <t>12:45:47</t>
  </si>
  <si>
    <t>13:02:37</t>
  </si>
  <si>
    <t>4386</t>
  </si>
  <si>
    <t>13:12:35</t>
  </si>
  <si>
    <t>13:23:54</t>
  </si>
  <si>
    <t>4387</t>
  </si>
  <si>
    <t>13:20:28</t>
  </si>
  <si>
    <t>13:31:45</t>
  </si>
  <si>
    <t>4388</t>
  </si>
  <si>
    <t>13:52:19</t>
  </si>
  <si>
    <t>14:03:29</t>
  </si>
  <si>
    <t>4389</t>
  </si>
  <si>
    <t>14:04:27</t>
  </si>
  <si>
    <t>14:17:29</t>
  </si>
  <si>
    <t>4390</t>
  </si>
  <si>
    <t>14:40:12</t>
  </si>
  <si>
    <t>14:52:59</t>
  </si>
  <si>
    <t>4391</t>
  </si>
  <si>
    <t>14:46:18</t>
  </si>
  <si>
    <t>14:58:42</t>
  </si>
  <si>
    <t>4392</t>
  </si>
  <si>
    <t>15:34:50</t>
  </si>
  <si>
    <t>18:50:31</t>
  </si>
  <si>
    <t>4393</t>
  </si>
  <si>
    <t>15:39:01</t>
  </si>
  <si>
    <t>18:45:10</t>
  </si>
  <si>
    <t>4394</t>
  </si>
  <si>
    <t>15:48:55</t>
  </si>
  <si>
    <t>16:03:04</t>
  </si>
  <si>
    <t>4395</t>
  </si>
  <si>
    <t>16:00:51</t>
  </si>
  <si>
    <t>16:13:14</t>
  </si>
  <si>
    <t>4396</t>
  </si>
  <si>
    <t>16:10:34</t>
  </si>
  <si>
    <t>16:21:45</t>
  </si>
  <si>
    <t>4397</t>
  </si>
  <si>
    <t>16:23:50</t>
  </si>
  <si>
    <t>16:40:43</t>
  </si>
  <si>
    <t>4398</t>
  </si>
  <si>
    <t>17:26:03</t>
  </si>
  <si>
    <t>17:39:15</t>
  </si>
  <si>
    <t>4399</t>
  </si>
  <si>
    <t>17:59:16</t>
  </si>
  <si>
    <t>18:11:04</t>
  </si>
  <si>
    <t>4400</t>
  </si>
  <si>
    <t>18:44:39</t>
  </si>
  <si>
    <t>18:56:38</t>
  </si>
  <si>
    <t>4401</t>
  </si>
  <si>
    <t>18:50:04</t>
  </si>
  <si>
    <t>19:01:47</t>
  </si>
  <si>
    <t>4402</t>
  </si>
  <si>
    <t>19:16:20</t>
  </si>
  <si>
    <t>19:27:51</t>
  </si>
  <si>
    <t>4403</t>
  </si>
  <si>
    <t>00:58:06</t>
  </si>
  <si>
    <t>4404</t>
  </si>
  <si>
    <t>00:59:28</t>
  </si>
  <si>
    <t>01:15:09</t>
  </si>
  <si>
    <t>4405</t>
  </si>
  <si>
    <t>01:00:54</t>
  </si>
  <si>
    <t>01:21:52</t>
  </si>
  <si>
    <t>4406</t>
  </si>
  <si>
    <t>01:02:23</t>
  </si>
  <si>
    <t>01:28:18</t>
  </si>
  <si>
    <t>4407</t>
  </si>
  <si>
    <t>01:03:40</t>
  </si>
  <si>
    <t>01:33:05</t>
  </si>
  <si>
    <t>4408</t>
  </si>
  <si>
    <t>01:08:10</t>
  </si>
  <si>
    <t>01:38:11</t>
  </si>
  <si>
    <t>4409</t>
  </si>
  <si>
    <t>01:45:07</t>
  </si>
  <si>
    <t>4410</t>
  </si>
  <si>
    <t>01:29:31</t>
  </si>
  <si>
    <t>4411</t>
  </si>
  <si>
    <t>01:43:32</t>
  </si>
  <si>
    <t>01:55:36</t>
  </si>
  <si>
    <t>4412</t>
  </si>
  <si>
    <t>02:03:55</t>
  </si>
  <si>
    <t>02:15:00</t>
  </si>
  <si>
    <t>4413</t>
  </si>
  <si>
    <t>02:05:20</t>
  </si>
  <si>
    <t>02:19:54</t>
  </si>
  <si>
    <t>4414</t>
  </si>
  <si>
    <t>02:18:01</t>
  </si>
  <si>
    <t>02:28:24</t>
  </si>
  <si>
    <t>4415</t>
  </si>
  <si>
    <t>02:33:44</t>
  </si>
  <si>
    <t>4416</t>
  </si>
  <si>
    <t>03:35:11</t>
  </si>
  <si>
    <t>03:46:29</t>
  </si>
  <si>
    <t>4417</t>
  </si>
  <si>
    <t>03:42:35</t>
  </si>
  <si>
    <t>03:53:10</t>
  </si>
  <si>
    <t>4418</t>
  </si>
  <si>
    <t>03:54:06</t>
  </si>
  <si>
    <t>4419</t>
  </si>
  <si>
    <t>04:12:57</t>
  </si>
  <si>
    <t>4420</t>
  </si>
  <si>
    <t>04:16:35</t>
  </si>
  <si>
    <t>04:29:54</t>
  </si>
  <si>
    <t>4421</t>
  </si>
  <si>
    <t>04:21:45</t>
  </si>
  <si>
    <t>04:34:44</t>
  </si>
  <si>
    <t>4422</t>
  </si>
  <si>
    <t>04:36:00</t>
  </si>
  <si>
    <t>4423</t>
  </si>
  <si>
    <t>04:44:18</t>
  </si>
  <si>
    <t>04:55:28</t>
  </si>
  <si>
    <t>4424</t>
  </si>
  <si>
    <t>04:53:12</t>
  </si>
  <si>
    <t>05:03:26</t>
  </si>
  <si>
    <t>4425</t>
  </si>
  <si>
    <t>05:07:33</t>
  </si>
  <si>
    <t>05:19:54</t>
  </si>
  <si>
    <t>4426</t>
  </si>
  <si>
    <t>05:18:23</t>
  </si>
  <si>
    <t>05:28:26</t>
  </si>
  <si>
    <t>4427</t>
  </si>
  <si>
    <t>05:35:58</t>
  </si>
  <si>
    <t>05:48:48</t>
  </si>
  <si>
    <t>4428</t>
  </si>
  <si>
    <t>05:49:29</t>
  </si>
  <si>
    <t>06:01:26</t>
  </si>
  <si>
    <t>4429</t>
  </si>
  <si>
    <t>06:28:28</t>
  </si>
  <si>
    <t>06:40:18</t>
  </si>
  <si>
    <t>4430</t>
  </si>
  <si>
    <t>06:37:09</t>
  </si>
  <si>
    <t>06:47:59</t>
  </si>
  <si>
    <t>4431</t>
  </si>
  <si>
    <t>07:02:08</t>
  </si>
  <si>
    <t>07:17:16</t>
  </si>
  <si>
    <t>4432</t>
  </si>
  <si>
    <t>07:06:55</t>
  </si>
  <si>
    <t>4433</t>
  </si>
  <si>
    <t>07:22:47</t>
  </si>
  <si>
    <t>07:34:07</t>
  </si>
  <si>
    <t>4434</t>
  </si>
  <si>
    <t>07:41:35</t>
  </si>
  <si>
    <t>4435</t>
  </si>
  <si>
    <t>07:35:41</t>
  </si>
  <si>
    <t>07:47:57</t>
  </si>
  <si>
    <t>4436</t>
  </si>
  <si>
    <t>07:45:06</t>
  </si>
  <si>
    <t>07:57:58</t>
  </si>
  <si>
    <t>4437</t>
  </si>
  <si>
    <t>08:15:50</t>
  </si>
  <si>
    <t>08:26:32</t>
  </si>
  <si>
    <t>4438</t>
  </si>
  <si>
    <t>08:33:23</t>
  </si>
  <si>
    <t>08:45:00</t>
  </si>
  <si>
    <t>4439</t>
  </si>
  <si>
    <t>08:48:37</t>
  </si>
  <si>
    <t>08:58:59</t>
  </si>
  <si>
    <t>4440</t>
  </si>
  <si>
    <t>08:59:51</t>
  </si>
  <si>
    <t>09:10:19</t>
  </si>
  <si>
    <t>4441</t>
  </si>
  <si>
    <t>10:08:18</t>
  </si>
  <si>
    <t>4442</t>
  </si>
  <si>
    <t>10:26:56</t>
  </si>
  <si>
    <t>10:40:00</t>
  </si>
  <si>
    <t>4443</t>
  </si>
  <si>
    <t>10:33:06</t>
  </si>
  <si>
    <t>11:02:11</t>
  </si>
  <si>
    <t>4444</t>
  </si>
  <si>
    <t>10:57:59</t>
  </si>
  <si>
    <t>11:09:00</t>
  </si>
  <si>
    <t>4445</t>
  </si>
  <si>
    <t>11:19:01</t>
  </si>
  <si>
    <t>11:43:45</t>
  </si>
  <si>
    <t>4446</t>
  </si>
  <si>
    <t>11:23:28</t>
  </si>
  <si>
    <t>11:50:15</t>
  </si>
  <si>
    <t>4447</t>
  </si>
  <si>
    <t>11:31:05</t>
  </si>
  <si>
    <t>11:54:24</t>
  </si>
  <si>
    <t>4448</t>
  </si>
  <si>
    <t>11:44:51</t>
  </si>
  <si>
    <t>12:01:46</t>
  </si>
  <si>
    <t>4449</t>
  </si>
  <si>
    <t>12:08:33</t>
  </si>
  <si>
    <t>12:20:26</t>
  </si>
  <si>
    <t>4450</t>
  </si>
  <si>
    <t>12:09:34</t>
  </si>
  <si>
    <t>12:23:09</t>
  </si>
  <si>
    <t>4451</t>
  </si>
  <si>
    <t>12:42:35</t>
  </si>
  <si>
    <t>4452</t>
  </si>
  <si>
    <t>13:00:20</t>
  </si>
  <si>
    <t>4453</t>
  </si>
  <si>
    <t>13:49:09</t>
  </si>
  <si>
    <t>14:04:22</t>
  </si>
  <si>
    <t>4454</t>
  </si>
  <si>
    <t>14:01:02</t>
  </si>
  <si>
    <t>14:39:13</t>
  </si>
  <si>
    <t>4455</t>
  </si>
  <si>
    <t>14:19:02</t>
  </si>
  <si>
    <t>14:45:11</t>
  </si>
  <si>
    <t>4456</t>
  </si>
  <si>
    <t>14:26:35</t>
  </si>
  <si>
    <t>14:51:36</t>
  </si>
  <si>
    <t>4457</t>
  </si>
  <si>
    <t>14:40:26</t>
  </si>
  <si>
    <t>14:55:19</t>
  </si>
  <si>
    <t>4458</t>
  </si>
  <si>
    <t>14:53:27</t>
  </si>
  <si>
    <t>15:24:39</t>
  </si>
  <si>
    <t>4459</t>
  </si>
  <si>
    <t>14:59:35</t>
  </si>
  <si>
    <t>15:11:05</t>
  </si>
  <si>
    <t>4460</t>
  </si>
  <si>
    <t>15:02:26</t>
  </si>
  <si>
    <t>15:15:44</t>
  </si>
  <si>
    <t>4461</t>
  </si>
  <si>
    <t>15:22:41</t>
  </si>
  <si>
    <t>15:34:46</t>
  </si>
  <si>
    <t>4462</t>
  </si>
  <si>
    <t>15:35:25</t>
  </si>
  <si>
    <t>15:45:26</t>
  </si>
  <si>
    <t>4463</t>
  </si>
  <si>
    <t>15:43:09</t>
  </si>
  <si>
    <t>15:54:37</t>
  </si>
  <si>
    <t>4464</t>
  </si>
  <si>
    <t>16:16:19</t>
  </si>
  <si>
    <t>16:27:11</t>
  </si>
  <si>
    <t>4465</t>
  </si>
  <si>
    <t>17:36:00</t>
  </si>
  <si>
    <t>17:47:08</t>
  </si>
  <si>
    <t>4466</t>
  </si>
  <si>
    <t>17:57:23</t>
  </si>
  <si>
    <t>4467</t>
  </si>
  <si>
    <t>18:09:52</t>
  </si>
  <si>
    <t>18:21:54</t>
  </si>
  <si>
    <t>4468</t>
  </si>
  <si>
    <t>18:50:36</t>
  </si>
  <si>
    <t>19:00:59</t>
  </si>
  <si>
    <t>4469</t>
  </si>
  <si>
    <t>19:08:32</t>
  </si>
  <si>
    <t>19:18:36</t>
  </si>
  <si>
    <t>11'40</t>
  </si>
  <si>
    <t>DH_92H00195</t>
  </si>
  <si>
    <t>Quế Sơn Trung, ngày 03 tháng 08 năm 2026</t>
  </si>
  <si>
    <t xml:space="preserve">BẢNG KÊ CHI TIẾT KHỐI LƯỢNG VẬN CHUYỂN DĂM GỖ
( Vận chuyển từ ngày 27/07/2026 đến ngày 31/07/2026 )
 </t>
  </si>
  <si>
    <t>VC.007</t>
  </si>
  <si>
    <t>Xã Quế Sơn - Tiên Sa</t>
  </si>
  <si>
    <t xml:space="preserve">Công ty TNHH Hoàng Anh Khôi </t>
  </si>
  <si>
    <t>XBUT</t>
  </si>
  <si>
    <t>23:22:12</t>
  </si>
  <si>
    <t xml:space="preserve">CÔNG TY TNHH HOÀNG ANH KHÔI </t>
  </si>
  <si>
    <t>573</t>
  </si>
  <si>
    <t>08:11:18</t>
  </si>
  <si>
    <t>KHO HOÀNG ANH KHÔI QUẾ SƠN</t>
  </si>
  <si>
    <t>XIAMEN JIULI PAPER IMP. AND EXP. CO., LTD</t>
  </si>
  <si>
    <t>575</t>
  </si>
  <si>
    <t>08:38:09</t>
  </si>
  <si>
    <t>08:48:44</t>
  </si>
  <si>
    <t>579</t>
  </si>
  <si>
    <t>09:21:20</t>
  </si>
  <si>
    <t>09:30:35</t>
  </si>
  <si>
    <t>583</t>
  </si>
  <si>
    <t>11:05:12</t>
  </si>
  <si>
    <t>11:39:27</t>
  </si>
  <si>
    <t>584</t>
  </si>
  <si>
    <t>12:00:25</t>
  </si>
  <si>
    <t>12:06:26</t>
  </si>
  <si>
    <t>587</t>
  </si>
  <si>
    <t>13:46:14</t>
  </si>
  <si>
    <t>13:52:56</t>
  </si>
  <si>
    <t>588</t>
  </si>
  <si>
    <t>14:34:21</t>
  </si>
  <si>
    <t>14:43:41</t>
  </si>
  <si>
    <t>589</t>
  </si>
  <si>
    <t>14:53:11</t>
  </si>
  <si>
    <t>595</t>
  </si>
  <si>
    <t>15:54:30</t>
  </si>
  <si>
    <t>16:15:36</t>
  </si>
  <si>
    <t>596</t>
  </si>
  <si>
    <t>16:19:37</t>
  </si>
  <si>
    <t>16:30:00</t>
  </si>
  <si>
    <t>600</t>
  </si>
  <si>
    <t>19:41:10</t>
  </si>
  <si>
    <t>19:52:03</t>
  </si>
  <si>
    <t>601</t>
  </si>
  <si>
    <t>19:45:20</t>
  </si>
  <si>
    <t>20:01:52</t>
  </si>
  <si>
    <t>602</t>
  </si>
  <si>
    <t>19:48:19</t>
  </si>
  <si>
    <t>20:07:51</t>
  </si>
  <si>
    <t>609</t>
  </si>
  <si>
    <t>21:04:53</t>
  </si>
  <si>
    <t>21:23:01</t>
  </si>
  <si>
    <t>610</t>
  </si>
  <si>
    <t>21:07:30</t>
  </si>
  <si>
    <t>21:31:56</t>
  </si>
  <si>
    <t>613</t>
  </si>
  <si>
    <t>23:56:29</t>
  </si>
  <si>
    <t>00:12:14</t>
  </si>
  <si>
    <t>615</t>
  </si>
  <si>
    <t>00:06:28</t>
  </si>
  <si>
    <t>00:32:31</t>
  </si>
  <si>
    <t>620</t>
  </si>
  <si>
    <t>03:37:43</t>
  </si>
  <si>
    <t>05:13:59</t>
  </si>
  <si>
    <t>622</t>
  </si>
  <si>
    <t>05:10:54</t>
  </si>
  <si>
    <t>05:31:26</t>
  </si>
  <si>
    <t>623</t>
  </si>
  <si>
    <t>05:43:00</t>
  </si>
  <si>
    <t>05:52:37</t>
  </si>
  <si>
    <t>627</t>
  </si>
  <si>
    <t>06:42:59</t>
  </si>
  <si>
    <t>07:02:21</t>
  </si>
  <si>
    <t>632</t>
  </si>
  <si>
    <t>08:33:58</t>
  </si>
  <si>
    <t>08:47:19</t>
  </si>
  <si>
    <t>633</t>
  </si>
  <si>
    <t>09:46:11</t>
  </si>
  <si>
    <t>09:56:24</t>
  </si>
  <si>
    <t>634</t>
  </si>
  <si>
    <t>09:58:00</t>
  </si>
  <si>
    <t>10:09:53</t>
  </si>
  <si>
    <t>635</t>
  </si>
  <si>
    <t>10:48:07</t>
  </si>
  <si>
    <t>11:02:47</t>
  </si>
  <si>
    <t>638</t>
  </si>
  <si>
    <t>11:28:44</t>
  </si>
  <si>
    <t>11:42:11</t>
  </si>
  <si>
    <t>645</t>
  </si>
  <si>
    <t>14:03:52</t>
  </si>
  <si>
    <t>14:15:36</t>
  </si>
  <si>
    <t>646</t>
  </si>
  <si>
    <t>14:26:39</t>
  </si>
  <si>
    <t>14:36:31</t>
  </si>
  <si>
    <t>647</t>
  </si>
  <si>
    <t>14:28:43</t>
  </si>
  <si>
    <t>14:43:34</t>
  </si>
  <si>
    <t>653</t>
  </si>
  <si>
    <t>16:33:43</t>
  </si>
  <si>
    <t>16:55:38</t>
  </si>
  <si>
    <t>659</t>
  </si>
  <si>
    <t>17:36:10</t>
  </si>
  <si>
    <t>17:44:37</t>
  </si>
  <si>
    <t>661</t>
  </si>
  <si>
    <t>20:12:36</t>
  </si>
  <si>
    <t>20:25:56</t>
  </si>
  <si>
    <t>663</t>
  </si>
  <si>
    <t>20:37:12</t>
  </si>
  <si>
    <t>20:46:59</t>
  </si>
  <si>
    <t>664</t>
  </si>
  <si>
    <t>20:38:55</t>
  </si>
  <si>
    <t>20:54:59</t>
  </si>
  <si>
    <t>669</t>
  </si>
  <si>
    <t>22:22:54</t>
  </si>
  <si>
    <t>22:35:35</t>
  </si>
  <si>
    <t>672</t>
  </si>
  <si>
    <t>23:09:13</t>
  </si>
  <si>
    <t>23:19:17</t>
  </si>
  <si>
    <t>673</t>
  </si>
  <si>
    <t>00:32:58</t>
  </si>
  <si>
    <t>00:45:13</t>
  </si>
  <si>
    <t>675</t>
  </si>
  <si>
    <t>01:34:48</t>
  </si>
  <si>
    <t>01:47:00</t>
  </si>
  <si>
    <t>685</t>
  </si>
  <si>
    <t>06:01:39</t>
  </si>
  <si>
    <t>06:15:59</t>
  </si>
  <si>
    <t>688</t>
  </si>
  <si>
    <t>06:50:51</t>
  </si>
  <si>
    <t>690</t>
  </si>
  <si>
    <t>06:45:54</t>
  </si>
  <si>
    <t>07:07:02</t>
  </si>
  <si>
    <t>694</t>
  </si>
  <si>
    <t>09:02:13</t>
  </si>
  <si>
    <t>09:14:53</t>
  </si>
  <si>
    <t>698</t>
  </si>
  <si>
    <t>10:04:43</t>
  </si>
  <si>
    <t>701</t>
  </si>
  <si>
    <t>10:45:30</t>
  </si>
  <si>
    <t>11:15:45</t>
  </si>
  <si>
    <t>704</t>
  </si>
  <si>
    <t>11:09:50</t>
  </si>
  <si>
    <t>12:24:08</t>
  </si>
  <si>
    <t>709</t>
  </si>
  <si>
    <t>12:18:24</t>
  </si>
  <si>
    <t>12:32:36</t>
  </si>
  <si>
    <t>711</t>
  </si>
  <si>
    <t>13:50:36</t>
  </si>
  <si>
    <t>14:10:08</t>
  </si>
  <si>
    <t>717</t>
  </si>
  <si>
    <t>15:14:31</t>
  </si>
  <si>
    <t>15:44:20</t>
  </si>
  <si>
    <t>719</t>
  </si>
  <si>
    <t>16:01:05</t>
  </si>
  <si>
    <t>16:25:47</t>
  </si>
  <si>
    <t>723</t>
  </si>
  <si>
    <t>16:33:15</t>
  </si>
  <si>
    <t>17:00:53</t>
  </si>
  <si>
    <t>726</t>
  </si>
  <si>
    <t>17:18:13</t>
  </si>
  <si>
    <t>17:30:49</t>
  </si>
  <si>
    <t>728</t>
  </si>
  <si>
    <t>18:57:20</t>
  </si>
  <si>
    <t>19:07:58</t>
  </si>
  <si>
    <t>732</t>
  </si>
  <si>
    <t>20:34:48</t>
  </si>
  <si>
    <t>20:48:59</t>
  </si>
  <si>
    <t>735</t>
  </si>
  <si>
    <t>21:03:42</t>
  </si>
  <si>
    <t>21:21:38</t>
  </si>
  <si>
    <t>738</t>
  </si>
  <si>
    <t>23:31:57</t>
  </si>
  <si>
    <t>23:42:10</t>
  </si>
  <si>
    <t>739</t>
  </si>
  <si>
    <t>23:45:43</t>
  </si>
  <si>
    <t>23:56:01</t>
  </si>
  <si>
    <t>743</t>
  </si>
  <si>
    <t>00:46:48</t>
  </si>
  <si>
    <t>00:58:08</t>
  </si>
  <si>
    <t>744</t>
  </si>
  <si>
    <t>01:25:04</t>
  </si>
  <si>
    <t>01:35:38</t>
  </si>
  <si>
    <t>749</t>
  </si>
  <si>
    <t>03:14:54</t>
  </si>
  <si>
    <t>03:25:32</t>
  </si>
  <si>
    <t>757</t>
  </si>
  <si>
    <t>05:11:25</t>
  </si>
  <si>
    <t>05:39:00</t>
  </si>
  <si>
    <t>761</t>
  </si>
  <si>
    <t>06:44:59</t>
  </si>
  <si>
    <t>06:56:00</t>
  </si>
  <si>
    <t>765</t>
  </si>
  <si>
    <t>09:30:13</t>
  </si>
  <si>
    <t>10:00:55</t>
  </si>
  <si>
    <t>767</t>
  </si>
  <si>
    <t>09:51:44</t>
  </si>
  <si>
    <t>10:09:39</t>
  </si>
  <si>
    <t>771</t>
  </si>
  <si>
    <t>11:10:43</t>
  </si>
  <si>
    <t>11:20:31</t>
  </si>
  <si>
    <t>773</t>
  </si>
  <si>
    <t>11:57:17</t>
  </si>
  <si>
    <t>12:09:26</t>
  </si>
  <si>
    <t>778</t>
  </si>
  <si>
    <t>12:58:38</t>
  </si>
  <si>
    <t>13:08:58</t>
  </si>
  <si>
    <t>786</t>
  </si>
  <si>
    <t>14:41:41</t>
  </si>
  <si>
    <t>14:56:28</t>
  </si>
  <si>
    <t>787</t>
  </si>
  <si>
    <t>14:48:24</t>
  </si>
  <si>
    <t>15:07:12</t>
  </si>
  <si>
    <t>790</t>
  </si>
  <si>
    <t>17:58:01</t>
  </si>
  <si>
    <t>18:09:01</t>
  </si>
  <si>
    <t>794</t>
  </si>
  <si>
    <t>18:45:45</t>
  </si>
  <si>
    <t>18:59:56</t>
  </si>
  <si>
    <t>795</t>
  </si>
  <si>
    <t>19:03:51</t>
  </si>
  <si>
    <t>19:15:13</t>
  </si>
  <si>
    <t>803</t>
  </si>
  <si>
    <t>19:52:19</t>
  </si>
  <si>
    <t>20:14:34</t>
  </si>
  <si>
    <t>805</t>
  </si>
  <si>
    <t>23:00:36</t>
  </si>
  <si>
    <t>808</t>
  </si>
  <si>
    <t>23:27:32</t>
  </si>
  <si>
    <t>23:52:52</t>
  </si>
  <si>
    <t>813</t>
  </si>
  <si>
    <t>02:50:26</t>
  </si>
  <si>
    <t>03:07:24</t>
  </si>
  <si>
    <t>820</t>
  </si>
  <si>
    <t>04:30:42</t>
  </si>
  <si>
    <t>04:43:50</t>
  </si>
  <si>
    <t>823</t>
  </si>
  <si>
    <t>05:04:01</t>
  </si>
  <si>
    <t>05:14:39</t>
  </si>
  <si>
    <t>824</t>
  </si>
  <si>
    <t>05:08:51</t>
  </si>
  <si>
    <t>05:22:23</t>
  </si>
  <si>
    <t>825</t>
  </si>
  <si>
    <t>05:36:05</t>
  </si>
  <si>
    <t>05:59:27</t>
  </si>
  <si>
    <t>830</t>
  </si>
  <si>
    <t>08:13:56</t>
  </si>
  <si>
    <t>08:27:59</t>
  </si>
  <si>
    <t>836</t>
  </si>
  <si>
    <t>09:33:59</t>
  </si>
  <si>
    <t>09:47:58</t>
  </si>
  <si>
    <t>839</t>
  </si>
  <si>
    <t>10:22:00</t>
  </si>
  <si>
    <t>10:31:12</t>
  </si>
  <si>
    <t>840</t>
  </si>
  <si>
    <t>10:26:00</t>
  </si>
  <si>
    <t>10:37:28</t>
  </si>
  <si>
    <t>841</t>
  </si>
  <si>
    <t>10:27:48</t>
  </si>
  <si>
    <t>10:55:17</t>
  </si>
  <si>
    <t>849</t>
  </si>
  <si>
    <t>14:30:09</t>
  </si>
  <si>
    <t>14:50:24</t>
  </si>
  <si>
    <t>854</t>
  </si>
  <si>
    <t>15:00:58</t>
  </si>
  <si>
    <t>15:31:20</t>
  </si>
  <si>
    <t>856</t>
  </si>
  <si>
    <t>15:06:47</t>
  </si>
  <si>
    <t>15:45:21</t>
  </si>
  <si>
    <t>857</t>
  </si>
  <si>
    <t>15:08:16</t>
  </si>
  <si>
    <t>15:52:42</t>
  </si>
  <si>
    <t>859</t>
  </si>
  <si>
    <t>16:54:13</t>
  </si>
  <si>
    <t>17:03:41</t>
  </si>
  <si>
    <t>866</t>
  </si>
  <si>
    <t>19:28:47</t>
  </si>
  <si>
    <t>19:48:10</t>
  </si>
  <si>
    <t>870</t>
  </si>
  <si>
    <t>20:31:01</t>
  </si>
  <si>
    <t>20:46:17</t>
  </si>
  <si>
    <t>871</t>
  </si>
  <si>
    <t>20:33:48</t>
  </si>
  <si>
    <t>20:53:27</t>
  </si>
  <si>
    <t>872</t>
  </si>
  <si>
    <t>20:47:07</t>
  </si>
  <si>
    <t>21:00:39</t>
  </si>
  <si>
    <t>874</t>
  </si>
  <si>
    <t>21:25:25</t>
  </si>
  <si>
    <t>21:35:28</t>
  </si>
  <si>
    <t>879</t>
  </si>
  <si>
    <t>01:56:10</t>
  </si>
  <si>
    <t>02:07:03</t>
  </si>
  <si>
    <t>886</t>
  </si>
  <si>
    <t>05:16:10</t>
  </si>
  <si>
    <t>05:27:49</t>
  </si>
  <si>
    <t>890</t>
  </si>
  <si>
    <t>10:23:45</t>
  </si>
  <si>
    <t>10:39:03</t>
  </si>
  <si>
    <t>891</t>
  </si>
  <si>
    <t>10:26:09</t>
  </si>
  <si>
    <t>10:42:23</t>
  </si>
  <si>
    <t>893</t>
  </si>
  <si>
    <t>11:16:06</t>
  </si>
  <si>
    <t>11:54:54</t>
  </si>
  <si>
    <t>898</t>
  </si>
  <si>
    <t>12:04:25</t>
  </si>
  <si>
    <t>12:18:13</t>
  </si>
  <si>
    <t>UTXK/ĐN-QS/0526</t>
  </si>
  <si>
    <t xml:space="preserve"> 43H-01021</t>
  </si>
  <si>
    <t xml:space="preserve"> 43H-01055</t>
  </si>
  <si>
    <t xml:space="preserve"> 43H-01068</t>
  </si>
  <si>
    <t xml:space="preserve"> 43H-01080</t>
  </si>
  <si>
    <t xml:space="preserve"> 43H-01098</t>
  </si>
  <si>
    <t>HAKQN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</si>
</sst>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F400]h:mm:ss\ AM/PM"/>
    <numFmt numFmtId="166" formatCode="_(* #,##0.0_);_(* \(#,##0.0\);_(* &quot;-&quot;??_);_(@_)"/>
    <numFmt numFmtId="167" formatCode="dd/mm/yyyy"/>
  </numFmts>
  <fonts count="40" x14ac:knownFonts="1">
    <font>
      <sz val="14"/>
      <color theme="1"/>
      <name val="Times New Roman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Times New Roman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4"/>
      <color theme="1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/>
      <top style="thin">
        <color rgb="FF8DA1DE"/>
      </top>
      <bottom style="thin">
        <color rgb="FF8DA1DE"/>
      </bottom>
      <diagonal/>
    </border>
    <border>
      <left/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E3E3E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/>
      <diagonal/>
    </border>
    <border>
      <left style="thin">
        <color indexed="64"/>
      </left>
      <right style="thin">
        <color rgb="FFE3E3E3"/>
      </right>
      <top style="thin">
        <color indexed="64"/>
      </top>
      <bottom/>
      <diagonal/>
    </border>
    <border>
      <left style="thin">
        <color rgb="FFE3E3E3"/>
      </left>
      <right style="thin">
        <color rgb="FFE3E3E3"/>
      </right>
      <top style="thin">
        <color indexed="64"/>
      </top>
      <bottom/>
      <diagonal/>
    </border>
    <border>
      <left style="thin">
        <color rgb="FFE3E3E3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/>
    <xf numFmtId="43" fontId="16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8" fillId="0" borderId="0"/>
    <xf numFmtId="9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3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293">
    <xf numFmtId="0" fontId="0" fillId="0" borderId="0" xfId="0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14" fillId="0" borderId="0" xfId="0" applyFont="1"/>
    <xf numFmtId="3" fontId="14" fillId="0" borderId="0" xfId="0" applyNumberFormat="1" applyFont="1"/>
    <xf numFmtId="4" fontId="14" fillId="0" borderId="0" xfId="0" applyNumberFormat="1" applyFont="1"/>
    <xf numFmtId="40" fontId="14" fillId="0" borderId="0" xfId="0" applyNumberFormat="1" applyFont="1"/>
    <xf numFmtId="38" fontId="14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43" fontId="19" fillId="0" borderId="0" xfId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3" fontId="19" fillId="0" borderId="0" xfId="1" applyFont="1" applyAlignment="1">
      <alignment horizontal="center"/>
    </xf>
    <xf numFmtId="0" fontId="19" fillId="0" borderId="6" xfId="0" applyFont="1" applyBorder="1"/>
    <xf numFmtId="14" fontId="19" fillId="0" borderId="6" xfId="0" applyNumberFormat="1" applyFont="1" applyBorder="1" applyAlignment="1">
      <alignment horizontal="left"/>
    </xf>
    <xf numFmtId="164" fontId="19" fillId="0" borderId="6" xfId="1" applyNumberFormat="1" applyFont="1" applyBorder="1" applyAlignment="1"/>
    <xf numFmtId="0" fontId="19" fillId="0" borderId="6" xfId="0" applyFont="1" applyBorder="1" applyAlignment="1">
      <alignment horizontal="left"/>
    </xf>
    <xf numFmtId="43" fontId="19" fillId="0" borderId="0" xfId="0" applyNumberFormat="1" applyFont="1"/>
    <xf numFmtId="0" fontId="21" fillId="0" borderId="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5" xfId="0" quotePrefix="1" applyFont="1" applyBorder="1" applyAlignment="1">
      <alignment horizontal="center" vertical="center"/>
    </xf>
    <xf numFmtId="43" fontId="21" fillId="0" borderId="5" xfId="1" applyFont="1" applyFill="1" applyBorder="1" applyAlignment="1">
      <alignment horizontal="center" vertical="center"/>
    </xf>
    <xf numFmtId="43" fontId="19" fillId="0" borderId="0" xfId="1" applyFont="1" applyFill="1" applyAlignment="1">
      <alignment horizontal="center"/>
    </xf>
    <xf numFmtId="0" fontId="22" fillId="0" borderId="8" xfId="0" applyFont="1" applyBorder="1"/>
    <xf numFmtId="0" fontId="23" fillId="0" borderId="5" xfId="0" quotePrefix="1" applyFont="1" applyBorder="1"/>
    <xf numFmtId="14" fontId="23" fillId="0" borderId="1" xfId="0" applyNumberFormat="1" applyFont="1" applyBorder="1"/>
    <xf numFmtId="165" fontId="23" fillId="0" borderId="1" xfId="0" applyNumberFormat="1" applyFont="1" applyBorder="1"/>
    <xf numFmtId="0" fontId="23" fillId="0" borderId="1" xfId="0" applyFont="1" applyBorder="1"/>
    <xf numFmtId="3" fontId="23" fillId="0" borderId="1" xfId="0" applyNumberFormat="1" applyFont="1" applyBorder="1"/>
    <xf numFmtId="0" fontId="22" fillId="0" borderId="1" xfId="0" applyFont="1" applyBorder="1"/>
    <xf numFmtId="43" fontId="19" fillId="0" borderId="5" xfId="1" applyFont="1" applyFill="1" applyBorder="1" applyAlignment="1"/>
    <xf numFmtId="43" fontId="19" fillId="0" borderId="0" xfId="1" applyFont="1" applyFill="1" applyAlignment="1"/>
    <xf numFmtId="1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43" fontId="24" fillId="0" borderId="0" xfId="1" applyFont="1" applyBorder="1" applyAlignment="1">
      <alignment horizontal="center"/>
    </xf>
    <xf numFmtId="38" fontId="25" fillId="2" borderId="9" xfId="0" applyNumberFormat="1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40" fontId="25" fillId="2" borderId="9" xfId="0" applyNumberFormat="1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14" fontId="26" fillId="0" borderId="14" xfId="0" applyNumberFormat="1" applyFont="1" applyBorder="1" applyAlignment="1">
      <alignment horizontal="center" vertical="center"/>
    </xf>
    <xf numFmtId="38" fontId="26" fillId="0" borderId="14" xfId="0" applyNumberFormat="1" applyFont="1" applyBorder="1" applyAlignment="1">
      <alignment horizontal="right" vertical="center"/>
    </xf>
    <xf numFmtId="40" fontId="26" fillId="0" borderId="14" xfId="0" applyNumberFormat="1" applyFont="1" applyBorder="1" applyAlignment="1">
      <alignment horizontal="right" vertical="center"/>
    </xf>
    <xf numFmtId="0" fontId="26" fillId="3" borderId="14" xfId="0" applyFont="1" applyFill="1" applyBorder="1" applyAlignment="1">
      <alignment horizontal="left" vertical="center"/>
    </xf>
    <xf numFmtId="40" fontId="26" fillId="3" borderId="14" xfId="0" applyNumberFormat="1" applyFont="1" applyFill="1" applyBorder="1" applyAlignment="1">
      <alignment horizontal="right" vertical="center"/>
    </xf>
    <xf numFmtId="38" fontId="26" fillId="3" borderId="14" xfId="0" applyNumberFormat="1" applyFont="1" applyFill="1" applyBorder="1" applyAlignment="1">
      <alignment horizontal="right" vertical="center"/>
    </xf>
    <xf numFmtId="0" fontId="27" fillId="0" borderId="0" xfId="7" applyFont="1" applyAlignment="1">
      <alignment horizontal="left"/>
    </xf>
    <xf numFmtId="0" fontId="28" fillId="0" borderId="0" xfId="7" applyFont="1" applyAlignment="1">
      <alignment horizontal="left"/>
    </xf>
    <xf numFmtId="2" fontId="28" fillId="0" borderId="0" xfId="7" applyNumberFormat="1" applyFont="1" applyAlignment="1">
      <alignment horizontal="center"/>
    </xf>
    <xf numFmtId="2" fontId="28" fillId="0" borderId="0" xfId="7" applyNumberFormat="1" applyFont="1" applyAlignment="1">
      <alignment horizontal="center" vertical="center"/>
    </xf>
    <xf numFmtId="0" fontId="28" fillId="0" borderId="0" xfId="7" applyFont="1" applyAlignment="1">
      <alignment horizontal="center" vertical="center"/>
    </xf>
    <xf numFmtId="164" fontId="28" fillId="0" borderId="0" xfId="8" applyNumberFormat="1" applyFont="1" applyFill="1" applyAlignment="1">
      <alignment horizontal="center" vertical="center"/>
    </xf>
    <xf numFmtId="0" fontId="28" fillId="0" borderId="0" xfId="7" applyFont="1"/>
    <xf numFmtId="0" fontId="17" fillId="0" borderId="0" xfId="7" applyFont="1"/>
    <xf numFmtId="0" fontId="27" fillId="0" borderId="5" xfId="7" applyFont="1" applyBorder="1" applyAlignment="1">
      <alignment horizontal="center" vertical="center" wrapText="1"/>
    </xf>
    <xf numFmtId="2" fontId="27" fillId="0" borderId="5" xfId="7" applyNumberFormat="1" applyFont="1" applyBorder="1" applyAlignment="1">
      <alignment horizontal="center" vertical="center" wrapText="1"/>
    </xf>
    <xf numFmtId="164" fontId="27" fillId="0" borderId="5" xfId="8" applyNumberFormat="1" applyFont="1" applyFill="1" applyBorder="1" applyAlignment="1">
      <alignment horizontal="center" vertical="center" wrapText="1"/>
    </xf>
    <xf numFmtId="3" fontId="17" fillId="0" borderId="5" xfId="7" applyNumberFormat="1" applyFont="1" applyBorder="1" applyAlignment="1">
      <alignment horizontal="center" vertical="center"/>
    </xf>
    <xf numFmtId="3" fontId="17" fillId="0" borderId="5" xfId="7" applyNumberFormat="1" applyFont="1" applyBorder="1" applyAlignment="1">
      <alignment horizontal="right" vertical="center"/>
    </xf>
    <xf numFmtId="4" fontId="17" fillId="0" borderId="0" xfId="7" applyNumberFormat="1" applyFont="1" applyAlignment="1">
      <alignment vertical="center"/>
    </xf>
    <xf numFmtId="3" fontId="17" fillId="0" borderId="0" xfId="7" applyNumberFormat="1" applyFont="1" applyAlignment="1">
      <alignment vertical="center"/>
    </xf>
    <xf numFmtId="2" fontId="28" fillId="0" borderId="0" xfId="7" applyNumberFormat="1" applyFont="1" applyAlignment="1">
      <alignment vertical="center"/>
    </xf>
    <xf numFmtId="164" fontId="28" fillId="0" borderId="0" xfId="7" applyNumberFormat="1" applyFont="1" applyAlignment="1">
      <alignment vertical="center"/>
    </xf>
    <xf numFmtId="0" fontId="28" fillId="0" borderId="0" xfId="7" applyFont="1" applyAlignment="1">
      <alignment vertical="center"/>
    </xf>
    <xf numFmtId="0" fontId="17" fillId="0" borderId="0" xfId="7" applyFont="1" applyAlignment="1">
      <alignment vertical="center"/>
    </xf>
    <xf numFmtId="164" fontId="27" fillId="0" borderId="5" xfId="6" applyNumberFormat="1" applyFont="1" applyFill="1" applyBorder="1" applyAlignment="1">
      <alignment horizontal="center" vertical="center"/>
    </xf>
    <xf numFmtId="3" fontId="15" fillId="0" borderId="5" xfId="7" applyNumberFormat="1" applyFont="1" applyBorder="1" applyAlignment="1">
      <alignment horizontal="center" vertical="center"/>
    </xf>
    <xf numFmtId="164" fontId="27" fillId="0" borderId="5" xfId="8" applyNumberFormat="1" applyFont="1" applyFill="1" applyBorder="1" applyAlignment="1">
      <alignment horizontal="center" vertical="center"/>
    </xf>
    <xf numFmtId="43" fontId="27" fillId="0" borderId="5" xfId="6" applyFont="1" applyFill="1" applyBorder="1" applyAlignment="1">
      <alignment horizontal="center" vertical="center"/>
    </xf>
    <xf numFmtId="164" fontId="27" fillId="0" borderId="5" xfId="6" applyNumberFormat="1" applyFont="1" applyFill="1" applyBorder="1" applyAlignment="1">
      <alignment horizontal="right" vertical="center"/>
    </xf>
    <xf numFmtId="0" fontId="27" fillId="0" borderId="0" xfId="7" applyFont="1" applyAlignment="1">
      <alignment vertical="center"/>
    </xf>
    <xf numFmtId="0" fontId="15" fillId="0" borderId="0" xfId="7" applyFont="1" applyAlignment="1">
      <alignment vertical="center"/>
    </xf>
    <xf numFmtId="0" fontId="29" fillId="0" borderId="5" xfId="7" applyFont="1" applyBorder="1" applyAlignment="1">
      <alignment vertical="center"/>
    </xf>
    <xf numFmtId="0" fontId="29" fillId="0" borderId="0" xfId="7" applyFont="1" applyAlignment="1">
      <alignment horizontal="center"/>
    </xf>
    <xf numFmtId="0" fontId="29" fillId="0" borderId="0" xfId="7" applyFont="1" applyAlignment="1">
      <alignment horizontal="center" vertical="center"/>
    </xf>
    <xf numFmtId="0" fontId="28" fillId="0" borderId="0" xfId="9" applyFont="1"/>
    <xf numFmtId="0" fontId="27" fillId="0" borderId="0" xfId="7" applyFont="1"/>
    <xf numFmtId="0" fontId="27" fillId="0" borderId="0" xfId="7" applyFont="1" applyAlignment="1">
      <alignment horizontal="center" vertical="center"/>
    </xf>
    <xf numFmtId="0" fontId="28" fillId="0" borderId="0" xfId="4" applyFont="1"/>
    <xf numFmtId="164" fontId="28" fillId="0" borderId="0" xfId="8" applyNumberFormat="1" applyFont="1" applyFill="1" applyAlignment="1">
      <alignment horizontal="center"/>
    </xf>
    <xf numFmtId="0" fontId="28" fillId="0" borderId="0" xfId="4" applyFont="1" applyAlignment="1">
      <alignment horizontal="center" vertical="center"/>
    </xf>
    <xf numFmtId="0" fontId="28" fillId="0" borderId="0" xfId="4" applyFont="1" applyAlignment="1">
      <alignment horizontal="left"/>
    </xf>
    <xf numFmtId="0" fontId="27" fillId="0" borderId="0" xfId="4" applyFont="1"/>
    <xf numFmtId="0" fontId="27" fillId="0" borderId="0" xfId="9" applyFont="1"/>
    <xf numFmtId="0" fontId="28" fillId="0" borderId="0" xfId="9" applyFont="1" applyAlignment="1">
      <alignment horizontal="left"/>
    </xf>
    <xf numFmtId="0" fontId="28" fillId="0" borderId="0" xfId="9" applyFont="1" applyAlignment="1">
      <alignment horizontal="center"/>
    </xf>
    <xf numFmtId="0" fontId="28" fillId="0" borderId="0" xfId="9" applyFont="1" applyAlignment="1">
      <alignment horizontal="center" vertical="center"/>
    </xf>
    <xf numFmtId="2" fontId="28" fillId="0" borderId="0" xfId="9" applyNumberFormat="1" applyFont="1"/>
    <xf numFmtId="0" fontId="28" fillId="0" borderId="0" xfId="7" applyFont="1" applyAlignment="1">
      <alignment horizontal="center"/>
    </xf>
    <xf numFmtId="4" fontId="17" fillId="0" borderId="5" xfId="7" applyNumberFormat="1" applyFont="1" applyBorder="1" applyAlignment="1">
      <alignment horizontal="right" vertical="center"/>
    </xf>
    <xf numFmtId="166" fontId="17" fillId="0" borderId="0" xfId="8" applyNumberFormat="1" applyFont="1" applyFill="1" applyAlignment="1">
      <alignment horizontal="left" vertical="center"/>
    </xf>
    <xf numFmtId="0" fontId="17" fillId="0" borderId="5" xfId="0" applyFont="1" applyBorder="1"/>
    <xf numFmtId="14" fontId="17" fillId="0" borderId="5" xfId="0" applyNumberFormat="1" applyFont="1" applyBorder="1"/>
    <xf numFmtId="0" fontId="29" fillId="4" borderId="0" xfId="0" applyFont="1" applyFill="1" applyAlignment="1">
      <alignment horizontal="center"/>
    </xf>
    <xf numFmtId="0" fontId="27" fillId="4" borderId="0" xfId="0" applyFont="1" applyFill="1"/>
    <xf numFmtId="0" fontId="28" fillId="4" borderId="0" xfId="4" applyFont="1" applyFill="1"/>
    <xf numFmtId="1" fontId="29" fillId="4" borderId="0" xfId="0" applyNumberFormat="1" applyFont="1" applyFill="1" applyAlignment="1">
      <alignment horizontal="center"/>
    </xf>
    <xf numFmtId="0" fontId="31" fillId="0" borderId="0" xfId="0" applyFont="1"/>
    <xf numFmtId="0" fontId="32" fillId="0" borderId="0" xfId="0" applyFont="1"/>
    <xf numFmtId="0" fontId="28" fillId="4" borderId="0" xfId="18" applyFont="1" applyFill="1"/>
    <xf numFmtId="1" fontId="28" fillId="4" borderId="0" xfId="19" applyNumberFormat="1" applyFont="1" applyFill="1" applyAlignment="1">
      <alignment horizontal="center"/>
    </xf>
    <xf numFmtId="164" fontId="28" fillId="4" borderId="0" xfId="19" applyNumberFormat="1" applyFont="1" applyFill="1"/>
    <xf numFmtId="0" fontId="29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8" fillId="4" borderId="0" xfId="4" applyFont="1" applyFill="1" applyAlignment="1">
      <alignment horizontal="center" vertical="center"/>
    </xf>
    <xf numFmtId="0" fontId="27" fillId="4" borderId="0" xfId="4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0" borderId="5" xfId="0" quotePrefix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left"/>
    </xf>
    <xf numFmtId="21" fontId="28" fillId="0" borderId="5" xfId="0" applyNumberFormat="1" applyFont="1" applyBorder="1" applyAlignment="1">
      <alignment horizontal="left"/>
    </xf>
    <xf numFmtId="0" fontId="28" fillId="0" borderId="5" xfId="0" applyFont="1" applyBorder="1"/>
    <xf numFmtId="3" fontId="28" fillId="0" borderId="5" xfId="0" applyNumberFormat="1" applyFont="1" applyBorder="1"/>
    <xf numFmtId="0" fontId="28" fillId="0" borderId="5" xfId="0" applyFont="1" applyBorder="1" applyAlignment="1">
      <alignment horizontal="left"/>
    </xf>
    <xf numFmtId="0" fontId="28" fillId="0" borderId="5" xfId="0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3" fontId="28" fillId="0" borderId="5" xfId="0" applyNumberFormat="1" applyFont="1" applyBorder="1" applyAlignment="1">
      <alignment horizontal="center"/>
    </xf>
    <xf numFmtId="14" fontId="28" fillId="0" borderId="5" xfId="0" applyNumberFormat="1" applyFont="1" applyBorder="1" applyAlignment="1">
      <alignment horizontal="center" vertical="center"/>
    </xf>
    <xf numFmtId="3" fontId="28" fillId="0" borderId="5" xfId="0" applyNumberFormat="1" applyFont="1" applyBorder="1" applyAlignment="1">
      <alignment horizontal="center" vertical="center"/>
    </xf>
    <xf numFmtId="3" fontId="31" fillId="0" borderId="5" xfId="0" applyNumberFormat="1" applyFont="1" applyBorder="1"/>
    <xf numFmtId="0" fontId="32" fillId="0" borderId="5" xfId="0" applyFont="1" applyBorder="1" applyAlignment="1">
      <alignment horizontal="center" vertical="center"/>
    </xf>
    <xf numFmtId="0" fontId="32" fillId="0" borderId="5" xfId="0" applyFont="1" applyBorder="1"/>
    <xf numFmtId="0" fontId="35" fillId="0" borderId="0" xfId="0" applyFont="1"/>
    <xf numFmtId="14" fontId="35" fillId="0" borderId="7" xfId="0" applyNumberFormat="1" applyFont="1" applyBorder="1"/>
    <xf numFmtId="0" fontId="35" fillId="0" borderId="7" xfId="0" applyFont="1" applyBorder="1"/>
    <xf numFmtId="43" fontId="35" fillId="0" borderId="7" xfId="0" applyNumberFormat="1" applyFont="1" applyBorder="1"/>
    <xf numFmtId="2" fontId="37" fillId="4" borderId="0" xfId="0" applyNumberFormat="1" applyFont="1" applyFill="1"/>
    <xf numFmtId="0" fontId="37" fillId="4" borderId="0" xfId="0" applyFont="1" applyFill="1" applyAlignment="1">
      <alignment horizontal="center"/>
    </xf>
    <xf numFmtId="0" fontId="36" fillId="4" borderId="0" xfId="4" applyFont="1" applyFill="1"/>
    <xf numFmtId="164" fontId="36" fillId="4" borderId="0" xfId="19" applyNumberFormat="1" applyFont="1" applyFill="1"/>
    <xf numFmtId="0" fontId="36" fillId="4" borderId="0" xfId="4" applyFont="1" applyFill="1" applyAlignment="1">
      <alignment horizontal="left"/>
    </xf>
    <xf numFmtId="164" fontId="37" fillId="4" borderId="0" xfId="6" applyNumberFormat="1" applyFont="1" applyFill="1" applyAlignment="1">
      <alignment horizontal="center" vertical="center"/>
    </xf>
    <xf numFmtId="14" fontId="35" fillId="0" borderId="3" xfId="0" applyNumberFormat="1" applyFont="1" applyBorder="1"/>
    <xf numFmtId="14" fontId="35" fillId="0" borderId="4" xfId="0" applyNumberFormat="1" applyFont="1" applyBorder="1"/>
    <xf numFmtId="0" fontId="35" fillId="0" borderId="4" xfId="0" applyFont="1" applyBorder="1"/>
    <xf numFmtId="0" fontId="35" fillId="0" borderId="2" xfId="0" applyFont="1" applyBorder="1"/>
    <xf numFmtId="14" fontId="28" fillId="0" borderId="18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40" fontId="28" fillId="0" borderId="5" xfId="0" applyNumberFormat="1" applyFont="1" applyBorder="1" applyAlignment="1">
      <alignment horizontal="right" vertical="center"/>
    </xf>
    <xf numFmtId="0" fontId="17" fillId="0" borderId="19" xfId="0" applyFont="1" applyBorder="1"/>
    <xf numFmtId="14" fontId="17" fillId="0" borderId="18" xfId="0" applyNumberFormat="1" applyFont="1" applyBorder="1" applyAlignment="1">
      <alignment horizontal="center"/>
    </xf>
    <xf numFmtId="14" fontId="35" fillId="0" borderId="21" xfId="0" applyNumberFormat="1" applyFont="1" applyBorder="1"/>
    <xf numFmtId="0" fontId="35" fillId="0" borderId="1" xfId="0" applyFont="1" applyBorder="1"/>
    <xf numFmtId="0" fontId="14" fillId="0" borderId="0" xfId="0" applyFont="1" applyAlignment="1">
      <alignment horizontal="center"/>
    </xf>
    <xf numFmtId="0" fontId="38" fillId="0" borderId="0" xfId="0" applyFont="1"/>
    <xf numFmtId="38" fontId="38" fillId="0" borderId="0" xfId="0" applyNumberFormat="1" applyFont="1"/>
    <xf numFmtId="3" fontId="38" fillId="0" borderId="0" xfId="0" applyNumberFormat="1" applyFont="1"/>
    <xf numFmtId="4" fontId="38" fillId="0" borderId="0" xfId="0" applyNumberFormat="1" applyFont="1"/>
    <xf numFmtId="40" fontId="38" fillId="0" borderId="0" xfId="0" applyNumberFormat="1" applyFont="1"/>
    <xf numFmtId="0" fontId="38" fillId="0" borderId="3" xfId="0" applyFont="1" applyBorder="1" applyAlignment="1">
      <alignment horizontal="center" vertical="center" wrapText="1"/>
    </xf>
    <xf numFmtId="4" fontId="38" fillId="0" borderId="4" xfId="0" applyNumberFormat="1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3" fontId="38" fillId="0" borderId="4" xfId="0" applyNumberFormat="1" applyFont="1" applyBorder="1" applyAlignment="1">
      <alignment horizontal="center" vertical="center" wrapText="1"/>
    </xf>
    <xf numFmtId="3" fontId="38" fillId="0" borderId="2" xfId="0" applyNumberFormat="1" applyFont="1" applyBorder="1" applyAlignment="1">
      <alignment horizontal="center" vertical="center" wrapText="1"/>
    </xf>
    <xf numFmtId="0" fontId="38" fillId="0" borderId="15" xfId="0" applyFont="1" applyBorder="1" applyAlignment="1">
      <alignment vertical="center"/>
    </xf>
    <xf numFmtId="0" fontId="38" fillId="0" borderId="16" xfId="0" applyFont="1" applyBorder="1" applyAlignment="1">
      <alignment vertical="center"/>
    </xf>
    <xf numFmtId="164" fontId="38" fillId="0" borderId="16" xfId="1" applyNumberFormat="1" applyFont="1" applyBorder="1" applyAlignment="1">
      <alignment vertical="center"/>
    </xf>
    <xf numFmtId="3" fontId="38" fillId="0" borderId="16" xfId="0" applyNumberFormat="1" applyFont="1" applyBorder="1" applyAlignment="1">
      <alignment vertical="center"/>
    </xf>
    <xf numFmtId="4" fontId="38" fillId="0" borderId="16" xfId="0" applyNumberFormat="1" applyFont="1" applyBorder="1" applyAlignment="1">
      <alignment vertical="center"/>
    </xf>
    <xf numFmtId="40" fontId="38" fillId="0" borderId="16" xfId="0" applyNumberFormat="1" applyFont="1" applyBorder="1" applyAlignment="1">
      <alignment vertical="center"/>
    </xf>
    <xf numFmtId="38" fontId="38" fillId="0" borderId="16" xfId="0" applyNumberFormat="1" applyFont="1" applyBorder="1" applyAlignment="1">
      <alignment vertical="center"/>
    </xf>
    <xf numFmtId="3" fontId="38" fillId="0" borderId="17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1" fillId="0" borderId="5" xfId="0" applyFont="1" applyBorder="1" applyAlignment="1">
      <alignment horizontal="left"/>
    </xf>
    <xf numFmtId="14" fontId="31" fillId="0" borderId="5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5" xfId="0" applyFont="1" applyBorder="1"/>
    <xf numFmtId="164" fontId="31" fillId="0" borderId="5" xfId="1" applyNumberFormat="1" applyFont="1" applyFill="1" applyBorder="1" applyAlignment="1">
      <alignment vertical="center"/>
    </xf>
    <xf numFmtId="3" fontId="32" fillId="0" borderId="5" xfId="0" applyNumberFormat="1" applyFont="1" applyBorder="1"/>
    <xf numFmtId="0" fontId="28" fillId="4" borderId="0" xfId="20" applyFont="1" applyFill="1"/>
    <xf numFmtId="1" fontId="28" fillId="4" borderId="0" xfId="21" applyNumberFormat="1" applyFont="1" applyFill="1" applyAlignment="1">
      <alignment horizontal="center"/>
    </xf>
    <xf numFmtId="164" fontId="28" fillId="4" borderId="0" xfId="21" applyNumberFormat="1" applyFont="1" applyFill="1"/>
    <xf numFmtId="0" fontId="0" fillId="0" borderId="0" xfId="0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38" fillId="0" borderId="5" xfId="0" applyFont="1" applyBorder="1"/>
    <xf numFmtId="14" fontId="38" fillId="0" borderId="5" xfId="0" applyNumberFormat="1" applyFont="1" applyBorder="1" applyAlignment="1">
      <alignment horizontal="center"/>
    </xf>
    <xf numFmtId="14" fontId="38" fillId="0" borderId="5" xfId="0" applyNumberFormat="1" applyFont="1" applyBorder="1"/>
    <xf numFmtId="0" fontId="31" fillId="0" borderId="5" xfId="0" applyFont="1" applyBorder="1" applyAlignment="1">
      <alignment horizontal="left" vertical="center"/>
    </xf>
    <xf numFmtId="40" fontId="31" fillId="0" borderId="5" xfId="0" applyNumberFormat="1" applyFont="1" applyBorder="1" applyAlignment="1">
      <alignment horizontal="right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2" fontId="37" fillId="0" borderId="0" xfId="0" applyNumberFormat="1" applyFont="1"/>
    <xf numFmtId="0" fontId="37" fillId="0" borderId="0" xfId="0" applyFont="1" applyAlignment="1">
      <alignment horizontal="center"/>
    </xf>
    <xf numFmtId="164" fontId="37" fillId="0" borderId="0" xfId="6" applyNumberFormat="1" applyFont="1" applyFill="1" applyAlignment="1">
      <alignment horizontal="center" vertical="center"/>
    </xf>
    <xf numFmtId="0" fontId="36" fillId="0" borderId="0" xfId="4" applyFont="1"/>
    <xf numFmtId="164" fontId="36" fillId="0" borderId="0" xfId="21" applyNumberFormat="1" applyFont="1" applyFill="1"/>
    <xf numFmtId="164" fontId="14" fillId="0" borderId="5" xfId="1" applyNumberFormat="1" applyFont="1" applyBorder="1"/>
    <xf numFmtId="0" fontId="28" fillId="4" borderId="0" xfId="22" applyFont="1" applyFill="1"/>
    <xf numFmtId="1" fontId="28" fillId="4" borderId="0" xfId="23" applyNumberFormat="1" applyFont="1" applyFill="1" applyAlignment="1">
      <alignment horizontal="center"/>
    </xf>
    <xf numFmtId="164" fontId="28" fillId="4" borderId="0" xfId="23" applyNumberFormat="1" applyFont="1" applyFill="1"/>
    <xf numFmtId="0" fontId="38" fillId="0" borderId="18" xfId="0" applyFont="1" applyBorder="1"/>
    <xf numFmtId="14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64" fontId="31" fillId="0" borderId="5" xfId="1" applyNumberFormat="1" applyFont="1" applyFill="1" applyBorder="1"/>
    <xf numFmtId="14" fontId="31" fillId="0" borderId="5" xfId="0" applyNumberFormat="1" applyFont="1" applyBorder="1"/>
    <xf numFmtId="14" fontId="14" fillId="0" borderId="5" xfId="0" applyNumberFormat="1" applyFont="1" applyBorder="1" applyAlignment="1">
      <alignment horizontal="center"/>
    </xf>
    <xf numFmtId="0" fontId="14" fillId="0" borderId="5" xfId="0" applyFont="1" applyBorder="1"/>
    <xf numFmtId="14" fontId="38" fillId="0" borderId="0" xfId="0" applyNumberFormat="1" applyFont="1" applyAlignment="1">
      <alignment horizontal="center"/>
    </xf>
    <xf numFmtId="164" fontId="38" fillId="0" borderId="0" xfId="1" applyNumberFormat="1" applyFont="1" applyFill="1" applyBorder="1"/>
    <xf numFmtId="14" fontId="38" fillId="0" borderId="0" xfId="0" applyNumberFormat="1" applyFont="1"/>
    <xf numFmtId="164" fontId="36" fillId="0" borderId="0" xfId="23" applyNumberFormat="1" applyFont="1" applyFill="1"/>
    <xf numFmtId="164" fontId="14" fillId="0" borderId="5" xfId="0" applyNumberFormat="1" applyFont="1" applyBorder="1"/>
    <xf numFmtId="43" fontId="38" fillId="0" borderId="16" xfId="1" applyFont="1" applyBorder="1" applyAlignment="1">
      <alignment vertical="center"/>
    </xf>
    <xf numFmtId="0" fontId="38" fillId="0" borderId="0" xfId="0" applyFont="1" applyAlignment="1">
      <alignment horizontal="left"/>
    </xf>
    <xf numFmtId="14" fontId="38" fillId="0" borderId="7" xfId="0" applyNumberFormat="1" applyFont="1" applyBorder="1"/>
    <xf numFmtId="0" fontId="38" fillId="0" borderId="7" xfId="0" applyFont="1" applyBorder="1"/>
    <xf numFmtId="0" fontId="38" fillId="0" borderId="1" xfId="0" applyFont="1" applyBorder="1"/>
    <xf numFmtId="49" fontId="22" fillId="0" borderId="5" xfId="0" applyNumberFormat="1" applyFont="1" applyBorder="1"/>
    <xf numFmtId="49" fontId="22" fillId="0" borderId="0" xfId="0" applyNumberFormat="1" applyFont="1"/>
    <xf numFmtId="49" fontId="31" fillId="0" borderId="0" xfId="0" applyNumberFormat="1" applyFont="1"/>
    <xf numFmtId="3" fontId="31" fillId="0" borderId="0" xfId="0" applyNumberFormat="1" applyFont="1"/>
    <xf numFmtId="0" fontId="31" fillId="5" borderId="0" xfId="0" applyFont="1" applyFill="1"/>
    <xf numFmtId="3" fontId="22" fillId="0" borderId="5" xfId="0" applyNumberFormat="1" applyFont="1" applyBorder="1"/>
    <xf numFmtId="0" fontId="0" fillId="0" borderId="5" xfId="0" applyBorder="1" applyAlignment="1">
      <alignment horizontal="left" vertical="center"/>
    </xf>
    <xf numFmtId="0" fontId="38" fillId="0" borderId="19" xfId="0" applyFont="1" applyBorder="1" applyAlignment="1">
      <alignment horizontal="left"/>
    </xf>
    <xf numFmtId="49" fontId="22" fillId="0" borderId="5" xfId="0" applyNumberFormat="1" applyFont="1" applyBorder="1" applyAlignment="1">
      <alignment horizontal="left"/>
    </xf>
    <xf numFmtId="0" fontId="23" fillId="0" borderId="5" xfId="0" applyFont="1" applyBorder="1"/>
    <xf numFmtId="49" fontId="31" fillId="0" borderId="5" xfId="0" applyNumberFormat="1" applyFont="1" applyBorder="1"/>
    <xf numFmtId="2" fontId="31" fillId="0" borderId="5" xfId="1" applyNumberFormat="1" applyFont="1" applyBorder="1"/>
    <xf numFmtId="0" fontId="38" fillId="0" borderId="22" xfId="0" applyFont="1" applyBorder="1"/>
    <xf numFmtId="167" fontId="38" fillId="0" borderId="5" xfId="0" applyNumberFormat="1" applyFont="1" applyBorder="1"/>
    <xf numFmtId="167" fontId="38" fillId="0" borderId="24" xfId="0" applyNumberFormat="1" applyFont="1" applyBorder="1"/>
    <xf numFmtId="49" fontId="31" fillId="0" borderId="7" xfId="0" applyNumberFormat="1" applyFont="1" applyBorder="1"/>
    <xf numFmtId="0" fontId="38" fillId="0" borderId="25" xfId="0" applyFont="1" applyBorder="1"/>
    <xf numFmtId="2" fontId="31" fillId="0" borderId="7" xfId="1" applyNumberFormat="1" applyFont="1" applyBorder="1"/>
    <xf numFmtId="0" fontId="38" fillId="0" borderId="26" xfId="0" applyFont="1" applyBorder="1"/>
    <xf numFmtId="167" fontId="38" fillId="0" borderId="7" xfId="0" applyNumberFormat="1" applyFont="1" applyBorder="1"/>
    <xf numFmtId="0" fontId="31" fillId="0" borderId="14" xfId="0" applyFont="1" applyBorder="1" applyAlignment="1">
      <alignment horizontal="left" vertical="center"/>
    </xf>
    <xf numFmtId="40" fontId="31" fillId="0" borderId="14" xfId="0" applyNumberFormat="1" applyFont="1" applyBorder="1" applyAlignment="1">
      <alignment horizontal="right" vertical="center"/>
    </xf>
    <xf numFmtId="167" fontId="31" fillId="0" borderId="14" xfId="0" applyNumberFormat="1" applyFont="1" applyBorder="1" applyAlignment="1">
      <alignment horizontal="center" vertical="center"/>
    </xf>
    <xf numFmtId="167" fontId="31" fillId="0" borderId="23" xfId="0" applyNumberFormat="1" applyFont="1" applyBorder="1" applyAlignment="1">
      <alignment horizontal="center" vertical="center"/>
    </xf>
    <xf numFmtId="0" fontId="38" fillId="0" borderId="4" xfId="0" applyFont="1" applyBorder="1" applyAlignment="1">
      <alignment vertical="center"/>
    </xf>
    <xf numFmtId="167" fontId="38" fillId="0" borderId="16" xfId="0" applyNumberFormat="1" applyFont="1" applyBorder="1" applyAlignment="1">
      <alignment vertical="center"/>
    </xf>
    <xf numFmtId="167" fontId="31" fillId="0" borderId="5" xfId="0" applyNumberFormat="1" applyFont="1" applyBorder="1"/>
    <xf numFmtId="167" fontId="22" fillId="0" borderId="5" xfId="0" applyNumberFormat="1" applyFont="1" applyBorder="1" applyAlignment="1">
      <alignment horizontal="left"/>
    </xf>
    <xf numFmtId="167" fontId="23" fillId="0" borderId="5" xfId="0" applyNumberFormat="1" applyFont="1" applyBorder="1" applyAlignment="1">
      <alignment horizontal="left"/>
    </xf>
    <xf numFmtId="2" fontId="31" fillId="0" borderId="7" xfId="0" applyNumberFormat="1" applyFont="1" applyBorder="1"/>
    <xf numFmtId="0" fontId="3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7" fillId="0" borderId="0" xfId="7" applyFont="1" applyAlignment="1">
      <alignment horizontal="center" vertical="center"/>
    </xf>
    <xf numFmtId="2" fontId="27" fillId="0" borderId="0" xfId="7" applyNumberFormat="1" applyFont="1" applyAlignment="1">
      <alignment horizontal="center"/>
    </xf>
    <xf numFmtId="0" fontId="27" fillId="0" borderId="0" xfId="7" applyFont="1" applyAlignment="1">
      <alignment horizontal="center"/>
    </xf>
    <xf numFmtId="164" fontId="27" fillId="0" borderId="0" xfId="6" applyNumberFormat="1" applyFont="1" applyFill="1" applyAlignment="1">
      <alignment horizontal="center" vertical="center"/>
    </xf>
    <xf numFmtId="0" fontId="29" fillId="0" borderId="8" xfId="7" applyFont="1" applyBorder="1" applyAlignment="1">
      <alignment horizontal="center"/>
    </xf>
    <xf numFmtId="0" fontId="27" fillId="0" borderId="6" xfId="7" applyFont="1" applyBorder="1" applyAlignment="1">
      <alignment horizontal="center"/>
    </xf>
    <xf numFmtId="164" fontId="27" fillId="0" borderId="5" xfId="6" applyNumberFormat="1" applyFont="1" applyFill="1" applyBorder="1" applyAlignment="1">
      <alignment horizontal="center" vertical="center"/>
    </xf>
    <xf numFmtId="0" fontId="29" fillId="0" borderId="5" xfId="7" applyFont="1" applyBorder="1" applyAlignment="1">
      <alignment horizontal="center" vertical="center"/>
    </xf>
    <xf numFmtId="0" fontId="37" fillId="4" borderId="0" xfId="0" applyFont="1" applyFill="1" applyAlignment="1">
      <alignment horizontal="center"/>
    </xf>
    <xf numFmtId="164" fontId="37" fillId="4" borderId="0" xfId="6" applyNumberFormat="1" applyFont="1" applyFill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2" fontId="27" fillId="4" borderId="0" xfId="0" applyNumberFormat="1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7" fillId="4" borderId="0" xfId="18" applyFont="1" applyFill="1" applyAlignment="1">
      <alignment horizontal="left" vertical="center"/>
    </xf>
    <xf numFmtId="0" fontId="32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33" fillId="0" borderId="5" xfId="0" applyFont="1" applyBorder="1" applyAlignment="1">
      <alignment horizontal="center"/>
    </xf>
    <xf numFmtId="0" fontId="29" fillId="4" borderId="8" xfId="0" applyFont="1" applyFill="1" applyBorder="1" applyAlignment="1">
      <alignment horizontal="center"/>
    </xf>
    <xf numFmtId="164" fontId="27" fillId="4" borderId="0" xfId="6" applyNumberFormat="1" applyFont="1" applyFill="1" applyAlignment="1">
      <alignment horizontal="center" vertical="center"/>
    </xf>
    <xf numFmtId="0" fontId="27" fillId="4" borderId="0" xfId="20" applyFont="1" applyFill="1" applyAlignment="1">
      <alignment horizontal="left" vertical="center"/>
    </xf>
    <xf numFmtId="0" fontId="39" fillId="0" borderId="5" xfId="0" applyFont="1" applyBorder="1" applyAlignment="1">
      <alignment horizontal="center"/>
    </xf>
    <xf numFmtId="0" fontId="37" fillId="0" borderId="0" xfId="0" applyFont="1" applyAlignment="1">
      <alignment horizontal="center"/>
    </xf>
    <xf numFmtId="164" fontId="37" fillId="0" borderId="0" xfId="6" applyNumberFormat="1" applyFont="1" applyFill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7" fillId="4" borderId="0" xfId="22" applyFont="1" applyFill="1" applyAlignment="1">
      <alignment horizontal="left" vertical="center"/>
    </xf>
    <xf numFmtId="0" fontId="17" fillId="0" borderId="0" xfId="0" applyFont="1" applyAlignment="1">
      <alignment horizontal="left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2" borderId="9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14" fontId="25" fillId="2" borderId="9" xfId="0" applyNumberFormat="1" applyFont="1" applyFill="1" applyBorder="1" applyAlignment="1">
      <alignment horizontal="center" vertical="center" wrapText="1"/>
    </xf>
    <xf numFmtId="14" fontId="25" fillId="2" borderId="13" xfId="0" applyNumberFormat="1" applyFont="1" applyFill="1" applyBorder="1" applyAlignment="1">
      <alignment horizontal="center" vertical="center" wrapText="1"/>
    </xf>
    <xf numFmtId="38" fontId="25" fillId="2" borderId="9" xfId="0" applyNumberFormat="1" applyFont="1" applyFill="1" applyBorder="1" applyAlignment="1">
      <alignment horizontal="center" vertical="center" wrapText="1"/>
    </xf>
    <xf numFmtId="38" fontId="25" fillId="2" borderId="13" xfId="0" applyNumberFormat="1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</cellXfs>
  <cellStyles count="25">
    <cellStyle name="Comma" xfId="1" builtinId="3"/>
    <cellStyle name="Comma 2 3 2" xfId="6" xr:uid="{00000000-0005-0000-0000-000001000000}"/>
    <cellStyle name="Comma 3" xfId="3" xr:uid="{00000000-0005-0000-0000-000002000000}"/>
    <cellStyle name="Comma 3 2" xfId="8" xr:uid="{D045C18F-80B9-4CA0-9378-5191C51FC067}"/>
    <cellStyle name="Comma 3 3" xfId="15" xr:uid="{C593F4A7-7715-42E0-9848-FE2860C62D15}"/>
    <cellStyle name="Comma 3 4" xfId="17" xr:uid="{B55CE32B-B321-4350-9A1A-130DF4A71A73}"/>
    <cellStyle name="Comma 3 4 2" xfId="19" xr:uid="{54B900C6-1BF8-4978-8F93-F5F54D709055}"/>
    <cellStyle name="Comma 3 4 2 2" xfId="21" xr:uid="{EC2DE3AE-CFED-4C70-94A1-F15EDF5C8C5B}"/>
    <cellStyle name="Comma 3 4 2 2 2" xfId="23" xr:uid="{CB5BF14A-DC33-476E-B522-BCC064FEEA9C}"/>
    <cellStyle name="Normal" xfId="0" builtinId="0"/>
    <cellStyle name="Normal 10" xfId="2" xr:uid="{00000000-0005-0000-0000-000004000000}"/>
    <cellStyle name="Normal 10 2" xfId="7" xr:uid="{CE689CC7-50FA-4F02-A385-935B77B34D57}"/>
    <cellStyle name="Normal 10 3" xfId="14" xr:uid="{AFFC7F62-ACD7-4748-90A1-1A392B554546}"/>
    <cellStyle name="Normal 10 4" xfId="16" xr:uid="{157CB480-ED5F-4E9D-A0FA-4E0D5FCD0371}"/>
    <cellStyle name="Normal 10 4 2" xfId="18" xr:uid="{6D62ED18-9B27-4064-8A27-0BC1EAC61026}"/>
    <cellStyle name="Normal 10 4 2 2" xfId="20" xr:uid="{E2EED59B-9608-48EF-9F21-73C32AAA5169}"/>
    <cellStyle name="Normal 10 4 2 2 2" xfId="22" xr:uid="{EF739C98-C19C-47B9-A7A1-F0FFC627EA60}"/>
    <cellStyle name="Normal 2" xfId="10" xr:uid="{6FA56D9E-B386-4F0D-8B47-3961BDE9B873}"/>
    <cellStyle name="Normal 2 2" xfId="4" xr:uid="{00000000-0005-0000-0000-000005000000}"/>
    <cellStyle name="Normal 3" xfId="11" xr:uid="{64F2FE19-27FD-4204-AAA0-0F69CABC739F}"/>
    <cellStyle name="Normal 3 2" xfId="9" xr:uid="{3D8D1400-77AD-41C3-AC1F-7CD723CA554A}"/>
    <cellStyle name="Normal 4" xfId="12" xr:uid="{3DA2A416-754D-4681-A792-330463120595}"/>
    <cellStyle name="Normal 5" xfId="13" xr:uid="{286943C7-593A-402E-9DCC-BD5AC9E82FB9}"/>
    <cellStyle name="Normal 6" xfId="24" xr:uid="{E04B1F9B-ACE3-49FD-AF3A-2FC2410E0DD0}"/>
    <cellStyle name="Percent 2" xfId="5" xr:uid="{00000000-0005-0000-0000-000006000000}"/>
  </cellStyles>
  <dxfs count="137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6" formatCode="#,##0_);[Red]\(#,##0\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8" formatCode="#,##0.00_);[Red]\(#,##0.00\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rgb="FFE3E3E3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rgb="FFE3E3E3"/>
        </left>
        <right style="thin">
          <color rgb="FFE3E3E3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rgb="FFE3E3E3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67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rgb="FFE3E3E3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rgb="FFE3E3E3"/>
        </left>
        <right style="thin">
          <color rgb="FFE3E3E3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rgb="FFE3E3E3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67" formatCode="dd/mm/yyyy"/>
      <alignment horizontal="center" vertical="center" textRotation="0" wrapText="0" indent="0" justifyLastLine="0" shrinkToFit="0" readingOrder="0"/>
      <border diagonalUp="0" diagonalDown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5" formatCode="[$-F400]h:mm:ss\ AM/PM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7" formatCode="dd/mm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5" formatCode="[$-F400]h:mm:ss\ AM/PM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7" formatCode="dd/mm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40404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dd/mm/yy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dd/mm/yyyy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vnTools\Ufunctions.xlam" TargetMode="External"/><Relationship Id="rId1" Type="http://schemas.openxmlformats.org/officeDocument/2006/relationships/externalLinkPath" Target="file:///C:\Program%20Files%20(x86)\vnTools\Ufunction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Base"/>
      <sheetName val="vniBase"/>
      <sheetName val="abcBase"/>
      <sheetName val="Ufunctions"/>
    </sheetNames>
    <definedNames>
      <definedName name="vnd"/>
    </defined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4" xr16:uid="{3196F156-D581-41E5-8EA4-EDA02DA1692F}" autoFormatId="16" applyNumberFormats="0" applyBorderFormats="0" applyFontFormats="0" applyPatternFormats="0" applyAlignmentFormats="0" applyWidthHeightFormats="0">
  <queryTableRefresh nextId="64">
    <queryTableFields count="17">
      <queryTableField id="46" name="STT" tableColumnId="6"/>
      <queryTableField id="62" name="Mã tuyến" tableColumnId="14"/>
      <queryTableField id="37" name="Tuyến" tableColumnId="5"/>
      <queryTableField id="47" name="Cự ly tuyến" tableColumnId="7"/>
      <queryTableField id="2" name="Ngày bắt đầu" tableColumnId="2"/>
      <queryTableField id="3" name="Ngày kết thúc" tableColumnId="3"/>
      <queryTableField id="48" name="Đơn giá theo hợp đồng (chưa bao gồm nhiên liệu)" tableColumnId="8"/>
      <queryTableField id="4" name="Số chuyến" tableColumnId="4"/>
      <queryTableField id="49" name="Tổng KL (Tấn)" tableColumnId="9"/>
      <queryTableField id="19" name="Dầu Diezel thực nhận" tableColumnId="19"/>
      <queryTableField id="50" name="Định mức dầu Diezel" tableColumnId="10"/>
      <queryTableField id="51" name="Nhiên liệu dầu Diezel tiêu hao theo định mức (lít)" tableColumnId="11"/>
      <queryTableField id="21" name="CL Tiêu hao Diezel " tableColumnId="21"/>
      <queryTableField id="52" name="Đơn giá dầu" tableColumnId="12"/>
      <queryTableField id="53" name="Ngày nhập dầu" tableColumnId="13"/>
      <queryTableField id="23" name="Đơn giá CL Diezel" tableColumnId="22"/>
      <queryTableField id="24" name="Đơn giá vận chuyển" tableColumnId="2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D4ED0B-B7CD-464E-88D5-4B5FD148EAE5}" name="TBL_GIAONHANDAU4" displayName="TBL_GIAONHANDAU4" ref="A2:H43" totalsRowCount="1" headerRowDxfId="131" totalsRowDxfId="128" headerRowBorderDxfId="130" tableBorderDxfId="129" totalsRowBorderDxfId="127">
  <autoFilter ref="A2:H42" xr:uid="{0D4E2470-7002-4629-96D5-EC0E5DFA2D37}"/>
  <tableColumns count="8">
    <tableColumn id="1" xr3:uid="{166F9A5E-B323-4EFC-BD22-70BD6DB28FB1}" name="Ngày nhận dầu" totalsRowLabel="TỔNG CỘNG" dataDxfId="126" totalsRowDxfId="125"/>
    <tableColumn id="7" xr3:uid="{62EBE9F7-A585-4E0A-A75E-441F25454F30}" name="Mã cự ly VC" dataDxfId="124" totalsRowDxfId="123"/>
    <tableColumn id="2" xr3:uid="{AF3789D8-F0DF-4EBF-B873-E9925E59F143}" name="Biển số xe" dataDxfId="122" totalsRowDxfId="121"/>
    <tableColumn id="3" xr3:uid="{6E468C74-61FE-423D-BDDE-DB76620A02C5}" name="ĐVT" dataDxfId="120" totalsRowDxfId="119"/>
    <tableColumn id="4" xr3:uid="{A2D8C12F-151B-4DA4-98FB-85061FF9A05D}" name="Số lượng (lít)" totalsRowFunction="sum" dataDxfId="118" totalsRowDxfId="117" dataCellStyle="Comma"/>
    <tableColumn id="5" xr3:uid="{34533F99-088C-495D-9322-B14394557FD7}" name="Đơn giá dầu" dataDxfId="116" totalsRowDxfId="115" dataCellStyle="Comma"/>
    <tableColumn id="6" xr3:uid="{CCD7C6BB-8FC6-4631-BD56-770D33D5A6DC}" name="Ngày mua dầu" dataDxfId="114" totalsRowDxfId="113"/>
    <tableColumn id="8" xr3:uid="{621138C7-F598-4692-AD30-BBCB299C6905}" name="Đơn vị" dataDxfId="112" totalsRowDxfId="1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68A3BB-48F6-420C-8F1B-3543B3693478}" name="TBL_GIAONHANDAU7" displayName="TBL_GIAONHANDAU7" ref="A2:G25" totalsRowCount="1" headerRowDxfId="110" dataDxfId="109" totalsRowDxfId="108">
  <autoFilter ref="A2:G24" xr:uid="{00000000-0009-0000-0100-000002000000}"/>
  <sortState xmlns:xlrd2="http://schemas.microsoft.com/office/spreadsheetml/2017/richdata2" ref="A3:G15">
    <sortCondition ref="A2:A15"/>
  </sortState>
  <tableColumns count="7">
    <tableColumn id="1" xr3:uid="{B65AC48B-EF4B-422D-8C57-BE29ECD921A4}" name="Ngày nhận dầu" totalsRowLabel="TỔNG CỘNG" dataDxfId="107" totalsRowDxfId="106"/>
    <tableColumn id="2" xr3:uid="{A67527AD-0DB6-4787-B8D4-D2539FE70351}" name="Biển số xe" dataDxfId="105" totalsRowDxfId="104"/>
    <tableColumn id="3" xr3:uid="{8B4EADBB-2C3D-4BAC-8FCF-1965A14BBC94}" name="ĐVT" dataDxfId="103" totalsRowDxfId="102"/>
    <tableColumn id="4" xr3:uid="{E47D6AC6-2DF2-4165-8684-908D4EA84AA4}" name="Số lượng (lít)" totalsRowFunction="sum" dataDxfId="101" totalsRowDxfId="100" dataCellStyle="Comma"/>
    <tableColumn id="5" xr3:uid="{E5ACFC5D-106E-4440-8600-EC580FAA631F}" name="Đơn giá dầu" dataDxfId="99" totalsRowDxfId="98" dataCellStyle="Comma"/>
    <tableColumn id="6" xr3:uid="{FBEF5B35-6000-4BDC-95C2-294BCF17055B}" name="Ngày mua dầu" dataDxfId="97" totalsRowDxfId="96"/>
    <tableColumn id="8" xr3:uid="{2A7D44AC-4C45-4112-AD22-D52D74A91C60}" name="Đơn vị" dataDxfId="95" totalsRowDxfId="9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E6B6-5177-4BD8-802D-6E64DC469325}" name="QR_DGVC4" displayName="QR_DGVC4" ref="A5:Q6" tableType="queryTable" totalsRowShown="0" headerRowDxfId="136" dataDxfId="134" headerRowBorderDxfId="135" tableBorderDxfId="133" totalsRowBorderDxfId="132">
  <autoFilter ref="A5:Q6" xr:uid="{00000000-0009-0000-0100-000009000000}"/>
  <tableColumns count="17">
    <tableColumn id="6" xr3:uid="{ECFC8945-AE6A-4433-A4D9-C6BB5749F3B0}" uniqueName="6" name="STT" queryTableFieldId="46" dataDxfId="16"/>
    <tableColumn id="14" xr3:uid="{D2CFDC49-8EC4-486A-94DE-DAB52B1A89D0}" uniqueName="14" name="Mã tuyến" queryTableFieldId="62" dataDxfId="15"/>
    <tableColumn id="5" xr3:uid="{AE971F11-5981-47BA-9FEF-58B97C4F9F1D}" uniqueName="5" name="Tuyến" queryTableFieldId="37" dataDxfId="14"/>
    <tableColumn id="7" xr3:uid="{C1A5358B-2204-4F81-B8C7-69AAE42E44F5}" uniqueName="7" name="Cự ly tuyến" queryTableFieldId="47" dataDxfId="13"/>
    <tableColumn id="2" xr3:uid="{28893BE8-24A2-49BE-BB66-5445B6A1BC50}" uniqueName="2" name="Ngày bắt đầu" queryTableFieldId="2" dataDxfId="12"/>
    <tableColumn id="3" xr3:uid="{BAF95DC1-BFE2-47BA-94DE-3B07BCB5CEF1}" uniqueName="3" name="Ngày kết thúc" queryTableFieldId="3" dataDxfId="11"/>
    <tableColumn id="8" xr3:uid="{C4EF87C5-39EB-4788-B889-077885549879}" uniqueName="8" name="Đơn giá theo hợp đồng (chưa bao gồm nhiên liệu)" queryTableFieldId="48" dataDxfId="10" dataCellStyle="Comma"/>
    <tableColumn id="4" xr3:uid="{E0F0F757-6B82-41D4-92BD-D71F1289C9D1}" uniqueName="4" name="Số chuyến" queryTableFieldId="4" dataDxfId="9"/>
    <tableColumn id="9" xr3:uid="{E9B88303-3C79-470A-8E44-98C58A14D5EF}" uniqueName="9" name="Tổng KL (Tấn)" queryTableFieldId="49" dataDxfId="8" dataCellStyle="Comma"/>
    <tableColumn id="19" xr3:uid="{E48CACF2-0D28-4839-8E2C-0B6A964E293D}" uniqueName="19" name="Dầu Diezel thực nhận" queryTableFieldId="19" dataDxfId="7"/>
    <tableColumn id="10" xr3:uid="{DE8C82C7-D5D8-4103-B359-B02001351432}" uniqueName="10" name="Định mức dầu Diezel" queryTableFieldId="50" dataDxfId="6"/>
    <tableColumn id="11" xr3:uid="{DD11A0A6-48F4-465A-A7DA-C3D2D5BED25F}" uniqueName="11" name="Nhiên liệu dầu Diezel tiêu hao theo định mức (lít)" queryTableFieldId="51" dataDxfId="5" dataCellStyle="Comma"/>
    <tableColumn id="21" xr3:uid="{52C1B0F2-D87D-47A0-B630-F19B91D15F57}" uniqueName="21" name="CL Tiêu hao Diezel " queryTableFieldId="21" dataDxfId="4"/>
    <tableColumn id="12" xr3:uid="{706D4287-2806-4C47-99E8-FF378AC62443}" uniqueName="12" name="Đơn giá dầu" queryTableFieldId="52" dataDxfId="3" dataCellStyle="Comma"/>
    <tableColumn id="13" xr3:uid="{221D225D-FFCD-4E4E-95C4-AD08349CBCC9}" uniqueName="13" name="Ngày nhập dầu" queryTableFieldId="53" dataDxfId="2"/>
    <tableColumn id="22" xr3:uid="{69BE676D-ED23-4307-AD16-1FC08631304A}" uniqueName="22" name="Đơn giá CL Diezel" queryTableFieldId="23" dataDxfId="1"/>
    <tableColumn id="23" xr3:uid="{9080ACEA-6BD9-4BBF-B52D-A6CCE9FA5A13}" uniqueName="23" name="Đơn giá vận chuyển" queryTableFieldId="24" dataDxfId="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_VC" displayName="TBL_VC" ref="A1:P101" totalsRowShown="0" headerRowDxfId="93" dataDxfId="92" totalsRowDxfId="91">
  <autoFilter ref="A1:P101" xr:uid="{00000000-0009-0000-0100-000001000000}"/>
  <sortState xmlns:xlrd2="http://schemas.microsoft.com/office/spreadsheetml/2017/richdata2" ref="A2:P2">
    <sortCondition ref="C1:C2"/>
  </sortState>
  <tableColumns count="16">
    <tableColumn id="1" xr3:uid="{00000000-0010-0000-0200-000001000000}" name="Stt" dataDxfId="90" totalsRowDxfId="89"/>
    <tableColumn id="2" xr3:uid="{00000000-0010-0000-0200-000002000000}" name="Số_x000a_ phiếu" dataDxfId="88" totalsRowDxfId="87"/>
    <tableColumn id="3" xr3:uid="{00000000-0010-0000-0200-000003000000}" name="Ngày cân 1" dataDxfId="86" totalsRowDxfId="85"/>
    <tableColumn id="4" xr3:uid="{00000000-0010-0000-0200-000004000000}" name="Giờ cân 1" dataDxfId="84" totalsRowDxfId="83"/>
    <tableColumn id="5" xr3:uid="{00000000-0010-0000-0200-000005000000}" name="Ngày cân 2" dataDxfId="82" totalsRowDxfId="81"/>
    <tableColumn id="6" xr3:uid="{00000000-0010-0000-0200-000006000000}" name="Giờ cân 2" dataDxfId="80" totalsRowDxfId="79"/>
    <tableColumn id="7" xr3:uid="{00000000-0010-0000-0200-000007000000}" name="Biển số 1" dataDxfId="78" totalsRowDxfId="77"/>
    <tableColumn id="8" xr3:uid="{00000000-0010-0000-0200-000008000000}" name="Cân lần 1" dataDxfId="76" totalsRowDxfId="75"/>
    <tableColumn id="9" xr3:uid="{00000000-0010-0000-0200-000009000000}" name="Cân lần 2" dataDxfId="74" totalsRowDxfId="73"/>
    <tableColumn id="10" xr3:uid="{00000000-0010-0000-0200-00000A000000}" name="KL hàng (KG)" dataDxfId="72" totalsRowDxfId="71"/>
    <tableColumn id="11" xr3:uid="{00000000-0010-0000-0200-00000B000000}" name="Nguồn gốc" dataDxfId="70" totalsRowDxfId="69"/>
    <tableColumn id="12" xr3:uid="{00000000-0010-0000-0200-00000C000000}" name="Khách hàng" dataDxfId="68" totalsRowDxfId="67"/>
    <tableColumn id="13" xr3:uid="{00000000-0010-0000-0200-00000D000000}" name="LDĐ" dataDxfId="66" totalsRowDxfId="65"/>
    <tableColumn id="14" xr3:uid="{00000000-0010-0000-0200-00000E000000}" name="Kiểu cân" dataDxfId="64" totalsRowDxfId="63"/>
    <tableColumn id="15" xr3:uid="{00000000-0010-0000-0200-00000F000000}" name="Mã cự ly VC" dataDxfId="62" totalsRowDxfId="61"/>
    <tableColumn id="16" xr3:uid="{00000000-0010-0000-0200-000010000000}" name="Đơn vị VC" dataDxfId="60" totalsRow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" displayName="Table1" ref="A6:Q69" totalsRowShown="0" headerRowDxfId="58" dataDxfId="57" tableBorderDxfId="56">
  <autoFilter ref="A6:Q69" xr:uid="{00000000-0009-0000-0100-000004000000}"/>
  <tableColumns count="17">
    <tableColumn id="1" xr3:uid="{00000000-0010-0000-0100-000001000000}" name="Stt" dataDxfId="55"/>
    <tableColumn id="2" xr3:uid="{00000000-0010-0000-0100-000002000000}" name="Số_x000a_ phiếu" dataDxfId="54"/>
    <tableColumn id="3" xr3:uid="{00000000-0010-0000-0100-000003000000}" name="Ngày cân 1" dataDxfId="53"/>
    <tableColumn id="4" xr3:uid="{00000000-0010-0000-0100-000004000000}" name="Giờ cân 1" dataDxfId="52"/>
    <tableColumn id="5" xr3:uid="{00000000-0010-0000-0100-000005000000}" name="Ngày cân 2" dataDxfId="51"/>
    <tableColumn id="6" xr3:uid="{00000000-0010-0000-0100-000006000000}" name="Giờ cân 2" dataDxfId="50"/>
    <tableColumn id="7" xr3:uid="{00000000-0010-0000-0100-000007000000}" name="Biển số 1" dataDxfId="49"/>
    <tableColumn id="8" xr3:uid="{00000000-0010-0000-0100-000008000000}" name="Cân lần 1" dataDxfId="48"/>
    <tableColumn id="9" xr3:uid="{00000000-0010-0000-0100-000009000000}" name="Cân lần 2" dataDxfId="47"/>
    <tableColumn id="10" xr3:uid="{00000000-0010-0000-0100-00000A000000}" name="KL hàng (KG)" dataDxfId="46"/>
    <tableColumn id="11" xr3:uid="{00000000-0010-0000-0100-00000B000000}" name="Nguồn gốc" dataDxfId="45"/>
    <tableColumn id="12" xr3:uid="{00000000-0010-0000-0100-00000C000000}" name="Khách hàng" dataDxfId="44"/>
    <tableColumn id="13" xr3:uid="{00000000-0010-0000-0100-00000D000000}" name="LĐĐ" dataDxfId="43"/>
    <tableColumn id="14" xr3:uid="{00000000-0010-0000-0100-00000E000000}" name="Kiểu cân" dataDxfId="42"/>
    <tableColumn id="15" xr3:uid="{00000000-0010-0000-0100-00000F000000}" name="Cty VC" dataDxfId="41" dataCellStyle="Comma"/>
    <tableColumn id="17" xr3:uid="{00000000-0010-0000-0100-000011000000}" name="Số HĐVC" dataDxfId="40" dataCellStyle="Comma"/>
    <tableColumn id="16" xr3:uid="{00000000-0010-0000-0100-000010000000}" name="Column1" dataDxfId="39" dataCellStyle="Comma">
      <calculatedColumnFormula>+J7/1000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_GIAONHANDAU" displayName="TBL_GIAONHANDAU" ref="A2:H16" totalsRowCount="1" headerRowDxfId="38" dataDxfId="37" totalsRowDxfId="36">
  <autoFilter ref="A2:H15" xr:uid="{00000000-0009-0000-0100-000002000000}"/>
  <sortState xmlns:xlrd2="http://schemas.microsoft.com/office/spreadsheetml/2017/richdata2" ref="A3:H3">
    <sortCondition ref="A2:A3"/>
  </sortState>
  <tableColumns count="8">
    <tableColumn id="1" xr3:uid="{00000000-0010-0000-0300-000001000000}" name="Ngày nhận dầu" dataDxfId="35" totalsRowDxfId="24"/>
    <tableColumn id="7" xr3:uid="{00000000-0010-0000-0300-000007000000}" name="Mã cự ly VC" dataDxfId="34" totalsRowDxfId="23"/>
    <tableColumn id="2" xr3:uid="{00000000-0010-0000-0300-000002000000}" name="Biển số xe" dataDxfId="33" totalsRowDxfId="22"/>
    <tableColumn id="3" xr3:uid="{00000000-0010-0000-0300-000003000000}" name="ĐVT" dataDxfId="32" totalsRowDxfId="21"/>
    <tableColumn id="4" xr3:uid="{00000000-0010-0000-0300-000004000000}" name="Số lượng (lít)" dataDxfId="31" totalsRowDxfId="20" dataCellStyle="Comma"/>
    <tableColumn id="5" xr3:uid="{00000000-0010-0000-0300-000005000000}" name="Đơn giá dầu" dataDxfId="30" totalsRowDxfId="19"/>
    <tableColumn id="6" xr3:uid="{00000000-0010-0000-0300-000006000000}" name="Ngày mua dầu" dataDxfId="29" totalsRowDxfId="18"/>
    <tableColumn id="8" xr3:uid="{00000000-0010-0000-0300-000008000000}" name="Đơn vị" dataDxfId="28" totalsRow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D80E-01EC-4A50-9D91-D17757C25E5A}">
  <sheetPr>
    <tabColor rgb="FFFF0000"/>
  </sheetPr>
  <dimension ref="A1:IT34"/>
  <sheetViews>
    <sheetView workbookViewId="0">
      <selection activeCell="G32" sqref="G30:G32"/>
    </sheetView>
  </sheetViews>
  <sheetFormatPr defaultRowHeight="15.75" x14ac:dyDescent="0.25"/>
  <cols>
    <col min="1" max="1" width="5.6640625" style="60" customWidth="1"/>
    <col min="2" max="2" width="10.6640625" style="60" customWidth="1"/>
    <col min="3" max="3" width="9.21875" style="96" customWidth="1"/>
    <col min="4" max="4" width="11.109375" style="58" customWidth="1"/>
    <col min="5" max="5" width="11" style="58" customWidth="1"/>
    <col min="6" max="6" width="10.109375" style="58" customWidth="1"/>
    <col min="7" max="7" width="13.5546875" style="58" customWidth="1"/>
    <col min="8" max="8" width="11.5546875" style="58" customWidth="1"/>
    <col min="9" max="9" width="18.44140625" style="58" customWidth="1"/>
    <col min="10" max="10" width="7.21875" style="60" hidden="1" customWidth="1"/>
    <col min="11" max="11" width="12.5546875" style="60" customWidth="1"/>
    <col min="12" max="12" width="10.109375" style="60" bestFit="1" customWidth="1"/>
    <col min="13" max="253" width="8.88671875" style="60"/>
    <col min="254" max="254" width="8.88671875" style="61"/>
    <col min="255" max="255" width="5.6640625" style="61" customWidth="1"/>
    <col min="256" max="256" width="10.6640625" style="61" customWidth="1"/>
    <col min="257" max="257" width="9.21875" style="61" customWidth="1"/>
    <col min="258" max="258" width="11.109375" style="61" customWidth="1"/>
    <col min="259" max="259" width="11" style="61" customWidth="1"/>
    <col min="260" max="260" width="10.109375" style="61" customWidth="1"/>
    <col min="261" max="261" width="13.5546875" style="61" customWidth="1"/>
    <col min="262" max="262" width="11.5546875" style="61" customWidth="1"/>
    <col min="263" max="263" width="10.88671875" style="61" customWidth="1"/>
    <col min="264" max="264" width="7.21875" style="61" customWidth="1"/>
    <col min="265" max="510" width="8.88671875" style="61"/>
    <col min="511" max="511" width="5.6640625" style="61" customWidth="1"/>
    <col min="512" max="512" width="10.6640625" style="61" customWidth="1"/>
    <col min="513" max="513" width="9.21875" style="61" customWidth="1"/>
    <col min="514" max="514" width="11.109375" style="61" customWidth="1"/>
    <col min="515" max="515" width="11" style="61" customWidth="1"/>
    <col min="516" max="516" width="10.109375" style="61" customWidth="1"/>
    <col min="517" max="517" width="13.5546875" style="61" customWidth="1"/>
    <col min="518" max="518" width="11.5546875" style="61" customWidth="1"/>
    <col min="519" max="519" width="10.88671875" style="61" customWidth="1"/>
    <col min="520" max="520" width="7.21875" style="61" customWidth="1"/>
    <col min="521" max="766" width="8.88671875" style="61"/>
    <col min="767" max="767" width="5.6640625" style="61" customWidth="1"/>
    <col min="768" max="768" width="10.6640625" style="61" customWidth="1"/>
    <col min="769" max="769" width="9.21875" style="61" customWidth="1"/>
    <col min="770" max="770" width="11.109375" style="61" customWidth="1"/>
    <col min="771" max="771" width="11" style="61" customWidth="1"/>
    <col min="772" max="772" width="10.109375" style="61" customWidth="1"/>
    <col min="773" max="773" width="13.5546875" style="61" customWidth="1"/>
    <col min="774" max="774" width="11.5546875" style="61" customWidth="1"/>
    <col min="775" max="775" width="10.88671875" style="61" customWidth="1"/>
    <col min="776" max="776" width="7.21875" style="61" customWidth="1"/>
    <col min="777" max="1022" width="8.88671875" style="61"/>
    <col min="1023" max="1023" width="5.6640625" style="61" customWidth="1"/>
    <col min="1024" max="1024" width="10.6640625" style="61" customWidth="1"/>
    <col min="1025" max="1025" width="9.21875" style="61" customWidth="1"/>
    <col min="1026" max="1026" width="11.109375" style="61" customWidth="1"/>
    <col min="1027" max="1027" width="11" style="61" customWidth="1"/>
    <col min="1028" max="1028" width="10.109375" style="61" customWidth="1"/>
    <col min="1029" max="1029" width="13.5546875" style="61" customWidth="1"/>
    <col min="1030" max="1030" width="11.5546875" style="61" customWidth="1"/>
    <col min="1031" max="1031" width="10.88671875" style="61" customWidth="1"/>
    <col min="1032" max="1032" width="7.21875" style="61" customWidth="1"/>
    <col min="1033" max="1278" width="8.88671875" style="61"/>
    <col min="1279" max="1279" width="5.6640625" style="61" customWidth="1"/>
    <col min="1280" max="1280" width="10.6640625" style="61" customWidth="1"/>
    <col min="1281" max="1281" width="9.21875" style="61" customWidth="1"/>
    <col min="1282" max="1282" width="11.109375" style="61" customWidth="1"/>
    <col min="1283" max="1283" width="11" style="61" customWidth="1"/>
    <col min="1284" max="1284" width="10.109375" style="61" customWidth="1"/>
    <col min="1285" max="1285" width="13.5546875" style="61" customWidth="1"/>
    <col min="1286" max="1286" width="11.5546875" style="61" customWidth="1"/>
    <col min="1287" max="1287" width="10.88671875" style="61" customWidth="1"/>
    <col min="1288" max="1288" width="7.21875" style="61" customWidth="1"/>
    <col min="1289" max="1534" width="8.88671875" style="61"/>
    <col min="1535" max="1535" width="5.6640625" style="61" customWidth="1"/>
    <col min="1536" max="1536" width="10.6640625" style="61" customWidth="1"/>
    <col min="1537" max="1537" width="9.21875" style="61" customWidth="1"/>
    <col min="1538" max="1538" width="11.109375" style="61" customWidth="1"/>
    <col min="1539" max="1539" width="11" style="61" customWidth="1"/>
    <col min="1540" max="1540" width="10.109375" style="61" customWidth="1"/>
    <col min="1541" max="1541" width="13.5546875" style="61" customWidth="1"/>
    <col min="1542" max="1542" width="11.5546875" style="61" customWidth="1"/>
    <col min="1543" max="1543" width="10.88671875" style="61" customWidth="1"/>
    <col min="1544" max="1544" width="7.21875" style="61" customWidth="1"/>
    <col min="1545" max="1790" width="8.88671875" style="61"/>
    <col min="1791" max="1791" width="5.6640625" style="61" customWidth="1"/>
    <col min="1792" max="1792" width="10.6640625" style="61" customWidth="1"/>
    <col min="1793" max="1793" width="9.21875" style="61" customWidth="1"/>
    <col min="1794" max="1794" width="11.109375" style="61" customWidth="1"/>
    <col min="1795" max="1795" width="11" style="61" customWidth="1"/>
    <col min="1796" max="1796" width="10.109375" style="61" customWidth="1"/>
    <col min="1797" max="1797" width="13.5546875" style="61" customWidth="1"/>
    <col min="1798" max="1798" width="11.5546875" style="61" customWidth="1"/>
    <col min="1799" max="1799" width="10.88671875" style="61" customWidth="1"/>
    <col min="1800" max="1800" width="7.21875" style="61" customWidth="1"/>
    <col min="1801" max="2046" width="8.88671875" style="61"/>
    <col min="2047" max="2047" width="5.6640625" style="61" customWidth="1"/>
    <col min="2048" max="2048" width="10.6640625" style="61" customWidth="1"/>
    <col min="2049" max="2049" width="9.21875" style="61" customWidth="1"/>
    <col min="2050" max="2050" width="11.109375" style="61" customWidth="1"/>
    <col min="2051" max="2051" width="11" style="61" customWidth="1"/>
    <col min="2052" max="2052" width="10.109375" style="61" customWidth="1"/>
    <col min="2053" max="2053" width="13.5546875" style="61" customWidth="1"/>
    <col min="2054" max="2054" width="11.5546875" style="61" customWidth="1"/>
    <col min="2055" max="2055" width="10.88671875" style="61" customWidth="1"/>
    <col min="2056" max="2056" width="7.21875" style="61" customWidth="1"/>
    <col min="2057" max="2302" width="8.88671875" style="61"/>
    <col min="2303" max="2303" width="5.6640625" style="61" customWidth="1"/>
    <col min="2304" max="2304" width="10.6640625" style="61" customWidth="1"/>
    <col min="2305" max="2305" width="9.21875" style="61" customWidth="1"/>
    <col min="2306" max="2306" width="11.109375" style="61" customWidth="1"/>
    <col min="2307" max="2307" width="11" style="61" customWidth="1"/>
    <col min="2308" max="2308" width="10.109375" style="61" customWidth="1"/>
    <col min="2309" max="2309" width="13.5546875" style="61" customWidth="1"/>
    <col min="2310" max="2310" width="11.5546875" style="61" customWidth="1"/>
    <col min="2311" max="2311" width="10.88671875" style="61" customWidth="1"/>
    <col min="2312" max="2312" width="7.21875" style="61" customWidth="1"/>
    <col min="2313" max="2558" width="8.88671875" style="61"/>
    <col min="2559" max="2559" width="5.6640625" style="61" customWidth="1"/>
    <col min="2560" max="2560" width="10.6640625" style="61" customWidth="1"/>
    <col min="2561" max="2561" width="9.21875" style="61" customWidth="1"/>
    <col min="2562" max="2562" width="11.109375" style="61" customWidth="1"/>
    <col min="2563" max="2563" width="11" style="61" customWidth="1"/>
    <col min="2564" max="2564" width="10.109375" style="61" customWidth="1"/>
    <col min="2565" max="2565" width="13.5546875" style="61" customWidth="1"/>
    <col min="2566" max="2566" width="11.5546875" style="61" customWidth="1"/>
    <col min="2567" max="2567" width="10.88671875" style="61" customWidth="1"/>
    <col min="2568" max="2568" width="7.21875" style="61" customWidth="1"/>
    <col min="2569" max="2814" width="8.88671875" style="61"/>
    <col min="2815" max="2815" width="5.6640625" style="61" customWidth="1"/>
    <col min="2816" max="2816" width="10.6640625" style="61" customWidth="1"/>
    <col min="2817" max="2817" width="9.21875" style="61" customWidth="1"/>
    <col min="2818" max="2818" width="11.109375" style="61" customWidth="1"/>
    <col min="2819" max="2819" width="11" style="61" customWidth="1"/>
    <col min="2820" max="2820" width="10.109375" style="61" customWidth="1"/>
    <col min="2821" max="2821" width="13.5546875" style="61" customWidth="1"/>
    <col min="2822" max="2822" width="11.5546875" style="61" customWidth="1"/>
    <col min="2823" max="2823" width="10.88671875" style="61" customWidth="1"/>
    <col min="2824" max="2824" width="7.21875" style="61" customWidth="1"/>
    <col min="2825" max="3070" width="8.88671875" style="61"/>
    <col min="3071" max="3071" width="5.6640625" style="61" customWidth="1"/>
    <col min="3072" max="3072" width="10.6640625" style="61" customWidth="1"/>
    <col min="3073" max="3073" width="9.21875" style="61" customWidth="1"/>
    <col min="3074" max="3074" width="11.109375" style="61" customWidth="1"/>
    <col min="3075" max="3075" width="11" style="61" customWidth="1"/>
    <col min="3076" max="3076" width="10.109375" style="61" customWidth="1"/>
    <col min="3077" max="3077" width="13.5546875" style="61" customWidth="1"/>
    <col min="3078" max="3078" width="11.5546875" style="61" customWidth="1"/>
    <col min="3079" max="3079" width="10.88671875" style="61" customWidth="1"/>
    <col min="3080" max="3080" width="7.21875" style="61" customWidth="1"/>
    <col min="3081" max="3326" width="8.88671875" style="61"/>
    <col min="3327" max="3327" width="5.6640625" style="61" customWidth="1"/>
    <col min="3328" max="3328" width="10.6640625" style="61" customWidth="1"/>
    <col min="3329" max="3329" width="9.21875" style="61" customWidth="1"/>
    <col min="3330" max="3330" width="11.109375" style="61" customWidth="1"/>
    <col min="3331" max="3331" width="11" style="61" customWidth="1"/>
    <col min="3332" max="3332" width="10.109375" style="61" customWidth="1"/>
    <col min="3333" max="3333" width="13.5546875" style="61" customWidth="1"/>
    <col min="3334" max="3334" width="11.5546875" style="61" customWidth="1"/>
    <col min="3335" max="3335" width="10.88671875" style="61" customWidth="1"/>
    <col min="3336" max="3336" width="7.21875" style="61" customWidth="1"/>
    <col min="3337" max="3582" width="8.88671875" style="61"/>
    <col min="3583" max="3583" width="5.6640625" style="61" customWidth="1"/>
    <col min="3584" max="3584" width="10.6640625" style="61" customWidth="1"/>
    <col min="3585" max="3585" width="9.21875" style="61" customWidth="1"/>
    <col min="3586" max="3586" width="11.109375" style="61" customWidth="1"/>
    <col min="3587" max="3587" width="11" style="61" customWidth="1"/>
    <col min="3588" max="3588" width="10.109375" style="61" customWidth="1"/>
    <col min="3589" max="3589" width="13.5546875" style="61" customWidth="1"/>
    <col min="3590" max="3590" width="11.5546875" style="61" customWidth="1"/>
    <col min="3591" max="3591" width="10.88671875" style="61" customWidth="1"/>
    <col min="3592" max="3592" width="7.21875" style="61" customWidth="1"/>
    <col min="3593" max="3838" width="8.88671875" style="61"/>
    <col min="3839" max="3839" width="5.6640625" style="61" customWidth="1"/>
    <col min="3840" max="3840" width="10.6640625" style="61" customWidth="1"/>
    <col min="3841" max="3841" width="9.21875" style="61" customWidth="1"/>
    <col min="3842" max="3842" width="11.109375" style="61" customWidth="1"/>
    <col min="3843" max="3843" width="11" style="61" customWidth="1"/>
    <col min="3844" max="3844" width="10.109375" style="61" customWidth="1"/>
    <col min="3845" max="3845" width="13.5546875" style="61" customWidth="1"/>
    <col min="3846" max="3846" width="11.5546875" style="61" customWidth="1"/>
    <col min="3847" max="3847" width="10.88671875" style="61" customWidth="1"/>
    <col min="3848" max="3848" width="7.21875" style="61" customWidth="1"/>
    <col min="3849" max="4094" width="8.88671875" style="61"/>
    <col min="4095" max="4095" width="5.6640625" style="61" customWidth="1"/>
    <col min="4096" max="4096" width="10.6640625" style="61" customWidth="1"/>
    <col min="4097" max="4097" width="9.21875" style="61" customWidth="1"/>
    <col min="4098" max="4098" width="11.109375" style="61" customWidth="1"/>
    <col min="4099" max="4099" width="11" style="61" customWidth="1"/>
    <col min="4100" max="4100" width="10.109375" style="61" customWidth="1"/>
    <col min="4101" max="4101" width="13.5546875" style="61" customWidth="1"/>
    <col min="4102" max="4102" width="11.5546875" style="61" customWidth="1"/>
    <col min="4103" max="4103" width="10.88671875" style="61" customWidth="1"/>
    <col min="4104" max="4104" width="7.21875" style="61" customWidth="1"/>
    <col min="4105" max="4350" width="8.88671875" style="61"/>
    <col min="4351" max="4351" width="5.6640625" style="61" customWidth="1"/>
    <col min="4352" max="4352" width="10.6640625" style="61" customWidth="1"/>
    <col min="4353" max="4353" width="9.21875" style="61" customWidth="1"/>
    <col min="4354" max="4354" width="11.109375" style="61" customWidth="1"/>
    <col min="4355" max="4355" width="11" style="61" customWidth="1"/>
    <col min="4356" max="4356" width="10.109375" style="61" customWidth="1"/>
    <col min="4357" max="4357" width="13.5546875" style="61" customWidth="1"/>
    <col min="4358" max="4358" width="11.5546875" style="61" customWidth="1"/>
    <col min="4359" max="4359" width="10.88671875" style="61" customWidth="1"/>
    <col min="4360" max="4360" width="7.21875" style="61" customWidth="1"/>
    <col min="4361" max="4606" width="8.88671875" style="61"/>
    <col min="4607" max="4607" width="5.6640625" style="61" customWidth="1"/>
    <col min="4608" max="4608" width="10.6640625" style="61" customWidth="1"/>
    <col min="4609" max="4609" width="9.21875" style="61" customWidth="1"/>
    <col min="4610" max="4610" width="11.109375" style="61" customWidth="1"/>
    <col min="4611" max="4611" width="11" style="61" customWidth="1"/>
    <col min="4612" max="4612" width="10.109375" style="61" customWidth="1"/>
    <col min="4613" max="4613" width="13.5546875" style="61" customWidth="1"/>
    <col min="4614" max="4614" width="11.5546875" style="61" customWidth="1"/>
    <col min="4615" max="4615" width="10.88671875" style="61" customWidth="1"/>
    <col min="4616" max="4616" width="7.21875" style="61" customWidth="1"/>
    <col min="4617" max="4862" width="8.88671875" style="61"/>
    <col min="4863" max="4863" width="5.6640625" style="61" customWidth="1"/>
    <col min="4864" max="4864" width="10.6640625" style="61" customWidth="1"/>
    <col min="4865" max="4865" width="9.21875" style="61" customWidth="1"/>
    <col min="4866" max="4866" width="11.109375" style="61" customWidth="1"/>
    <col min="4867" max="4867" width="11" style="61" customWidth="1"/>
    <col min="4868" max="4868" width="10.109375" style="61" customWidth="1"/>
    <col min="4869" max="4869" width="13.5546875" style="61" customWidth="1"/>
    <col min="4870" max="4870" width="11.5546875" style="61" customWidth="1"/>
    <col min="4871" max="4871" width="10.88671875" style="61" customWidth="1"/>
    <col min="4872" max="4872" width="7.21875" style="61" customWidth="1"/>
    <col min="4873" max="5118" width="8.88671875" style="61"/>
    <col min="5119" max="5119" width="5.6640625" style="61" customWidth="1"/>
    <col min="5120" max="5120" width="10.6640625" style="61" customWidth="1"/>
    <col min="5121" max="5121" width="9.21875" style="61" customWidth="1"/>
    <col min="5122" max="5122" width="11.109375" style="61" customWidth="1"/>
    <col min="5123" max="5123" width="11" style="61" customWidth="1"/>
    <col min="5124" max="5124" width="10.109375" style="61" customWidth="1"/>
    <col min="5125" max="5125" width="13.5546875" style="61" customWidth="1"/>
    <col min="5126" max="5126" width="11.5546875" style="61" customWidth="1"/>
    <col min="5127" max="5127" width="10.88671875" style="61" customWidth="1"/>
    <col min="5128" max="5128" width="7.21875" style="61" customWidth="1"/>
    <col min="5129" max="5374" width="8.88671875" style="61"/>
    <col min="5375" max="5375" width="5.6640625" style="61" customWidth="1"/>
    <col min="5376" max="5376" width="10.6640625" style="61" customWidth="1"/>
    <col min="5377" max="5377" width="9.21875" style="61" customWidth="1"/>
    <col min="5378" max="5378" width="11.109375" style="61" customWidth="1"/>
    <col min="5379" max="5379" width="11" style="61" customWidth="1"/>
    <col min="5380" max="5380" width="10.109375" style="61" customWidth="1"/>
    <col min="5381" max="5381" width="13.5546875" style="61" customWidth="1"/>
    <col min="5382" max="5382" width="11.5546875" style="61" customWidth="1"/>
    <col min="5383" max="5383" width="10.88671875" style="61" customWidth="1"/>
    <col min="5384" max="5384" width="7.21875" style="61" customWidth="1"/>
    <col min="5385" max="5630" width="8.88671875" style="61"/>
    <col min="5631" max="5631" width="5.6640625" style="61" customWidth="1"/>
    <col min="5632" max="5632" width="10.6640625" style="61" customWidth="1"/>
    <col min="5633" max="5633" width="9.21875" style="61" customWidth="1"/>
    <col min="5634" max="5634" width="11.109375" style="61" customWidth="1"/>
    <col min="5635" max="5635" width="11" style="61" customWidth="1"/>
    <col min="5636" max="5636" width="10.109375" style="61" customWidth="1"/>
    <col min="5637" max="5637" width="13.5546875" style="61" customWidth="1"/>
    <col min="5638" max="5638" width="11.5546875" style="61" customWidth="1"/>
    <col min="5639" max="5639" width="10.88671875" style="61" customWidth="1"/>
    <col min="5640" max="5640" width="7.21875" style="61" customWidth="1"/>
    <col min="5641" max="5886" width="8.88671875" style="61"/>
    <col min="5887" max="5887" width="5.6640625" style="61" customWidth="1"/>
    <col min="5888" max="5888" width="10.6640625" style="61" customWidth="1"/>
    <col min="5889" max="5889" width="9.21875" style="61" customWidth="1"/>
    <col min="5890" max="5890" width="11.109375" style="61" customWidth="1"/>
    <col min="5891" max="5891" width="11" style="61" customWidth="1"/>
    <col min="5892" max="5892" width="10.109375" style="61" customWidth="1"/>
    <col min="5893" max="5893" width="13.5546875" style="61" customWidth="1"/>
    <col min="5894" max="5894" width="11.5546875" style="61" customWidth="1"/>
    <col min="5895" max="5895" width="10.88671875" style="61" customWidth="1"/>
    <col min="5896" max="5896" width="7.21875" style="61" customWidth="1"/>
    <col min="5897" max="6142" width="8.88671875" style="61"/>
    <col min="6143" max="6143" width="5.6640625" style="61" customWidth="1"/>
    <col min="6144" max="6144" width="10.6640625" style="61" customWidth="1"/>
    <col min="6145" max="6145" width="9.21875" style="61" customWidth="1"/>
    <col min="6146" max="6146" width="11.109375" style="61" customWidth="1"/>
    <col min="6147" max="6147" width="11" style="61" customWidth="1"/>
    <col min="6148" max="6148" width="10.109375" style="61" customWidth="1"/>
    <col min="6149" max="6149" width="13.5546875" style="61" customWidth="1"/>
    <col min="6150" max="6150" width="11.5546875" style="61" customWidth="1"/>
    <col min="6151" max="6151" width="10.88671875" style="61" customWidth="1"/>
    <col min="6152" max="6152" width="7.21875" style="61" customWidth="1"/>
    <col min="6153" max="6398" width="8.88671875" style="61"/>
    <col min="6399" max="6399" width="5.6640625" style="61" customWidth="1"/>
    <col min="6400" max="6400" width="10.6640625" style="61" customWidth="1"/>
    <col min="6401" max="6401" width="9.21875" style="61" customWidth="1"/>
    <col min="6402" max="6402" width="11.109375" style="61" customWidth="1"/>
    <col min="6403" max="6403" width="11" style="61" customWidth="1"/>
    <col min="6404" max="6404" width="10.109375" style="61" customWidth="1"/>
    <col min="6405" max="6405" width="13.5546875" style="61" customWidth="1"/>
    <col min="6406" max="6406" width="11.5546875" style="61" customWidth="1"/>
    <col min="6407" max="6407" width="10.88671875" style="61" customWidth="1"/>
    <col min="6408" max="6408" width="7.21875" style="61" customWidth="1"/>
    <col min="6409" max="6654" width="8.88671875" style="61"/>
    <col min="6655" max="6655" width="5.6640625" style="61" customWidth="1"/>
    <col min="6656" max="6656" width="10.6640625" style="61" customWidth="1"/>
    <col min="6657" max="6657" width="9.21875" style="61" customWidth="1"/>
    <col min="6658" max="6658" width="11.109375" style="61" customWidth="1"/>
    <col min="6659" max="6659" width="11" style="61" customWidth="1"/>
    <col min="6660" max="6660" width="10.109375" style="61" customWidth="1"/>
    <col min="6661" max="6661" width="13.5546875" style="61" customWidth="1"/>
    <col min="6662" max="6662" width="11.5546875" style="61" customWidth="1"/>
    <col min="6663" max="6663" width="10.88671875" style="61" customWidth="1"/>
    <col min="6664" max="6664" width="7.21875" style="61" customWidth="1"/>
    <col min="6665" max="6910" width="8.88671875" style="61"/>
    <col min="6911" max="6911" width="5.6640625" style="61" customWidth="1"/>
    <col min="6912" max="6912" width="10.6640625" style="61" customWidth="1"/>
    <col min="6913" max="6913" width="9.21875" style="61" customWidth="1"/>
    <col min="6914" max="6914" width="11.109375" style="61" customWidth="1"/>
    <col min="6915" max="6915" width="11" style="61" customWidth="1"/>
    <col min="6916" max="6916" width="10.109375" style="61" customWidth="1"/>
    <col min="6917" max="6917" width="13.5546875" style="61" customWidth="1"/>
    <col min="6918" max="6918" width="11.5546875" style="61" customWidth="1"/>
    <col min="6919" max="6919" width="10.88671875" style="61" customWidth="1"/>
    <col min="6920" max="6920" width="7.21875" style="61" customWidth="1"/>
    <col min="6921" max="7166" width="8.88671875" style="61"/>
    <col min="7167" max="7167" width="5.6640625" style="61" customWidth="1"/>
    <col min="7168" max="7168" width="10.6640625" style="61" customWidth="1"/>
    <col min="7169" max="7169" width="9.21875" style="61" customWidth="1"/>
    <col min="7170" max="7170" width="11.109375" style="61" customWidth="1"/>
    <col min="7171" max="7171" width="11" style="61" customWidth="1"/>
    <col min="7172" max="7172" width="10.109375" style="61" customWidth="1"/>
    <col min="7173" max="7173" width="13.5546875" style="61" customWidth="1"/>
    <col min="7174" max="7174" width="11.5546875" style="61" customWidth="1"/>
    <col min="7175" max="7175" width="10.88671875" style="61" customWidth="1"/>
    <col min="7176" max="7176" width="7.21875" style="61" customWidth="1"/>
    <col min="7177" max="7422" width="8.88671875" style="61"/>
    <col min="7423" max="7423" width="5.6640625" style="61" customWidth="1"/>
    <col min="7424" max="7424" width="10.6640625" style="61" customWidth="1"/>
    <col min="7425" max="7425" width="9.21875" style="61" customWidth="1"/>
    <col min="7426" max="7426" width="11.109375" style="61" customWidth="1"/>
    <col min="7427" max="7427" width="11" style="61" customWidth="1"/>
    <col min="7428" max="7428" width="10.109375" style="61" customWidth="1"/>
    <col min="7429" max="7429" width="13.5546875" style="61" customWidth="1"/>
    <col min="7430" max="7430" width="11.5546875" style="61" customWidth="1"/>
    <col min="7431" max="7431" width="10.88671875" style="61" customWidth="1"/>
    <col min="7432" max="7432" width="7.21875" style="61" customWidth="1"/>
    <col min="7433" max="7678" width="8.88671875" style="61"/>
    <col min="7679" max="7679" width="5.6640625" style="61" customWidth="1"/>
    <col min="7680" max="7680" width="10.6640625" style="61" customWidth="1"/>
    <col min="7681" max="7681" width="9.21875" style="61" customWidth="1"/>
    <col min="7682" max="7682" width="11.109375" style="61" customWidth="1"/>
    <col min="7683" max="7683" width="11" style="61" customWidth="1"/>
    <col min="7684" max="7684" width="10.109375" style="61" customWidth="1"/>
    <col min="7685" max="7685" width="13.5546875" style="61" customWidth="1"/>
    <col min="7686" max="7686" width="11.5546875" style="61" customWidth="1"/>
    <col min="7687" max="7687" width="10.88671875" style="61" customWidth="1"/>
    <col min="7688" max="7688" width="7.21875" style="61" customWidth="1"/>
    <col min="7689" max="7934" width="8.88671875" style="61"/>
    <col min="7935" max="7935" width="5.6640625" style="61" customWidth="1"/>
    <col min="7936" max="7936" width="10.6640625" style="61" customWidth="1"/>
    <col min="7937" max="7937" width="9.21875" style="61" customWidth="1"/>
    <col min="7938" max="7938" width="11.109375" style="61" customWidth="1"/>
    <col min="7939" max="7939" width="11" style="61" customWidth="1"/>
    <col min="7940" max="7940" width="10.109375" style="61" customWidth="1"/>
    <col min="7941" max="7941" width="13.5546875" style="61" customWidth="1"/>
    <col min="7942" max="7942" width="11.5546875" style="61" customWidth="1"/>
    <col min="7943" max="7943" width="10.88671875" style="61" customWidth="1"/>
    <col min="7944" max="7944" width="7.21875" style="61" customWidth="1"/>
    <col min="7945" max="8190" width="8.88671875" style="61"/>
    <col min="8191" max="8191" width="5.6640625" style="61" customWidth="1"/>
    <col min="8192" max="8192" width="10.6640625" style="61" customWidth="1"/>
    <col min="8193" max="8193" width="9.21875" style="61" customWidth="1"/>
    <col min="8194" max="8194" width="11.109375" style="61" customWidth="1"/>
    <col min="8195" max="8195" width="11" style="61" customWidth="1"/>
    <col min="8196" max="8196" width="10.109375" style="61" customWidth="1"/>
    <col min="8197" max="8197" width="13.5546875" style="61" customWidth="1"/>
    <col min="8198" max="8198" width="11.5546875" style="61" customWidth="1"/>
    <col min="8199" max="8199" width="10.88671875" style="61" customWidth="1"/>
    <col min="8200" max="8200" width="7.21875" style="61" customWidth="1"/>
    <col min="8201" max="8446" width="8.88671875" style="61"/>
    <col min="8447" max="8447" width="5.6640625" style="61" customWidth="1"/>
    <col min="8448" max="8448" width="10.6640625" style="61" customWidth="1"/>
    <col min="8449" max="8449" width="9.21875" style="61" customWidth="1"/>
    <col min="8450" max="8450" width="11.109375" style="61" customWidth="1"/>
    <col min="8451" max="8451" width="11" style="61" customWidth="1"/>
    <col min="8452" max="8452" width="10.109375" style="61" customWidth="1"/>
    <col min="8453" max="8453" width="13.5546875" style="61" customWidth="1"/>
    <col min="8454" max="8454" width="11.5546875" style="61" customWidth="1"/>
    <col min="8455" max="8455" width="10.88671875" style="61" customWidth="1"/>
    <col min="8456" max="8456" width="7.21875" style="61" customWidth="1"/>
    <col min="8457" max="8702" width="8.88671875" style="61"/>
    <col min="8703" max="8703" width="5.6640625" style="61" customWidth="1"/>
    <col min="8704" max="8704" width="10.6640625" style="61" customWidth="1"/>
    <col min="8705" max="8705" width="9.21875" style="61" customWidth="1"/>
    <col min="8706" max="8706" width="11.109375" style="61" customWidth="1"/>
    <col min="8707" max="8707" width="11" style="61" customWidth="1"/>
    <col min="8708" max="8708" width="10.109375" style="61" customWidth="1"/>
    <col min="8709" max="8709" width="13.5546875" style="61" customWidth="1"/>
    <col min="8710" max="8710" width="11.5546875" style="61" customWidth="1"/>
    <col min="8711" max="8711" width="10.88671875" style="61" customWidth="1"/>
    <col min="8712" max="8712" width="7.21875" style="61" customWidth="1"/>
    <col min="8713" max="8958" width="8.88671875" style="61"/>
    <col min="8959" max="8959" width="5.6640625" style="61" customWidth="1"/>
    <col min="8960" max="8960" width="10.6640625" style="61" customWidth="1"/>
    <col min="8961" max="8961" width="9.21875" style="61" customWidth="1"/>
    <col min="8962" max="8962" width="11.109375" style="61" customWidth="1"/>
    <col min="8963" max="8963" width="11" style="61" customWidth="1"/>
    <col min="8964" max="8964" width="10.109375" style="61" customWidth="1"/>
    <col min="8965" max="8965" width="13.5546875" style="61" customWidth="1"/>
    <col min="8966" max="8966" width="11.5546875" style="61" customWidth="1"/>
    <col min="8967" max="8967" width="10.88671875" style="61" customWidth="1"/>
    <col min="8968" max="8968" width="7.21875" style="61" customWidth="1"/>
    <col min="8969" max="9214" width="8.88671875" style="61"/>
    <col min="9215" max="9215" width="5.6640625" style="61" customWidth="1"/>
    <col min="9216" max="9216" width="10.6640625" style="61" customWidth="1"/>
    <col min="9217" max="9217" width="9.21875" style="61" customWidth="1"/>
    <col min="9218" max="9218" width="11.109375" style="61" customWidth="1"/>
    <col min="9219" max="9219" width="11" style="61" customWidth="1"/>
    <col min="9220" max="9220" width="10.109375" style="61" customWidth="1"/>
    <col min="9221" max="9221" width="13.5546875" style="61" customWidth="1"/>
    <col min="9222" max="9222" width="11.5546875" style="61" customWidth="1"/>
    <col min="9223" max="9223" width="10.88671875" style="61" customWidth="1"/>
    <col min="9224" max="9224" width="7.21875" style="61" customWidth="1"/>
    <col min="9225" max="9470" width="8.88671875" style="61"/>
    <col min="9471" max="9471" width="5.6640625" style="61" customWidth="1"/>
    <col min="9472" max="9472" width="10.6640625" style="61" customWidth="1"/>
    <col min="9473" max="9473" width="9.21875" style="61" customWidth="1"/>
    <col min="9474" max="9474" width="11.109375" style="61" customWidth="1"/>
    <col min="9475" max="9475" width="11" style="61" customWidth="1"/>
    <col min="9476" max="9476" width="10.109375" style="61" customWidth="1"/>
    <col min="9477" max="9477" width="13.5546875" style="61" customWidth="1"/>
    <col min="9478" max="9478" width="11.5546875" style="61" customWidth="1"/>
    <col min="9479" max="9479" width="10.88671875" style="61" customWidth="1"/>
    <col min="9480" max="9480" width="7.21875" style="61" customWidth="1"/>
    <col min="9481" max="9726" width="8.88671875" style="61"/>
    <col min="9727" max="9727" width="5.6640625" style="61" customWidth="1"/>
    <col min="9728" max="9728" width="10.6640625" style="61" customWidth="1"/>
    <col min="9729" max="9729" width="9.21875" style="61" customWidth="1"/>
    <col min="9730" max="9730" width="11.109375" style="61" customWidth="1"/>
    <col min="9731" max="9731" width="11" style="61" customWidth="1"/>
    <col min="9732" max="9732" width="10.109375" style="61" customWidth="1"/>
    <col min="9733" max="9733" width="13.5546875" style="61" customWidth="1"/>
    <col min="9734" max="9734" width="11.5546875" style="61" customWidth="1"/>
    <col min="9735" max="9735" width="10.88671875" style="61" customWidth="1"/>
    <col min="9736" max="9736" width="7.21875" style="61" customWidth="1"/>
    <col min="9737" max="9982" width="8.88671875" style="61"/>
    <col min="9983" max="9983" width="5.6640625" style="61" customWidth="1"/>
    <col min="9984" max="9984" width="10.6640625" style="61" customWidth="1"/>
    <col min="9985" max="9985" width="9.21875" style="61" customWidth="1"/>
    <col min="9986" max="9986" width="11.109375" style="61" customWidth="1"/>
    <col min="9987" max="9987" width="11" style="61" customWidth="1"/>
    <col min="9988" max="9988" width="10.109375" style="61" customWidth="1"/>
    <col min="9989" max="9989" width="13.5546875" style="61" customWidth="1"/>
    <col min="9990" max="9990" width="11.5546875" style="61" customWidth="1"/>
    <col min="9991" max="9991" width="10.88671875" style="61" customWidth="1"/>
    <col min="9992" max="9992" width="7.21875" style="61" customWidth="1"/>
    <col min="9993" max="10238" width="8.88671875" style="61"/>
    <col min="10239" max="10239" width="5.6640625" style="61" customWidth="1"/>
    <col min="10240" max="10240" width="10.6640625" style="61" customWidth="1"/>
    <col min="10241" max="10241" width="9.21875" style="61" customWidth="1"/>
    <col min="10242" max="10242" width="11.109375" style="61" customWidth="1"/>
    <col min="10243" max="10243" width="11" style="61" customWidth="1"/>
    <col min="10244" max="10244" width="10.109375" style="61" customWidth="1"/>
    <col min="10245" max="10245" width="13.5546875" style="61" customWidth="1"/>
    <col min="10246" max="10246" width="11.5546875" style="61" customWidth="1"/>
    <col min="10247" max="10247" width="10.88671875" style="61" customWidth="1"/>
    <col min="10248" max="10248" width="7.21875" style="61" customWidth="1"/>
    <col min="10249" max="10494" width="8.88671875" style="61"/>
    <col min="10495" max="10495" width="5.6640625" style="61" customWidth="1"/>
    <col min="10496" max="10496" width="10.6640625" style="61" customWidth="1"/>
    <col min="10497" max="10497" width="9.21875" style="61" customWidth="1"/>
    <col min="10498" max="10498" width="11.109375" style="61" customWidth="1"/>
    <col min="10499" max="10499" width="11" style="61" customWidth="1"/>
    <col min="10500" max="10500" width="10.109375" style="61" customWidth="1"/>
    <col min="10501" max="10501" width="13.5546875" style="61" customWidth="1"/>
    <col min="10502" max="10502" width="11.5546875" style="61" customWidth="1"/>
    <col min="10503" max="10503" width="10.88671875" style="61" customWidth="1"/>
    <col min="10504" max="10504" width="7.21875" style="61" customWidth="1"/>
    <col min="10505" max="10750" width="8.88671875" style="61"/>
    <col min="10751" max="10751" width="5.6640625" style="61" customWidth="1"/>
    <col min="10752" max="10752" width="10.6640625" style="61" customWidth="1"/>
    <col min="10753" max="10753" width="9.21875" style="61" customWidth="1"/>
    <col min="10754" max="10754" width="11.109375" style="61" customWidth="1"/>
    <col min="10755" max="10755" width="11" style="61" customWidth="1"/>
    <col min="10756" max="10756" width="10.109375" style="61" customWidth="1"/>
    <col min="10757" max="10757" width="13.5546875" style="61" customWidth="1"/>
    <col min="10758" max="10758" width="11.5546875" style="61" customWidth="1"/>
    <col min="10759" max="10759" width="10.88671875" style="61" customWidth="1"/>
    <col min="10760" max="10760" width="7.21875" style="61" customWidth="1"/>
    <col min="10761" max="11006" width="8.88671875" style="61"/>
    <col min="11007" max="11007" width="5.6640625" style="61" customWidth="1"/>
    <col min="11008" max="11008" width="10.6640625" style="61" customWidth="1"/>
    <col min="11009" max="11009" width="9.21875" style="61" customWidth="1"/>
    <col min="11010" max="11010" width="11.109375" style="61" customWidth="1"/>
    <col min="11011" max="11011" width="11" style="61" customWidth="1"/>
    <col min="11012" max="11012" width="10.109375" style="61" customWidth="1"/>
    <col min="11013" max="11013" width="13.5546875" style="61" customWidth="1"/>
    <col min="11014" max="11014" width="11.5546875" style="61" customWidth="1"/>
    <col min="11015" max="11015" width="10.88671875" style="61" customWidth="1"/>
    <col min="11016" max="11016" width="7.21875" style="61" customWidth="1"/>
    <col min="11017" max="11262" width="8.88671875" style="61"/>
    <col min="11263" max="11263" width="5.6640625" style="61" customWidth="1"/>
    <col min="11264" max="11264" width="10.6640625" style="61" customWidth="1"/>
    <col min="11265" max="11265" width="9.21875" style="61" customWidth="1"/>
    <col min="11266" max="11266" width="11.109375" style="61" customWidth="1"/>
    <col min="11267" max="11267" width="11" style="61" customWidth="1"/>
    <col min="11268" max="11268" width="10.109375" style="61" customWidth="1"/>
    <col min="11269" max="11269" width="13.5546875" style="61" customWidth="1"/>
    <col min="11270" max="11270" width="11.5546875" style="61" customWidth="1"/>
    <col min="11271" max="11271" width="10.88671875" style="61" customWidth="1"/>
    <col min="11272" max="11272" width="7.21875" style="61" customWidth="1"/>
    <col min="11273" max="11518" width="8.88671875" style="61"/>
    <col min="11519" max="11519" width="5.6640625" style="61" customWidth="1"/>
    <col min="11520" max="11520" width="10.6640625" style="61" customWidth="1"/>
    <col min="11521" max="11521" width="9.21875" style="61" customWidth="1"/>
    <col min="11522" max="11522" width="11.109375" style="61" customWidth="1"/>
    <col min="11523" max="11523" width="11" style="61" customWidth="1"/>
    <col min="11524" max="11524" width="10.109375" style="61" customWidth="1"/>
    <col min="11525" max="11525" width="13.5546875" style="61" customWidth="1"/>
    <col min="11526" max="11526" width="11.5546875" style="61" customWidth="1"/>
    <col min="11527" max="11527" width="10.88671875" style="61" customWidth="1"/>
    <col min="11528" max="11528" width="7.21875" style="61" customWidth="1"/>
    <col min="11529" max="11774" width="8.88671875" style="61"/>
    <col min="11775" max="11775" width="5.6640625" style="61" customWidth="1"/>
    <col min="11776" max="11776" width="10.6640625" style="61" customWidth="1"/>
    <col min="11777" max="11777" width="9.21875" style="61" customWidth="1"/>
    <col min="11778" max="11778" width="11.109375" style="61" customWidth="1"/>
    <col min="11779" max="11779" width="11" style="61" customWidth="1"/>
    <col min="11780" max="11780" width="10.109375" style="61" customWidth="1"/>
    <col min="11781" max="11781" width="13.5546875" style="61" customWidth="1"/>
    <col min="11782" max="11782" width="11.5546875" style="61" customWidth="1"/>
    <col min="11783" max="11783" width="10.88671875" style="61" customWidth="1"/>
    <col min="11784" max="11784" width="7.21875" style="61" customWidth="1"/>
    <col min="11785" max="12030" width="8.88671875" style="61"/>
    <col min="12031" max="12031" width="5.6640625" style="61" customWidth="1"/>
    <col min="12032" max="12032" width="10.6640625" style="61" customWidth="1"/>
    <col min="12033" max="12033" width="9.21875" style="61" customWidth="1"/>
    <col min="12034" max="12034" width="11.109375" style="61" customWidth="1"/>
    <col min="12035" max="12035" width="11" style="61" customWidth="1"/>
    <col min="12036" max="12036" width="10.109375" style="61" customWidth="1"/>
    <col min="12037" max="12037" width="13.5546875" style="61" customWidth="1"/>
    <col min="12038" max="12038" width="11.5546875" style="61" customWidth="1"/>
    <col min="12039" max="12039" width="10.88671875" style="61" customWidth="1"/>
    <col min="12040" max="12040" width="7.21875" style="61" customWidth="1"/>
    <col min="12041" max="12286" width="8.88671875" style="61"/>
    <col min="12287" max="12287" width="5.6640625" style="61" customWidth="1"/>
    <col min="12288" max="12288" width="10.6640625" style="61" customWidth="1"/>
    <col min="12289" max="12289" width="9.21875" style="61" customWidth="1"/>
    <col min="12290" max="12290" width="11.109375" style="61" customWidth="1"/>
    <col min="12291" max="12291" width="11" style="61" customWidth="1"/>
    <col min="12292" max="12292" width="10.109375" style="61" customWidth="1"/>
    <col min="12293" max="12293" width="13.5546875" style="61" customWidth="1"/>
    <col min="12294" max="12294" width="11.5546875" style="61" customWidth="1"/>
    <col min="12295" max="12295" width="10.88671875" style="61" customWidth="1"/>
    <col min="12296" max="12296" width="7.21875" style="61" customWidth="1"/>
    <col min="12297" max="12542" width="8.88671875" style="61"/>
    <col min="12543" max="12543" width="5.6640625" style="61" customWidth="1"/>
    <col min="12544" max="12544" width="10.6640625" style="61" customWidth="1"/>
    <col min="12545" max="12545" width="9.21875" style="61" customWidth="1"/>
    <col min="12546" max="12546" width="11.109375" style="61" customWidth="1"/>
    <col min="12547" max="12547" width="11" style="61" customWidth="1"/>
    <col min="12548" max="12548" width="10.109375" style="61" customWidth="1"/>
    <col min="12549" max="12549" width="13.5546875" style="61" customWidth="1"/>
    <col min="12550" max="12550" width="11.5546875" style="61" customWidth="1"/>
    <col min="12551" max="12551" width="10.88671875" style="61" customWidth="1"/>
    <col min="12552" max="12552" width="7.21875" style="61" customWidth="1"/>
    <col min="12553" max="12798" width="8.88671875" style="61"/>
    <col min="12799" max="12799" width="5.6640625" style="61" customWidth="1"/>
    <col min="12800" max="12800" width="10.6640625" style="61" customWidth="1"/>
    <col min="12801" max="12801" width="9.21875" style="61" customWidth="1"/>
    <col min="12802" max="12802" width="11.109375" style="61" customWidth="1"/>
    <col min="12803" max="12803" width="11" style="61" customWidth="1"/>
    <col min="12804" max="12804" width="10.109375" style="61" customWidth="1"/>
    <col min="12805" max="12805" width="13.5546875" style="61" customWidth="1"/>
    <col min="12806" max="12806" width="11.5546875" style="61" customWidth="1"/>
    <col min="12807" max="12807" width="10.88671875" style="61" customWidth="1"/>
    <col min="12808" max="12808" width="7.21875" style="61" customWidth="1"/>
    <col min="12809" max="13054" width="8.88671875" style="61"/>
    <col min="13055" max="13055" width="5.6640625" style="61" customWidth="1"/>
    <col min="13056" max="13056" width="10.6640625" style="61" customWidth="1"/>
    <col min="13057" max="13057" width="9.21875" style="61" customWidth="1"/>
    <col min="13058" max="13058" width="11.109375" style="61" customWidth="1"/>
    <col min="13059" max="13059" width="11" style="61" customWidth="1"/>
    <col min="13060" max="13060" width="10.109375" style="61" customWidth="1"/>
    <col min="13061" max="13061" width="13.5546875" style="61" customWidth="1"/>
    <col min="13062" max="13062" width="11.5546875" style="61" customWidth="1"/>
    <col min="13063" max="13063" width="10.88671875" style="61" customWidth="1"/>
    <col min="13064" max="13064" width="7.21875" style="61" customWidth="1"/>
    <col min="13065" max="13310" width="8.88671875" style="61"/>
    <col min="13311" max="13311" width="5.6640625" style="61" customWidth="1"/>
    <col min="13312" max="13312" width="10.6640625" style="61" customWidth="1"/>
    <col min="13313" max="13313" width="9.21875" style="61" customWidth="1"/>
    <col min="13314" max="13314" width="11.109375" style="61" customWidth="1"/>
    <col min="13315" max="13315" width="11" style="61" customWidth="1"/>
    <col min="13316" max="13316" width="10.109375" style="61" customWidth="1"/>
    <col min="13317" max="13317" width="13.5546875" style="61" customWidth="1"/>
    <col min="13318" max="13318" width="11.5546875" style="61" customWidth="1"/>
    <col min="13319" max="13319" width="10.88671875" style="61" customWidth="1"/>
    <col min="13320" max="13320" width="7.21875" style="61" customWidth="1"/>
    <col min="13321" max="13566" width="8.88671875" style="61"/>
    <col min="13567" max="13567" width="5.6640625" style="61" customWidth="1"/>
    <col min="13568" max="13568" width="10.6640625" style="61" customWidth="1"/>
    <col min="13569" max="13569" width="9.21875" style="61" customWidth="1"/>
    <col min="13570" max="13570" width="11.109375" style="61" customWidth="1"/>
    <col min="13571" max="13571" width="11" style="61" customWidth="1"/>
    <col min="13572" max="13572" width="10.109375" style="61" customWidth="1"/>
    <col min="13573" max="13573" width="13.5546875" style="61" customWidth="1"/>
    <col min="13574" max="13574" width="11.5546875" style="61" customWidth="1"/>
    <col min="13575" max="13575" width="10.88671875" style="61" customWidth="1"/>
    <col min="13576" max="13576" width="7.21875" style="61" customWidth="1"/>
    <col min="13577" max="13822" width="8.88671875" style="61"/>
    <col min="13823" max="13823" width="5.6640625" style="61" customWidth="1"/>
    <col min="13824" max="13824" width="10.6640625" style="61" customWidth="1"/>
    <col min="13825" max="13825" width="9.21875" style="61" customWidth="1"/>
    <col min="13826" max="13826" width="11.109375" style="61" customWidth="1"/>
    <col min="13827" max="13827" width="11" style="61" customWidth="1"/>
    <col min="13828" max="13828" width="10.109375" style="61" customWidth="1"/>
    <col min="13829" max="13829" width="13.5546875" style="61" customWidth="1"/>
    <col min="13830" max="13830" width="11.5546875" style="61" customWidth="1"/>
    <col min="13831" max="13831" width="10.88671875" style="61" customWidth="1"/>
    <col min="13832" max="13832" width="7.21875" style="61" customWidth="1"/>
    <col min="13833" max="14078" width="8.88671875" style="61"/>
    <col min="14079" max="14079" width="5.6640625" style="61" customWidth="1"/>
    <col min="14080" max="14080" width="10.6640625" style="61" customWidth="1"/>
    <col min="14081" max="14081" width="9.21875" style="61" customWidth="1"/>
    <col min="14082" max="14082" width="11.109375" style="61" customWidth="1"/>
    <col min="14083" max="14083" width="11" style="61" customWidth="1"/>
    <col min="14084" max="14084" width="10.109375" style="61" customWidth="1"/>
    <col min="14085" max="14085" width="13.5546875" style="61" customWidth="1"/>
    <col min="14086" max="14086" width="11.5546875" style="61" customWidth="1"/>
    <col min="14087" max="14087" width="10.88671875" style="61" customWidth="1"/>
    <col min="14088" max="14088" width="7.21875" style="61" customWidth="1"/>
    <col min="14089" max="14334" width="8.88671875" style="61"/>
    <col min="14335" max="14335" width="5.6640625" style="61" customWidth="1"/>
    <col min="14336" max="14336" width="10.6640625" style="61" customWidth="1"/>
    <col min="14337" max="14337" width="9.21875" style="61" customWidth="1"/>
    <col min="14338" max="14338" width="11.109375" style="61" customWidth="1"/>
    <col min="14339" max="14339" width="11" style="61" customWidth="1"/>
    <col min="14340" max="14340" width="10.109375" style="61" customWidth="1"/>
    <col min="14341" max="14341" width="13.5546875" style="61" customWidth="1"/>
    <col min="14342" max="14342" width="11.5546875" style="61" customWidth="1"/>
    <col min="14343" max="14343" width="10.88671875" style="61" customWidth="1"/>
    <col min="14344" max="14344" width="7.21875" style="61" customWidth="1"/>
    <col min="14345" max="14590" width="8.88671875" style="61"/>
    <col min="14591" max="14591" width="5.6640625" style="61" customWidth="1"/>
    <col min="14592" max="14592" width="10.6640625" style="61" customWidth="1"/>
    <col min="14593" max="14593" width="9.21875" style="61" customWidth="1"/>
    <col min="14594" max="14594" width="11.109375" style="61" customWidth="1"/>
    <col min="14595" max="14595" width="11" style="61" customWidth="1"/>
    <col min="14596" max="14596" width="10.109375" style="61" customWidth="1"/>
    <col min="14597" max="14597" width="13.5546875" style="61" customWidth="1"/>
    <col min="14598" max="14598" width="11.5546875" style="61" customWidth="1"/>
    <col min="14599" max="14599" width="10.88671875" style="61" customWidth="1"/>
    <col min="14600" max="14600" width="7.21875" style="61" customWidth="1"/>
    <col min="14601" max="14846" width="8.88671875" style="61"/>
    <col min="14847" max="14847" width="5.6640625" style="61" customWidth="1"/>
    <col min="14848" max="14848" width="10.6640625" style="61" customWidth="1"/>
    <col min="14849" max="14849" width="9.21875" style="61" customWidth="1"/>
    <col min="14850" max="14850" width="11.109375" style="61" customWidth="1"/>
    <col min="14851" max="14851" width="11" style="61" customWidth="1"/>
    <col min="14852" max="14852" width="10.109375" style="61" customWidth="1"/>
    <col min="14853" max="14853" width="13.5546875" style="61" customWidth="1"/>
    <col min="14854" max="14854" width="11.5546875" style="61" customWidth="1"/>
    <col min="14855" max="14855" width="10.88671875" style="61" customWidth="1"/>
    <col min="14856" max="14856" width="7.21875" style="61" customWidth="1"/>
    <col min="14857" max="15102" width="8.88671875" style="61"/>
    <col min="15103" max="15103" width="5.6640625" style="61" customWidth="1"/>
    <col min="15104" max="15104" width="10.6640625" style="61" customWidth="1"/>
    <col min="15105" max="15105" width="9.21875" style="61" customWidth="1"/>
    <col min="15106" max="15106" width="11.109375" style="61" customWidth="1"/>
    <col min="15107" max="15107" width="11" style="61" customWidth="1"/>
    <col min="15108" max="15108" width="10.109375" style="61" customWidth="1"/>
    <col min="15109" max="15109" width="13.5546875" style="61" customWidth="1"/>
    <col min="15110" max="15110" width="11.5546875" style="61" customWidth="1"/>
    <col min="15111" max="15111" width="10.88671875" style="61" customWidth="1"/>
    <col min="15112" max="15112" width="7.21875" style="61" customWidth="1"/>
    <col min="15113" max="15358" width="8.88671875" style="61"/>
    <col min="15359" max="15359" width="5.6640625" style="61" customWidth="1"/>
    <col min="15360" max="15360" width="10.6640625" style="61" customWidth="1"/>
    <col min="15361" max="15361" width="9.21875" style="61" customWidth="1"/>
    <col min="15362" max="15362" width="11.109375" style="61" customWidth="1"/>
    <col min="15363" max="15363" width="11" style="61" customWidth="1"/>
    <col min="15364" max="15364" width="10.109375" style="61" customWidth="1"/>
    <col min="15365" max="15365" width="13.5546875" style="61" customWidth="1"/>
    <col min="15366" max="15366" width="11.5546875" style="61" customWidth="1"/>
    <col min="15367" max="15367" width="10.88671875" style="61" customWidth="1"/>
    <col min="15368" max="15368" width="7.21875" style="61" customWidth="1"/>
    <col min="15369" max="15614" width="8.88671875" style="61"/>
    <col min="15615" max="15615" width="5.6640625" style="61" customWidth="1"/>
    <col min="15616" max="15616" width="10.6640625" style="61" customWidth="1"/>
    <col min="15617" max="15617" width="9.21875" style="61" customWidth="1"/>
    <col min="15618" max="15618" width="11.109375" style="61" customWidth="1"/>
    <col min="15619" max="15619" width="11" style="61" customWidth="1"/>
    <col min="15620" max="15620" width="10.109375" style="61" customWidth="1"/>
    <col min="15621" max="15621" width="13.5546875" style="61" customWidth="1"/>
    <col min="15622" max="15622" width="11.5546875" style="61" customWidth="1"/>
    <col min="15623" max="15623" width="10.88671875" style="61" customWidth="1"/>
    <col min="15624" max="15624" width="7.21875" style="61" customWidth="1"/>
    <col min="15625" max="15870" width="8.88671875" style="61"/>
    <col min="15871" max="15871" width="5.6640625" style="61" customWidth="1"/>
    <col min="15872" max="15872" width="10.6640625" style="61" customWidth="1"/>
    <col min="15873" max="15873" width="9.21875" style="61" customWidth="1"/>
    <col min="15874" max="15874" width="11.109375" style="61" customWidth="1"/>
    <col min="15875" max="15875" width="11" style="61" customWidth="1"/>
    <col min="15876" max="15876" width="10.109375" style="61" customWidth="1"/>
    <col min="15877" max="15877" width="13.5546875" style="61" customWidth="1"/>
    <col min="15878" max="15878" width="11.5546875" style="61" customWidth="1"/>
    <col min="15879" max="15879" width="10.88671875" style="61" customWidth="1"/>
    <col min="15880" max="15880" width="7.21875" style="61" customWidth="1"/>
    <col min="15881" max="16126" width="8.88671875" style="61"/>
    <col min="16127" max="16127" width="5.6640625" style="61" customWidth="1"/>
    <col min="16128" max="16128" width="10.6640625" style="61" customWidth="1"/>
    <col min="16129" max="16129" width="9.21875" style="61" customWidth="1"/>
    <col min="16130" max="16130" width="11.109375" style="61" customWidth="1"/>
    <col min="16131" max="16131" width="11" style="61" customWidth="1"/>
    <col min="16132" max="16132" width="10.109375" style="61" customWidth="1"/>
    <col min="16133" max="16133" width="13.5546875" style="61" customWidth="1"/>
    <col min="16134" max="16134" width="11.5546875" style="61" customWidth="1"/>
    <col min="16135" max="16135" width="10.88671875" style="61" customWidth="1"/>
    <col min="16136" max="16136" width="7.21875" style="61" customWidth="1"/>
    <col min="16137" max="16384" width="8.88671875" style="61"/>
  </cols>
  <sheetData>
    <row r="1" spans="1:254" x14ac:dyDescent="0.25">
      <c r="A1" s="54" t="s">
        <v>312</v>
      </c>
      <c r="B1" s="55"/>
      <c r="C1" s="56"/>
      <c r="D1" s="57"/>
      <c r="E1" s="57"/>
      <c r="G1" s="59"/>
      <c r="H1" s="59"/>
      <c r="I1" s="59"/>
    </row>
    <row r="2" spans="1:254" x14ac:dyDescent="0.25">
      <c r="A2" s="54" t="s">
        <v>313</v>
      </c>
      <c r="B2" s="55"/>
      <c r="C2" s="56"/>
      <c r="D2" s="57"/>
      <c r="E2" s="57"/>
      <c r="G2" s="59"/>
      <c r="H2" s="59"/>
      <c r="I2" s="59"/>
    </row>
    <row r="3" spans="1:254" x14ac:dyDescent="0.25">
      <c r="A3" s="55"/>
      <c r="B3" s="55"/>
      <c r="C3" s="56"/>
      <c r="D3" s="57"/>
      <c r="E3" s="57"/>
      <c r="G3" s="59"/>
      <c r="H3" s="59"/>
      <c r="I3" s="59"/>
    </row>
    <row r="4" spans="1:254" x14ac:dyDescent="0.25">
      <c r="A4" s="253" t="s">
        <v>314</v>
      </c>
      <c r="B4" s="253"/>
      <c r="C4" s="253"/>
      <c r="D4" s="253"/>
      <c r="E4" s="253"/>
      <c r="F4" s="253"/>
      <c r="G4" s="253"/>
      <c r="H4" s="253"/>
      <c r="I4" s="253"/>
      <c r="J4" s="253"/>
    </row>
    <row r="5" spans="1:254" x14ac:dyDescent="0.25">
      <c r="A5" s="256" t="s">
        <v>332</v>
      </c>
      <c r="B5" s="256"/>
      <c r="C5" s="256"/>
      <c r="D5" s="256"/>
      <c r="E5" s="256"/>
      <c r="F5" s="256"/>
      <c r="G5" s="256"/>
      <c r="H5" s="256"/>
      <c r="I5" s="256"/>
      <c r="J5" s="256"/>
    </row>
    <row r="6" spans="1:254" ht="31.5" x14ac:dyDescent="0.25">
      <c r="A6" s="62" t="s">
        <v>34</v>
      </c>
      <c r="B6" s="62" t="s">
        <v>22</v>
      </c>
      <c r="C6" s="63" t="s">
        <v>27</v>
      </c>
      <c r="D6" s="63" t="s">
        <v>315</v>
      </c>
      <c r="E6" s="63" t="s">
        <v>316</v>
      </c>
      <c r="F6" s="62" t="s">
        <v>284</v>
      </c>
      <c r="G6" s="64" t="s">
        <v>317</v>
      </c>
      <c r="H6" s="64" t="s">
        <v>318</v>
      </c>
      <c r="I6" s="64" t="s">
        <v>317</v>
      </c>
      <c r="J6" s="63" t="s">
        <v>319</v>
      </c>
    </row>
    <row r="7" spans="1:254" s="72" customFormat="1" ht="19.5" customHeight="1" x14ac:dyDescent="0.3">
      <c r="A7" s="65">
        <v>1</v>
      </c>
      <c r="B7" s="65" t="s">
        <v>55</v>
      </c>
      <c r="C7" s="65">
        <v>9</v>
      </c>
      <c r="D7" s="66">
        <v>158720</v>
      </c>
      <c r="E7" s="97">
        <f>+D7/1000</f>
        <v>158.72</v>
      </c>
      <c r="F7" s="66">
        <v>148645</v>
      </c>
      <c r="G7" s="66">
        <f>+E7*F7</f>
        <v>23592934.399999999</v>
      </c>
      <c r="H7" s="66">
        <v>1887435</v>
      </c>
      <c r="I7" s="66">
        <f>+G7+H7</f>
        <v>25480369.399999999</v>
      </c>
      <c r="J7" s="63"/>
      <c r="K7" s="98"/>
      <c r="L7" s="67"/>
      <c r="M7" s="68"/>
      <c r="N7" s="69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</row>
    <row r="8" spans="1:254" s="72" customFormat="1" ht="19.5" customHeight="1" x14ac:dyDescent="0.3">
      <c r="A8" s="65">
        <v>2</v>
      </c>
      <c r="B8" s="65" t="s">
        <v>143</v>
      </c>
      <c r="C8" s="65">
        <v>1</v>
      </c>
      <c r="D8" s="66">
        <v>18040</v>
      </c>
      <c r="E8" s="97">
        <f>+D8/1000</f>
        <v>18.04</v>
      </c>
      <c r="F8" s="66">
        <v>148645</v>
      </c>
      <c r="G8" s="66">
        <f>+E8*F8</f>
        <v>2681555.7999999998</v>
      </c>
      <c r="H8" s="66">
        <v>214524</v>
      </c>
      <c r="I8" s="66">
        <f>+G8+H8</f>
        <v>2896079.8</v>
      </c>
      <c r="J8" s="63"/>
      <c r="K8" s="98"/>
      <c r="L8" s="67"/>
      <c r="M8" s="68"/>
      <c r="N8" s="69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</row>
    <row r="9" spans="1:254" s="72" customFormat="1" ht="19.5" customHeight="1" x14ac:dyDescent="0.3">
      <c r="A9" s="65">
        <v>3</v>
      </c>
      <c r="B9" s="65" t="s">
        <v>71</v>
      </c>
      <c r="C9" s="65">
        <v>7</v>
      </c>
      <c r="D9" s="66">
        <v>132100</v>
      </c>
      <c r="E9" s="97">
        <f>+D9/1000</f>
        <v>132.1</v>
      </c>
      <c r="F9" s="66">
        <v>148645</v>
      </c>
      <c r="G9" s="66">
        <f>+E9*F9</f>
        <v>19636004.5</v>
      </c>
      <c r="H9" s="66">
        <v>1570880</v>
      </c>
      <c r="I9" s="66">
        <f>+G9+H9</f>
        <v>21206884.5</v>
      </c>
      <c r="J9" s="63"/>
      <c r="K9" s="98"/>
      <c r="L9" s="67"/>
      <c r="M9" s="68"/>
      <c r="N9" s="6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</row>
    <row r="10" spans="1:254" s="72" customFormat="1" ht="24.75" customHeight="1" x14ac:dyDescent="0.3">
      <c r="A10" s="257" t="s">
        <v>320</v>
      </c>
      <c r="B10" s="257"/>
      <c r="C10" s="74">
        <f>SUM(C7:C9)</f>
        <v>17</v>
      </c>
      <c r="D10" s="75">
        <f>SUM(D7:D9)</f>
        <v>308860</v>
      </c>
      <c r="E10" s="76">
        <f>SUM(E7:E9)</f>
        <v>308.86</v>
      </c>
      <c r="F10" s="65"/>
      <c r="G10" s="73">
        <f>SUM(G7:G9)</f>
        <v>45910494.700000003</v>
      </c>
      <c r="H10" s="73">
        <f>SUM(H7:H9)</f>
        <v>3672839</v>
      </c>
      <c r="I10" s="73">
        <f>ROUND(G10+H10,0)</f>
        <v>49583334</v>
      </c>
      <c r="J10" s="77"/>
      <c r="K10" s="9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9"/>
    </row>
    <row r="11" spans="1:254" s="72" customFormat="1" ht="24.75" customHeight="1" x14ac:dyDescent="0.3">
      <c r="A11" s="258" t="s">
        <v>321</v>
      </c>
      <c r="B11" s="258"/>
      <c r="C11" s="258" t="e">
        <f ca="1">[1]!vnd(I10)&amp;" đồng y ./."</f>
        <v>#NAME?</v>
      </c>
      <c r="D11" s="258"/>
      <c r="E11" s="258"/>
      <c r="F11" s="258"/>
      <c r="G11" s="258"/>
      <c r="H11" s="258"/>
      <c r="I11" s="258"/>
      <c r="J11" s="80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/>
      <c r="GT11" s="71"/>
      <c r="GU11" s="71"/>
      <c r="GV11" s="71"/>
      <c r="GW11" s="71"/>
      <c r="GX11" s="71"/>
      <c r="GY11" s="71"/>
      <c r="GZ11" s="71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  <c r="HL11" s="71"/>
      <c r="HM11" s="71"/>
      <c r="HN11" s="71"/>
      <c r="HO11" s="71"/>
      <c r="HP11" s="71"/>
      <c r="HQ11" s="71"/>
      <c r="HR11" s="71"/>
      <c r="HS11" s="71"/>
      <c r="HT11" s="71"/>
      <c r="HU11" s="71"/>
      <c r="HV11" s="71"/>
      <c r="HW11" s="71"/>
      <c r="HX11" s="71"/>
      <c r="HY11" s="71"/>
      <c r="HZ11" s="71"/>
      <c r="IA11" s="71"/>
      <c r="IB11" s="71"/>
      <c r="IC11" s="71"/>
      <c r="ID11" s="71"/>
      <c r="IE11" s="71"/>
      <c r="IF11" s="71"/>
      <c r="IG11" s="71"/>
      <c r="IH11" s="71"/>
      <c r="II11" s="71"/>
      <c r="IJ11" s="71"/>
      <c r="IK11" s="71"/>
      <c r="IL11" s="71"/>
      <c r="IM11" s="71"/>
      <c r="IN11" s="71"/>
      <c r="IO11" s="71"/>
      <c r="IP11" s="71"/>
      <c r="IQ11" s="71"/>
      <c r="IR11" s="71"/>
      <c r="IS11" s="71"/>
    </row>
    <row r="12" spans="1:254" x14ac:dyDescent="0.25">
      <c r="A12" s="81"/>
      <c r="B12" s="81"/>
      <c r="C12" s="81"/>
      <c r="D12" s="82"/>
      <c r="E12" s="82"/>
      <c r="F12" s="82"/>
      <c r="G12" s="255" t="s">
        <v>322</v>
      </c>
      <c r="H12" s="255"/>
      <c r="I12" s="255"/>
      <c r="J12" s="255"/>
    </row>
    <row r="13" spans="1:254" x14ac:dyDescent="0.25">
      <c r="A13" s="252" t="s">
        <v>323</v>
      </c>
      <c r="B13" s="252"/>
      <c r="C13" s="252"/>
      <c r="D13" s="252"/>
      <c r="E13" s="252"/>
      <c r="F13" s="252"/>
      <c r="G13" s="253" t="s">
        <v>312</v>
      </c>
      <c r="H13" s="253"/>
      <c r="I13" s="253"/>
      <c r="J13" s="25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</row>
    <row r="14" spans="1:254" x14ac:dyDescent="0.25">
      <c r="A14" s="84"/>
      <c r="B14" s="253" t="s">
        <v>324</v>
      </c>
      <c r="C14" s="253"/>
      <c r="D14" s="251" t="s">
        <v>325</v>
      </c>
      <c r="E14" s="251"/>
      <c r="G14" s="251" t="s">
        <v>326</v>
      </c>
      <c r="H14" s="251"/>
      <c r="I14" s="253" t="s">
        <v>325</v>
      </c>
      <c r="J14" s="25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</row>
    <row r="15" spans="1:254" x14ac:dyDescent="0.25">
      <c r="A15" s="86"/>
      <c r="B15" s="86"/>
      <c r="C15" s="87"/>
      <c r="D15" s="88"/>
      <c r="E15" s="88"/>
      <c r="F15" s="88"/>
      <c r="G15" s="88"/>
      <c r="H15" s="59"/>
      <c r="I15" s="59"/>
      <c r="J15" s="86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</row>
    <row r="16" spans="1:254" x14ac:dyDescent="0.25">
      <c r="A16" s="86"/>
      <c r="B16" s="86"/>
      <c r="C16" s="87"/>
      <c r="D16" s="88"/>
      <c r="E16" s="88"/>
      <c r="F16" s="88"/>
      <c r="G16" s="88"/>
      <c r="H16" s="59"/>
      <c r="I16" s="59"/>
      <c r="J16" s="86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</row>
    <row r="17" spans="1:253" x14ac:dyDescent="0.25">
      <c r="A17" s="86"/>
      <c r="B17" s="89"/>
      <c r="C17" s="87"/>
      <c r="D17" s="88"/>
      <c r="E17" s="88"/>
      <c r="F17" s="88"/>
      <c r="G17" s="88"/>
      <c r="H17" s="59"/>
      <c r="I17" s="59"/>
      <c r="J17" s="86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  <c r="HZ17" s="83"/>
      <c r="IA17" s="83"/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/>
      <c r="IN17" s="83"/>
      <c r="IO17" s="83"/>
      <c r="IP17" s="83"/>
      <c r="IQ17" s="83"/>
      <c r="IR17" s="83"/>
      <c r="IS17" s="83"/>
    </row>
    <row r="18" spans="1:253" x14ac:dyDescent="0.25">
      <c r="A18" s="86"/>
      <c r="B18" s="253"/>
      <c r="C18" s="253"/>
      <c r="F18" s="88"/>
      <c r="G18" s="88"/>
      <c r="H18" s="59"/>
      <c r="I18" s="59"/>
      <c r="J18" s="86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</row>
    <row r="19" spans="1:253" x14ac:dyDescent="0.25">
      <c r="A19" s="90"/>
      <c r="B19" s="253" t="s">
        <v>327</v>
      </c>
      <c r="C19" s="253"/>
      <c r="D19" s="251" t="s">
        <v>328</v>
      </c>
      <c r="E19" s="251"/>
      <c r="F19" s="85"/>
      <c r="G19" s="251" t="s">
        <v>329</v>
      </c>
      <c r="H19" s="251"/>
      <c r="I19" s="254" t="s">
        <v>330</v>
      </c>
      <c r="J19" s="254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  <c r="FS19" s="91"/>
      <c r="FT19" s="91"/>
      <c r="FU19" s="91"/>
      <c r="FV19" s="91"/>
      <c r="FW19" s="91"/>
      <c r="FX19" s="91"/>
      <c r="FY19" s="91"/>
      <c r="FZ19" s="91"/>
      <c r="GA19" s="91"/>
      <c r="GB19" s="91"/>
      <c r="GC19" s="91"/>
      <c r="GD19" s="91"/>
      <c r="GE19" s="91"/>
      <c r="GF19" s="91"/>
      <c r="GG19" s="91"/>
      <c r="GH19" s="91"/>
      <c r="GI19" s="91"/>
      <c r="GJ19" s="91"/>
      <c r="GK19" s="91"/>
      <c r="GL19" s="91"/>
      <c r="GM19" s="91"/>
      <c r="GN19" s="91"/>
      <c r="GO19" s="91"/>
      <c r="GP19" s="91"/>
      <c r="GQ19" s="91"/>
      <c r="GR19" s="91"/>
      <c r="GS19" s="91"/>
      <c r="GT19" s="91"/>
      <c r="GU19" s="91"/>
      <c r="GV19" s="91"/>
      <c r="GW19" s="91"/>
      <c r="GX19" s="91"/>
      <c r="GY19" s="91"/>
      <c r="GZ19" s="91"/>
      <c r="HA19" s="91"/>
      <c r="HB19" s="91"/>
      <c r="HC19" s="91"/>
      <c r="HD19" s="91"/>
      <c r="HE19" s="91"/>
      <c r="HF19" s="91"/>
      <c r="HG19" s="91"/>
      <c r="HH19" s="91"/>
      <c r="HI19" s="91"/>
      <c r="HJ19" s="91"/>
      <c r="HK19" s="91"/>
      <c r="HL19" s="91"/>
      <c r="HM19" s="91"/>
      <c r="HN19" s="91"/>
      <c r="HO19" s="91"/>
      <c r="HP19" s="91"/>
      <c r="HQ19" s="91"/>
      <c r="HR19" s="91"/>
      <c r="HS19" s="91"/>
      <c r="HT19" s="91"/>
      <c r="HU19" s="91"/>
      <c r="HV19" s="91"/>
      <c r="HW19" s="91"/>
      <c r="HX19" s="91"/>
      <c r="HY19" s="91"/>
      <c r="HZ19" s="91"/>
      <c r="IA19" s="91"/>
      <c r="IB19" s="91"/>
      <c r="IC19" s="91"/>
      <c r="ID19" s="91"/>
      <c r="IE19" s="91"/>
      <c r="IF19" s="91"/>
      <c r="IG19" s="91"/>
      <c r="IH19" s="91"/>
      <c r="II19" s="91"/>
      <c r="IJ19" s="91"/>
      <c r="IK19" s="91"/>
      <c r="IL19" s="91"/>
      <c r="IM19" s="91"/>
      <c r="IN19" s="91"/>
      <c r="IO19" s="91"/>
      <c r="IP19" s="91"/>
      <c r="IQ19" s="91"/>
      <c r="IR19" s="91"/>
      <c r="IS19" s="91"/>
    </row>
    <row r="20" spans="1:253" x14ac:dyDescent="0.25">
      <c r="B20" s="55"/>
      <c r="C20" s="87"/>
      <c r="E20" s="251"/>
      <c r="F20" s="251"/>
      <c r="H20" s="59"/>
      <c r="I20" s="59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3"/>
      <c r="IQ20" s="83"/>
      <c r="IR20" s="83"/>
      <c r="IS20" s="83"/>
    </row>
    <row r="21" spans="1:253" x14ac:dyDescent="0.25">
      <c r="B21" s="55"/>
      <c r="C21" s="87"/>
      <c r="H21" s="59"/>
      <c r="I21" s="59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</row>
    <row r="22" spans="1:253" x14ac:dyDescent="0.25">
      <c r="A22" s="83"/>
      <c r="B22" s="92"/>
      <c r="C22" s="93"/>
      <c r="D22" s="94"/>
      <c r="E22" s="94"/>
      <c r="F22" s="94"/>
      <c r="G22" s="94"/>
      <c r="H22" s="94"/>
      <c r="I22" s="94"/>
      <c r="J22" s="95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3"/>
      <c r="IQ22" s="83"/>
      <c r="IR22" s="83"/>
      <c r="IS22" s="83"/>
    </row>
    <row r="23" spans="1:253" x14ac:dyDescent="0.25">
      <c r="A23" s="83"/>
      <c r="B23" s="92"/>
      <c r="C23" s="93"/>
      <c r="D23" s="94"/>
      <c r="E23" s="94"/>
      <c r="F23" s="94"/>
      <c r="G23" s="94"/>
      <c r="H23" s="94"/>
      <c r="I23" s="94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3"/>
      <c r="IQ23" s="83"/>
      <c r="IR23" s="83"/>
      <c r="IS23" s="83"/>
    </row>
    <row r="24" spans="1:253" x14ac:dyDescent="0.25">
      <c r="A24" s="83"/>
      <c r="B24" s="92"/>
      <c r="C24" s="93"/>
      <c r="D24" s="94"/>
      <c r="E24" s="94" t="s">
        <v>331</v>
      </c>
      <c r="F24" s="94"/>
      <c r="G24" s="94"/>
      <c r="H24" s="94"/>
      <c r="I24" s="94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/>
      <c r="HN24" s="83"/>
      <c r="HO24" s="83"/>
      <c r="HP24" s="83"/>
      <c r="HQ24" s="83"/>
      <c r="HR24" s="83"/>
      <c r="HS24" s="83"/>
      <c r="HT24" s="83"/>
      <c r="HU24" s="83"/>
      <c r="HV24" s="83"/>
      <c r="HW24" s="83"/>
      <c r="HX24" s="83"/>
      <c r="HY24" s="83"/>
      <c r="HZ24" s="83"/>
      <c r="IA24" s="83"/>
      <c r="IB24" s="83"/>
      <c r="IC24" s="83"/>
      <c r="ID24" s="83"/>
      <c r="IE24" s="83"/>
      <c r="IF24" s="83"/>
      <c r="IG24" s="83"/>
      <c r="IH24" s="83"/>
      <c r="II24" s="83"/>
      <c r="IJ24" s="83"/>
      <c r="IK24" s="83"/>
      <c r="IL24" s="83"/>
      <c r="IM24" s="83"/>
      <c r="IN24" s="83"/>
      <c r="IO24" s="83"/>
      <c r="IP24" s="83"/>
      <c r="IQ24" s="83"/>
      <c r="IR24" s="83"/>
      <c r="IS24" s="83"/>
    </row>
    <row r="25" spans="1:253" x14ac:dyDescent="0.25">
      <c r="A25" s="83"/>
      <c r="B25" s="92"/>
      <c r="C25" s="93"/>
      <c r="D25" s="94"/>
      <c r="E25" s="94"/>
      <c r="F25" s="94"/>
      <c r="G25" s="94"/>
      <c r="H25" s="94"/>
      <c r="I25" s="94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  <c r="HP25" s="83"/>
      <c r="HQ25" s="83"/>
      <c r="HR25" s="83"/>
      <c r="HS25" s="83"/>
      <c r="HT25" s="83"/>
      <c r="HU25" s="83"/>
      <c r="HV25" s="83"/>
      <c r="HW25" s="83"/>
      <c r="HX25" s="83"/>
      <c r="HY25" s="83"/>
      <c r="HZ25" s="83"/>
      <c r="IA25" s="83"/>
      <c r="IB25" s="83"/>
      <c r="IC25" s="83"/>
      <c r="ID25" s="83"/>
      <c r="IE25" s="83"/>
      <c r="IF25" s="83"/>
      <c r="IG25" s="83"/>
      <c r="IH25" s="83"/>
      <c r="II25" s="83"/>
      <c r="IJ25" s="83"/>
      <c r="IK25" s="83"/>
      <c r="IL25" s="83"/>
      <c r="IM25" s="83"/>
      <c r="IN25" s="83"/>
      <c r="IO25" s="83"/>
      <c r="IP25" s="83"/>
      <c r="IQ25" s="83"/>
      <c r="IR25" s="83"/>
      <c r="IS25" s="83"/>
    </row>
    <row r="26" spans="1:253" x14ac:dyDescent="0.25">
      <c r="C26" s="56"/>
      <c r="D26" s="57"/>
      <c r="E26" s="57"/>
      <c r="G26" s="59"/>
      <c r="H26" s="59"/>
      <c r="I26" s="59"/>
    </row>
    <row r="27" spans="1:253" x14ac:dyDescent="0.25">
      <c r="C27" s="56"/>
      <c r="D27" s="57"/>
      <c r="E27" s="57"/>
      <c r="G27" s="59"/>
      <c r="H27" s="59"/>
      <c r="I27" s="59"/>
    </row>
    <row r="28" spans="1:253" x14ac:dyDescent="0.25">
      <c r="C28" s="56"/>
      <c r="D28" s="57"/>
      <c r="E28" s="57"/>
      <c r="G28" s="59"/>
      <c r="H28" s="59"/>
      <c r="I28" s="59"/>
    </row>
    <row r="29" spans="1:253" x14ac:dyDescent="0.25">
      <c r="C29" s="56"/>
      <c r="D29" s="57"/>
      <c r="E29" s="57"/>
      <c r="G29" s="59"/>
      <c r="H29" s="59"/>
      <c r="I29" s="59"/>
    </row>
    <row r="30" spans="1:253" x14ac:dyDescent="0.25">
      <c r="C30" s="56"/>
      <c r="D30" s="57"/>
      <c r="E30" s="57"/>
      <c r="G30" s="59"/>
      <c r="H30" s="59"/>
      <c r="I30" s="59"/>
    </row>
    <row r="31" spans="1:253" x14ac:dyDescent="0.25">
      <c r="A31" s="61"/>
      <c r="B31" s="61"/>
      <c r="C31" s="56"/>
      <c r="D31" s="57"/>
      <c r="E31" s="57"/>
      <c r="G31" s="59"/>
      <c r="H31" s="59"/>
      <c r="I31" s="59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</row>
    <row r="32" spans="1:253" x14ac:dyDescent="0.25">
      <c r="A32" s="61"/>
      <c r="B32" s="61"/>
      <c r="C32" s="56"/>
      <c r="D32" s="57"/>
      <c r="E32" s="57"/>
      <c r="G32" s="59"/>
      <c r="H32" s="59"/>
      <c r="I32" s="59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</row>
    <row r="33" spans="3:9" s="61" customFormat="1" x14ac:dyDescent="0.25">
      <c r="C33" s="56"/>
      <c r="D33" s="57"/>
      <c r="E33" s="57"/>
      <c r="F33" s="58"/>
      <c r="G33" s="59"/>
      <c r="H33" s="59"/>
      <c r="I33" s="59"/>
    </row>
    <row r="34" spans="3:9" s="61" customFormat="1" x14ac:dyDescent="0.25">
      <c r="C34" s="56"/>
      <c r="D34" s="57"/>
      <c r="E34" s="57"/>
      <c r="F34" s="58"/>
      <c r="G34" s="59"/>
      <c r="H34" s="59"/>
      <c r="I34" s="59"/>
    </row>
  </sheetData>
  <mergeCells count="18">
    <mergeCell ref="G12:J12"/>
    <mergeCell ref="A4:J4"/>
    <mergeCell ref="A5:J5"/>
    <mergeCell ref="A10:B10"/>
    <mergeCell ref="A11:B11"/>
    <mergeCell ref="C11:I11"/>
    <mergeCell ref="E20:F20"/>
    <mergeCell ref="A13:F13"/>
    <mergeCell ref="G13:J13"/>
    <mergeCell ref="B14:C14"/>
    <mergeCell ref="D14:E14"/>
    <mergeCell ref="G14:H14"/>
    <mergeCell ref="I14:J14"/>
    <mergeCell ref="B18:C18"/>
    <mergeCell ref="B19:C19"/>
    <mergeCell ref="D19:E19"/>
    <mergeCell ref="G19:H19"/>
    <mergeCell ref="I19:J19"/>
  </mergeCells>
  <pageMargins left="0.37" right="0.19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A29D-1131-4E36-AC44-CB47A259051B}">
  <sheetPr>
    <pageSetUpPr fitToPage="1"/>
  </sheetPr>
  <dimension ref="A1:J50"/>
  <sheetViews>
    <sheetView topLeftCell="A40" zoomScaleNormal="100" workbookViewId="0">
      <selection activeCell="C49" sqref="C49:D49"/>
    </sheetView>
  </sheetViews>
  <sheetFormatPr defaultRowHeight="16.5" x14ac:dyDescent="0.25"/>
  <cols>
    <col min="1" max="1" width="13.109375" style="130" customWidth="1"/>
    <col min="2" max="2" width="13.21875" style="130" hidden="1" customWidth="1"/>
    <col min="3" max="3" width="19.44140625" style="130" customWidth="1"/>
    <col min="4" max="4" width="12.33203125" style="130" customWidth="1"/>
    <col min="5" max="5" width="14.44140625" style="130" customWidth="1"/>
    <col min="6" max="6" width="10.88671875" style="130" customWidth="1"/>
    <col min="7" max="7" width="14.88671875" style="130" customWidth="1"/>
    <col min="8" max="8" width="14.33203125" style="130" customWidth="1"/>
    <col min="9" max="16384" width="8.88671875" style="130"/>
  </cols>
  <sheetData>
    <row r="1" spans="1:8" ht="33.75" customHeight="1" x14ac:dyDescent="0.25">
      <c r="A1" s="261" t="s">
        <v>838</v>
      </c>
      <c r="B1" s="261"/>
      <c r="C1" s="261"/>
      <c r="D1" s="261"/>
      <c r="E1" s="261"/>
      <c r="F1" s="261"/>
      <c r="G1" s="261"/>
      <c r="H1" s="261"/>
    </row>
    <row r="2" spans="1:8" x14ac:dyDescent="0.25">
      <c r="A2" s="140" t="s">
        <v>15</v>
      </c>
      <c r="B2" s="141" t="s">
        <v>21</v>
      </c>
      <c r="C2" s="142" t="s">
        <v>22</v>
      </c>
      <c r="D2" s="142" t="s">
        <v>16</v>
      </c>
      <c r="E2" s="142" t="s">
        <v>18</v>
      </c>
      <c r="F2" s="142" t="s">
        <v>19</v>
      </c>
      <c r="G2" s="142" t="s">
        <v>20</v>
      </c>
      <c r="H2" s="143" t="s">
        <v>24</v>
      </c>
    </row>
    <row r="3" spans="1:8" ht="22.5" customHeight="1" x14ac:dyDescent="0.25">
      <c r="A3" s="144">
        <v>46134</v>
      </c>
      <c r="B3" s="99" t="s">
        <v>520</v>
      </c>
      <c r="C3" s="145" t="s">
        <v>822</v>
      </c>
      <c r="D3" s="99" t="s">
        <v>334</v>
      </c>
      <c r="E3" s="146">
        <v>281</v>
      </c>
      <c r="F3" s="99">
        <v>32960</v>
      </c>
      <c r="G3" s="100">
        <v>46126</v>
      </c>
      <c r="H3" s="147" t="s">
        <v>527</v>
      </c>
    </row>
    <row r="4" spans="1:8" ht="22.5" customHeight="1" x14ac:dyDescent="0.25">
      <c r="A4" s="144">
        <v>46134</v>
      </c>
      <c r="B4" s="99" t="s">
        <v>520</v>
      </c>
      <c r="C4" s="145" t="s">
        <v>823</v>
      </c>
      <c r="D4" s="99" t="s">
        <v>334</v>
      </c>
      <c r="E4" s="146">
        <v>295</v>
      </c>
      <c r="F4" s="99">
        <v>32960</v>
      </c>
      <c r="G4" s="100">
        <v>46126</v>
      </c>
      <c r="H4" s="147" t="s">
        <v>527</v>
      </c>
    </row>
    <row r="5" spans="1:8" ht="22.5" customHeight="1" x14ac:dyDescent="0.25">
      <c r="A5" s="144">
        <v>46134</v>
      </c>
      <c r="B5" s="99" t="s">
        <v>520</v>
      </c>
      <c r="C5" s="145" t="s">
        <v>824</v>
      </c>
      <c r="D5" s="99" t="s">
        <v>334</v>
      </c>
      <c r="E5" s="146">
        <v>372</v>
      </c>
      <c r="F5" s="99">
        <v>32960</v>
      </c>
      <c r="G5" s="100">
        <v>46126</v>
      </c>
      <c r="H5" s="147" t="s">
        <v>527</v>
      </c>
    </row>
    <row r="6" spans="1:8" ht="22.5" customHeight="1" x14ac:dyDescent="0.25">
      <c r="A6" s="144">
        <v>46134</v>
      </c>
      <c r="B6" s="99" t="s">
        <v>520</v>
      </c>
      <c r="C6" s="145" t="s">
        <v>825</v>
      </c>
      <c r="D6" s="99" t="s">
        <v>334</v>
      </c>
      <c r="E6" s="146">
        <v>381</v>
      </c>
      <c r="F6" s="99">
        <v>32960</v>
      </c>
      <c r="G6" s="100">
        <v>46126</v>
      </c>
      <c r="H6" s="147" t="s">
        <v>527</v>
      </c>
    </row>
    <row r="7" spans="1:8" ht="22.5" customHeight="1" x14ac:dyDescent="0.25">
      <c r="A7" s="144">
        <v>46134</v>
      </c>
      <c r="B7" s="99" t="s">
        <v>520</v>
      </c>
      <c r="C7" s="145" t="s">
        <v>526</v>
      </c>
      <c r="D7" s="99" t="s">
        <v>334</v>
      </c>
      <c r="E7" s="146">
        <v>355</v>
      </c>
      <c r="F7" s="99">
        <v>32960</v>
      </c>
      <c r="G7" s="100">
        <v>46126</v>
      </c>
      <c r="H7" s="147" t="s">
        <v>527</v>
      </c>
    </row>
    <row r="8" spans="1:8" ht="22.5" customHeight="1" x14ac:dyDescent="0.25">
      <c r="A8" s="144">
        <v>46134</v>
      </c>
      <c r="B8" s="99" t="s">
        <v>520</v>
      </c>
      <c r="C8" s="145" t="s">
        <v>826</v>
      </c>
      <c r="D8" s="99" t="s">
        <v>334</v>
      </c>
      <c r="E8" s="146">
        <v>308</v>
      </c>
      <c r="F8" s="99">
        <v>32960</v>
      </c>
      <c r="G8" s="100">
        <v>46126</v>
      </c>
      <c r="H8" s="147" t="s">
        <v>527</v>
      </c>
    </row>
    <row r="9" spans="1:8" ht="22.5" customHeight="1" x14ac:dyDescent="0.25">
      <c r="A9" s="144">
        <v>46134</v>
      </c>
      <c r="B9" s="99" t="s">
        <v>520</v>
      </c>
      <c r="C9" s="145" t="s">
        <v>523</v>
      </c>
      <c r="D9" s="99" t="s">
        <v>334</v>
      </c>
      <c r="E9" s="146">
        <v>361</v>
      </c>
      <c r="F9" s="99">
        <v>32960</v>
      </c>
      <c r="G9" s="100">
        <v>46126</v>
      </c>
      <c r="H9" s="147" t="s">
        <v>527</v>
      </c>
    </row>
    <row r="10" spans="1:8" ht="22.5" customHeight="1" x14ac:dyDescent="0.25">
      <c r="A10" s="144">
        <v>46134</v>
      </c>
      <c r="B10" s="99" t="s">
        <v>520</v>
      </c>
      <c r="C10" s="145" t="s">
        <v>524</v>
      </c>
      <c r="D10" s="99" t="s">
        <v>334</v>
      </c>
      <c r="E10" s="146">
        <v>390</v>
      </c>
      <c r="F10" s="99">
        <v>32960</v>
      </c>
      <c r="G10" s="100">
        <v>46126</v>
      </c>
      <c r="H10" s="147" t="s">
        <v>527</v>
      </c>
    </row>
    <row r="11" spans="1:8" ht="22.5" customHeight="1" x14ac:dyDescent="0.25">
      <c r="A11" s="144">
        <v>46134</v>
      </c>
      <c r="B11" s="99" t="s">
        <v>520</v>
      </c>
      <c r="C11" s="145" t="s">
        <v>827</v>
      </c>
      <c r="D11" s="99" t="s">
        <v>334</v>
      </c>
      <c r="E11" s="146">
        <v>330</v>
      </c>
      <c r="F11" s="99">
        <v>32960</v>
      </c>
      <c r="G11" s="100">
        <v>46126</v>
      </c>
      <c r="H11" s="147" t="s">
        <v>527</v>
      </c>
    </row>
    <row r="12" spans="1:8" ht="22.5" customHeight="1" x14ac:dyDescent="0.25">
      <c r="A12" s="144">
        <v>46134</v>
      </c>
      <c r="B12" s="99" t="s">
        <v>520</v>
      </c>
      <c r="C12" s="145" t="s">
        <v>525</v>
      </c>
      <c r="D12" s="99" t="s">
        <v>334</v>
      </c>
      <c r="E12" s="146">
        <v>311</v>
      </c>
      <c r="F12" s="99">
        <v>32960</v>
      </c>
      <c r="G12" s="100">
        <v>46126</v>
      </c>
      <c r="H12" s="147" t="s">
        <v>527</v>
      </c>
    </row>
    <row r="13" spans="1:8" ht="22.5" customHeight="1" x14ac:dyDescent="0.25">
      <c r="A13" s="144">
        <v>46135</v>
      </c>
      <c r="B13" s="99" t="s">
        <v>520</v>
      </c>
      <c r="C13" s="145" t="s">
        <v>823</v>
      </c>
      <c r="D13" s="99" t="s">
        <v>334</v>
      </c>
      <c r="E13" s="146">
        <v>297</v>
      </c>
      <c r="F13" s="99">
        <v>32960</v>
      </c>
      <c r="G13" s="100">
        <v>46126</v>
      </c>
      <c r="H13" s="147" t="s">
        <v>527</v>
      </c>
    </row>
    <row r="14" spans="1:8" ht="22.5" customHeight="1" x14ac:dyDescent="0.25">
      <c r="A14" s="144">
        <v>46135</v>
      </c>
      <c r="B14" s="99" t="s">
        <v>520</v>
      </c>
      <c r="C14" s="145" t="s">
        <v>824</v>
      </c>
      <c r="D14" s="99" t="s">
        <v>334</v>
      </c>
      <c r="E14" s="146">
        <v>243</v>
      </c>
      <c r="F14" s="99">
        <v>32960</v>
      </c>
      <c r="G14" s="100">
        <v>46126</v>
      </c>
      <c r="H14" s="147" t="s">
        <v>527</v>
      </c>
    </row>
    <row r="15" spans="1:8" ht="22.5" customHeight="1" x14ac:dyDescent="0.25">
      <c r="A15" s="144">
        <v>46135</v>
      </c>
      <c r="B15" s="99" t="s">
        <v>520</v>
      </c>
      <c r="C15" s="145" t="s">
        <v>822</v>
      </c>
      <c r="D15" s="99" t="s">
        <v>334</v>
      </c>
      <c r="E15" s="146">
        <v>301</v>
      </c>
      <c r="F15" s="99">
        <v>32960</v>
      </c>
      <c r="G15" s="100">
        <v>46126</v>
      </c>
      <c r="H15" s="147" t="s">
        <v>527</v>
      </c>
    </row>
    <row r="16" spans="1:8" ht="22.5" customHeight="1" x14ac:dyDescent="0.25">
      <c r="A16" s="144">
        <v>46135</v>
      </c>
      <c r="B16" s="99" t="s">
        <v>520</v>
      </c>
      <c r="C16" s="145" t="s">
        <v>826</v>
      </c>
      <c r="D16" s="99" t="s">
        <v>334</v>
      </c>
      <c r="E16" s="146">
        <v>258</v>
      </c>
      <c r="F16" s="99">
        <v>32960</v>
      </c>
      <c r="G16" s="100">
        <v>46126</v>
      </c>
      <c r="H16" s="147" t="s">
        <v>527</v>
      </c>
    </row>
    <row r="17" spans="1:8" ht="22.5" customHeight="1" x14ac:dyDescent="0.25">
      <c r="A17" s="144">
        <v>46136</v>
      </c>
      <c r="B17" s="99" t="s">
        <v>520</v>
      </c>
      <c r="C17" s="145" t="s">
        <v>526</v>
      </c>
      <c r="D17" s="99" t="s">
        <v>334</v>
      </c>
      <c r="E17" s="146">
        <v>389</v>
      </c>
      <c r="F17" s="99">
        <v>32960</v>
      </c>
      <c r="G17" s="100">
        <v>46126</v>
      </c>
      <c r="H17" s="147" t="s">
        <v>527</v>
      </c>
    </row>
    <row r="18" spans="1:8" ht="22.5" customHeight="1" x14ac:dyDescent="0.25">
      <c r="A18" s="144">
        <v>46136</v>
      </c>
      <c r="B18" s="99" t="s">
        <v>520</v>
      </c>
      <c r="C18" s="145" t="s">
        <v>523</v>
      </c>
      <c r="D18" s="99" t="s">
        <v>334</v>
      </c>
      <c r="E18" s="146">
        <v>361</v>
      </c>
      <c r="F18" s="99">
        <v>32960</v>
      </c>
      <c r="G18" s="100">
        <v>46126</v>
      </c>
      <c r="H18" s="147" t="s">
        <v>527</v>
      </c>
    </row>
    <row r="19" spans="1:8" ht="22.5" customHeight="1" x14ac:dyDescent="0.25">
      <c r="A19" s="144">
        <v>46136</v>
      </c>
      <c r="B19" s="99" t="s">
        <v>520</v>
      </c>
      <c r="C19" s="145" t="s">
        <v>825</v>
      </c>
      <c r="D19" s="99" t="s">
        <v>334</v>
      </c>
      <c r="E19" s="146">
        <v>451</v>
      </c>
      <c r="F19" s="99">
        <v>32960</v>
      </c>
      <c r="G19" s="100">
        <v>46126</v>
      </c>
      <c r="H19" s="147" t="s">
        <v>527</v>
      </c>
    </row>
    <row r="20" spans="1:8" ht="22.5" customHeight="1" x14ac:dyDescent="0.25">
      <c r="A20" s="144">
        <v>46136</v>
      </c>
      <c r="B20" s="99" t="s">
        <v>520</v>
      </c>
      <c r="C20" s="145" t="s">
        <v>524</v>
      </c>
      <c r="D20" s="99" t="s">
        <v>334</v>
      </c>
      <c r="E20" s="146">
        <v>431</v>
      </c>
      <c r="F20" s="99">
        <v>32960</v>
      </c>
      <c r="G20" s="100">
        <v>46126</v>
      </c>
      <c r="H20" s="147" t="s">
        <v>527</v>
      </c>
    </row>
    <row r="21" spans="1:8" ht="22.5" customHeight="1" x14ac:dyDescent="0.25">
      <c r="A21" s="148">
        <v>46136</v>
      </c>
      <c r="B21" s="99" t="s">
        <v>520</v>
      </c>
      <c r="C21" s="145" t="s">
        <v>827</v>
      </c>
      <c r="D21" s="99" t="s">
        <v>334</v>
      </c>
      <c r="E21" s="146">
        <v>406</v>
      </c>
      <c r="F21" s="99">
        <v>32960</v>
      </c>
      <c r="G21" s="100">
        <v>46126</v>
      </c>
      <c r="H21" s="147" t="s">
        <v>527</v>
      </c>
    </row>
    <row r="22" spans="1:8" ht="22.5" customHeight="1" x14ac:dyDescent="0.25">
      <c r="A22" s="148">
        <v>46136</v>
      </c>
      <c r="B22" s="99" t="s">
        <v>520</v>
      </c>
      <c r="C22" s="145" t="s">
        <v>525</v>
      </c>
      <c r="D22" s="99" t="s">
        <v>334</v>
      </c>
      <c r="E22" s="146">
        <v>415</v>
      </c>
      <c r="F22" s="99">
        <v>32960</v>
      </c>
      <c r="G22" s="100">
        <v>46126</v>
      </c>
      <c r="H22" s="147" t="s">
        <v>527</v>
      </c>
    </row>
    <row r="23" spans="1:8" ht="22.5" customHeight="1" x14ac:dyDescent="0.25">
      <c r="A23" s="148">
        <v>46136</v>
      </c>
      <c r="B23" s="99" t="s">
        <v>520</v>
      </c>
      <c r="C23" s="145" t="s">
        <v>822</v>
      </c>
      <c r="D23" s="99" t="s">
        <v>334</v>
      </c>
      <c r="E23" s="146">
        <v>247</v>
      </c>
      <c r="F23" s="99">
        <v>32960</v>
      </c>
      <c r="G23" s="100">
        <v>46126</v>
      </c>
      <c r="H23" s="147" t="s">
        <v>527</v>
      </c>
    </row>
    <row r="24" spans="1:8" ht="22.5" customHeight="1" x14ac:dyDescent="0.25">
      <c r="A24" s="148">
        <v>46136</v>
      </c>
      <c r="B24" s="99" t="s">
        <v>520</v>
      </c>
      <c r="C24" s="145" t="s">
        <v>826</v>
      </c>
      <c r="D24" s="99" t="s">
        <v>334</v>
      </c>
      <c r="E24" s="146">
        <v>259</v>
      </c>
      <c r="F24" s="99">
        <v>32960</v>
      </c>
      <c r="G24" s="100">
        <v>46126</v>
      </c>
      <c r="H24" s="147" t="s">
        <v>527</v>
      </c>
    </row>
    <row r="25" spans="1:8" ht="22.5" customHeight="1" x14ac:dyDescent="0.25">
      <c r="A25" s="148">
        <v>46137</v>
      </c>
      <c r="B25" s="99" t="s">
        <v>520</v>
      </c>
      <c r="C25" s="145" t="s">
        <v>524</v>
      </c>
      <c r="D25" s="99" t="s">
        <v>334</v>
      </c>
      <c r="E25" s="146">
        <v>319</v>
      </c>
      <c r="F25" s="99">
        <v>26690</v>
      </c>
      <c r="G25" s="100">
        <v>46137</v>
      </c>
      <c r="H25" s="147" t="s">
        <v>527</v>
      </c>
    </row>
    <row r="26" spans="1:8" ht="22.5" customHeight="1" x14ac:dyDescent="0.25">
      <c r="A26" s="148">
        <v>46137</v>
      </c>
      <c r="B26" s="99" t="s">
        <v>520</v>
      </c>
      <c r="C26" s="145" t="s">
        <v>823</v>
      </c>
      <c r="D26" s="99" t="s">
        <v>334</v>
      </c>
      <c r="E26" s="146">
        <v>385</v>
      </c>
      <c r="F26" s="99">
        <v>26690</v>
      </c>
      <c r="G26" s="100">
        <v>46137</v>
      </c>
      <c r="H26" s="147" t="s">
        <v>527</v>
      </c>
    </row>
    <row r="27" spans="1:8" ht="22.5" customHeight="1" x14ac:dyDescent="0.25">
      <c r="A27" s="148">
        <v>46137</v>
      </c>
      <c r="B27" s="99" t="s">
        <v>520</v>
      </c>
      <c r="C27" s="145" t="s">
        <v>523</v>
      </c>
      <c r="D27" s="99" t="s">
        <v>334</v>
      </c>
      <c r="E27" s="146">
        <v>251</v>
      </c>
      <c r="F27" s="99">
        <v>26690</v>
      </c>
      <c r="G27" s="100">
        <v>46137</v>
      </c>
      <c r="H27" s="147" t="s">
        <v>527</v>
      </c>
    </row>
    <row r="28" spans="1:8" ht="22.5" customHeight="1" x14ac:dyDescent="0.25">
      <c r="A28" s="148">
        <v>46137</v>
      </c>
      <c r="B28" s="99" t="s">
        <v>520</v>
      </c>
      <c r="C28" s="145" t="s">
        <v>824</v>
      </c>
      <c r="D28" s="99" t="s">
        <v>334</v>
      </c>
      <c r="E28" s="146">
        <v>384</v>
      </c>
      <c r="F28" s="99">
        <v>26690</v>
      </c>
      <c r="G28" s="100">
        <v>46137</v>
      </c>
      <c r="H28" s="147" t="s">
        <v>527</v>
      </c>
    </row>
    <row r="29" spans="1:8" ht="22.5" customHeight="1" x14ac:dyDescent="0.25">
      <c r="A29" s="148">
        <v>46139</v>
      </c>
      <c r="B29" s="99" t="s">
        <v>520</v>
      </c>
      <c r="C29" s="145" t="s">
        <v>822</v>
      </c>
      <c r="D29" s="99" t="s">
        <v>334</v>
      </c>
      <c r="E29" s="146">
        <v>246</v>
      </c>
      <c r="F29" s="99">
        <v>26690</v>
      </c>
      <c r="G29" s="100">
        <v>46137</v>
      </c>
      <c r="H29" s="147" t="s">
        <v>527</v>
      </c>
    </row>
    <row r="30" spans="1:8" ht="22.5" customHeight="1" x14ac:dyDescent="0.25">
      <c r="A30" s="148">
        <v>46139</v>
      </c>
      <c r="B30" s="99" t="s">
        <v>520</v>
      </c>
      <c r="C30" s="145" t="s">
        <v>525</v>
      </c>
      <c r="D30" s="99" t="s">
        <v>334</v>
      </c>
      <c r="E30" s="146">
        <v>264</v>
      </c>
      <c r="F30" s="99">
        <v>26690</v>
      </c>
      <c r="G30" s="100">
        <v>46137</v>
      </c>
      <c r="H30" s="147" t="s">
        <v>527</v>
      </c>
    </row>
    <row r="31" spans="1:8" ht="22.5" customHeight="1" x14ac:dyDescent="0.25">
      <c r="A31" s="148">
        <v>46139</v>
      </c>
      <c r="B31" s="99" t="s">
        <v>520</v>
      </c>
      <c r="C31" s="145" t="s">
        <v>825</v>
      </c>
      <c r="D31" s="99" t="s">
        <v>334</v>
      </c>
      <c r="E31" s="146">
        <v>331</v>
      </c>
      <c r="F31" s="99">
        <v>26690</v>
      </c>
      <c r="G31" s="100">
        <v>46137</v>
      </c>
      <c r="H31" s="147" t="s">
        <v>527</v>
      </c>
    </row>
    <row r="32" spans="1:8" ht="22.5" customHeight="1" x14ac:dyDescent="0.25">
      <c r="A32" s="148">
        <v>46139</v>
      </c>
      <c r="B32" s="99" t="s">
        <v>520</v>
      </c>
      <c r="C32" s="145" t="s">
        <v>526</v>
      </c>
      <c r="D32" s="99" t="s">
        <v>334</v>
      </c>
      <c r="E32" s="146">
        <v>402</v>
      </c>
      <c r="F32" s="99">
        <v>26690</v>
      </c>
      <c r="G32" s="100">
        <v>46137</v>
      </c>
      <c r="H32" s="147" t="s">
        <v>527</v>
      </c>
    </row>
    <row r="33" spans="1:10" ht="22.5" customHeight="1" x14ac:dyDescent="0.25">
      <c r="A33" s="148">
        <v>46139</v>
      </c>
      <c r="B33" s="99" t="s">
        <v>520</v>
      </c>
      <c r="C33" s="145" t="s">
        <v>827</v>
      </c>
      <c r="D33" s="99" t="s">
        <v>334</v>
      </c>
      <c r="E33" s="146">
        <v>324</v>
      </c>
      <c r="F33" s="99">
        <v>26690</v>
      </c>
      <c r="G33" s="100">
        <v>46137</v>
      </c>
      <c r="H33" s="147" t="s">
        <v>527</v>
      </c>
    </row>
    <row r="34" spans="1:10" ht="22.5" customHeight="1" x14ac:dyDescent="0.25">
      <c r="A34" s="148">
        <v>46139</v>
      </c>
      <c r="B34" s="99" t="s">
        <v>520</v>
      </c>
      <c r="C34" s="145" t="s">
        <v>828</v>
      </c>
      <c r="D34" s="99" t="s">
        <v>334</v>
      </c>
      <c r="E34" s="146">
        <v>198</v>
      </c>
      <c r="F34" s="99">
        <v>26690</v>
      </c>
      <c r="G34" s="100">
        <v>46137</v>
      </c>
      <c r="H34" s="147" t="s">
        <v>527</v>
      </c>
    </row>
    <row r="35" spans="1:10" ht="22.5" customHeight="1" x14ac:dyDescent="0.25">
      <c r="A35" s="148">
        <v>46139</v>
      </c>
      <c r="B35" s="99" t="s">
        <v>520</v>
      </c>
      <c r="C35" s="145" t="s">
        <v>823</v>
      </c>
      <c r="D35" s="99" t="s">
        <v>334</v>
      </c>
      <c r="E35" s="146">
        <v>241</v>
      </c>
      <c r="F35" s="99">
        <v>26690</v>
      </c>
      <c r="G35" s="100">
        <v>46137</v>
      </c>
      <c r="H35" s="147" t="s">
        <v>527</v>
      </c>
    </row>
    <row r="36" spans="1:10" ht="22.5" customHeight="1" x14ac:dyDescent="0.25">
      <c r="A36" s="148">
        <v>46140</v>
      </c>
      <c r="B36" s="99" t="s">
        <v>520</v>
      </c>
      <c r="C36" s="145" t="s">
        <v>826</v>
      </c>
      <c r="D36" s="99" t="s">
        <v>334</v>
      </c>
      <c r="E36" s="146">
        <v>322</v>
      </c>
      <c r="F36" s="99">
        <v>26690</v>
      </c>
      <c r="G36" s="100">
        <v>46137</v>
      </c>
      <c r="H36" s="147" t="s">
        <v>527</v>
      </c>
    </row>
    <row r="37" spans="1:10" x14ac:dyDescent="0.25">
      <c r="A37" s="148">
        <v>46140</v>
      </c>
      <c r="B37" s="99" t="s">
        <v>520</v>
      </c>
      <c r="C37" s="145" t="s">
        <v>824</v>
      </c>
      <c r="D37" s="99" t="s">
        <v>334</v>
      </c>
      <c r="E37" s="146">
        <v>387</v>
      </c>
      <c r="F37" s="99">
        <v>26690</v>
      </c>
      <c r="G37" s="100">
        <v>46137</v>
      </c>
      <c r="H37" s="147" t="s">
        <v>527</v>
      </c>
    </row>
    <row r="38" spans="1:10" x14ac:dyDescent="0.25">
      <c r="A38" s="148">
        <v>46140</v>
      </c>
      <c r="B38" s="99" t="s">
        <v>520</v>
      </c>
      <c r="C38" s="145" t="s">
        <v>523</v>
      </c>
      <c r="D38" s="99" t="s">
        <v>334</v>
      </c>
      <c r="E38" s="146">
        <v>292</v>
      </c>
      <c r="F38" s="99">
        <v>26690</v>
      </c>
      <c r="G38" s="100">
        <v>46137</v>
      </c>
      <c r="H38" s="147" t="s">
        <v>527</v>
      </c>
    </row>
    <row r="39" spans="1:10" ht="18.75" customHeight="1" x14ac:dyDescent="0.25">
      <c r="A39" s="148">
        <v>46140</v>
      </c>
      <c r="B39" s="99" t="s">
        <v>520</v>
      </c>
      <c r="C39" s="145" t="s">
        <v>524</v>
      </c>
      <c r="D39" s="99" t="s">
        <v>334</v>
      </c>
      <c r="E39" s="146">
        <v>343</v>
      </c>
      <c r="F39" s="99">
        <v>26690</v>
      </c>
      <c r="G39" s="100">
        <v>46137</v>
      </c>
      <c r="H39" s="147" t="s">
        <v>527</v>
      </c>
      <c r="I39" s="135"/>
    </row>
    <row r="40" spans="1:10" x14ac:dyDescent="0.25">
      <c r="A40" s="148">
        <v>46140</v>
      </c>
      <c r="B40" s="99" t="s">
        <v>520</v>
      </c>
      <c r="C40" s="145" t="s">
        <v>825</v>
      </c>
      <c r="D40" s="99" t="s">
        <v>334</v>
      </c>
      <c r="E40" s="146">
        <v>294</v>
      </c>
      <c r="F40" s="99">
        <v>26690</v>
      </c>
      <c r="G40" s="100">
        <v>46137</v>
      </c>
      <c r="H40" s="147" t="s">
        <v>527</v>
      </c>
      <c r="I40" s="137"/>
      <c r="J40" s="136"/>
    </row>
    <row r="41" spans="1:10" x14ac:dyDescent="0.25">
      <c r="A41" s="148">
        <v>46140</v>
      </c>
      <c r="B41" s="99" t="s">
        <v>520</v>
      </c>
      <c r="C41" s="145" t="s">
        <v>828</v>
      </c>
      <c r="D41" s="99" t="s">
        <v>334</v>
      </c>
      <c r="E41" s="146">
        <v>169</v>
      </c>
      <c r="F41" s="99">
        <v>26690</v>
      </c>
      <c r="G41" s="100">
        <v>46137</v>
      </c>
      <c r="H41" s="147" t="s">
        <v>527</v>
      </c>
      <c r="I41" s="137"/>
      <c r="J41" s="136"/>
    </row>
    <row r="42" spans="1:10" x14ac:dyDescent="0.25">
      <c r="A42" s="148">
        <v>46141</v>
      </c>
      <c r="B42" s="99" t="s">
        <v>520</v>
      </c>
      <c r="C42" s="145" t="s">
        <v>822</v>
      </c>
      <c r="D42" s="99" t="s">
        <v>334</v>
      </c>
      <c r="E42" s="146">
        <v>364</v>
      </c>
      <c r="F42" s="99">
        <v>26690</v>
      </c>
      <c r="G42" s="100">
        <v>46137</v>
      </c>
      <c r="H42" s="147" t="s">
        <v>527</v>
      </c>
      <c r="I42" s="137"/>
      <c r="J42" s="136"/>
    </row>
    <row r="43" spans="1:10" ht="18.75" customHeight="1" x14ac:dyDescent="0.25">
      <c r="A43" s="149" t="s">
        <v>320</v>
      </c>
      <c r="B43" s="131"/>
      <c r="C43" s="132"/>
      <c r="D43" s="132"/>
      <c r="E43" s="133">
        <f>SUBTOTAL(109,TBL_GIAONHANDAU4[Số lượng (lít)])</f>
        <v>12958</v>
      </c>
      <c r="F43" s="132"/>
      <c r="G43" s="132"/>
      <c r="H43" s="150"/>
      <c r="I43" s="137"/>
      <c r="J43" s="136"/>
    </row>
    <row r="44" spans="1:10" x14ac:dyDescent="0.25">
      <c r="A44" s="134" t="s">
        <v>333</v>
      </c>
      <c r="B44" s="134"/>
      <c r="C44" s="134"/>
      <c r="D44" s="134"/>
      <c r="E44" s="259" t="s">
        <v>45</v>
      </c>
      <c r="F44" s="259"/>
      <c r="G44" s="259"/>
      <c r="H44" s="259"/>
      <c r="I44" s="139"/>
    </row>
    <row r="45" spans="1:10" x14ac:dyDescent="0.25">
      <c r="A45" s="259" t="s">
        <v>829</v>
      </c>
      <c r="B45" s="259"/>
      <c r="C45" s="259" t="s">
        <v>325</v>
      </c>
      <c r="D45" s="259"/>
      <c r="E45" s="259" t="s">
        <v>830</v>
      </c>
      <c r="F45" s="259"/>
      <c r="G45" s="259" t="s">
        <v>325</v>
      </c>
      <c r="H45" s="259"/>
    </row>
    <row r="46" spans="1:10" x14ac:dyDescent="0.25">
      <c r="A46" s="136"/>
      <c r="B46" s="136"/>
      <c r="C46" s="136"/>
      <c r="D46" s="136"/>
      <c r="F46" s="136"/>
      <c r="G46" s="136"/>
      <c r="H46" s="137"/>
    </row>
    <row r="47" spans="1:10" x14ac:dyDescent="0.25">
      <c r="A47" s="136"/>
      <c r="B47" s="136"/>
      <c r="C47" s="136"/>
      <c r="D47" s="136"/>
      <c r="F47" s="136"/>
      <c r="G47" s="136"/>
      <c r="H47" s="137"/>
    </row>
    <row r="48" spans="1:10" x14ac:dyDescent="0.25">
      <c r="A48" s="136"/>
      <c r="B48" s="138"/>
      <c r="C48" s="136"/>
      <c r="D48" s="136"/>
      <c r="F48" s="136"/>
      <c r="G48" s="136"/>
      <c r="H48" s="137"/>
    </row>
    <row r="49" spans="1:8" x14ac:dyDescent="0.25">
      <c r="A49" s="259" t="s">
        <v>832</v>
      </c>
      <c r="B49" s="259"/>
      <c r="C49" s="259" t="s">
        <v>836</v>
      </c>
      <c r="D49" s="259"/>
      <c r="E49" s="259" t="s">
        <v>833</v>
      </c>
      <c r="F49" s="259"/>
      <c r="G49" s="260" t="s">
        <v>831</v>
      </c>
      <c r="H49" s="260"/>
    </row>
    <row r="50" spans="1:8" x14ac:dyDescent="0.25">
      <c r="B50" s="135"/>
      <c r="C50" s="135"/>
      <c r="D50" s="135"/>
    </row>
  </sheetData>
  <mergeCells count="10">
    <mergeCell ref="A49:B49"/>
    <mergeCell ref="C49:D49"/>
    <mergeCell ref="E49:F49"/>
    <mergeCell ref="G49:H49"/>
    <mergeCell ref="A1:H1"/>
    <mergeCell ref="E44:H44"/>
    <mergeCell ref="A45:B45"/>
    <mergeCell ref="C45:D45"/>
    <mergeCell ref="E45:F45"/>
    <mergeCell ref="G45:H45"/>
  </mergeCells>
  <pageMargins left="0.7" right="0.7" top="0.75" bottom="0.75" header="0.3" footer="0.3"/>
  <pageSetup paperSize="9" scale="59" fitToHeight="0" orientation="portrait" verticalDpi="0" r:id="rId1"/>
  <colBreaks count="1" manualBreakCount="1">
    <brk id="8" max="1048575" man="1"/>
  </colBreaks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50A8-D859-4767-A7CE-C3D20A3539A3}">
  <sheetPr>
    <pageSetUpPr fitToPage="1"/>
  </sheetPr>
  <dimension ref="A1:J413"/>
  <sheetViews>
    <sheetView zoomScaleNormal="100" workbookViewId="0">
      <selection activeCell="F6" sqref="F6"/>
    </sheetView>
  </sheetViews>
  <sheetFormatPr defaultRowHeight="18.75" x14ac:dyDescent="0.3"/>
  <cols>
    <col min="1" max="1" width="4.88671875" style="114" customWidth="1"/>
    <col min="2" max="2" width="8.88671875" style="114" customWidth="1"/>
    <col min="3" max="6" width="11.5546875" style="105" customWidth="1"/>
    <col min="7" max="7" width="10.5546875" style="105" customWidth="1"/>
    <col min="8" max="9" width="13.109375" style="105" customWidth="1"/>
    <col min="10" max="10" width="14.44140625" style="105" customWidth="1"/>
    <col min="11" max="16384" width="8.88671875" style="105"/>
  </cols>
  <sheetData>
    <row r="1" spans="1:10" x14ac:dyDescent="0.3">
      <c r="A1" s="264" t="s">
        <v>333</v>
      </c>
      <c r="B1" s="264"/>
      <c r="C1" s="264"/>
      <c r="D1" s="264"/>
      <c r="E1" s="264"/>
      <c r="F1" s="264"/>
    </row>
    <row r="2" spans="1:10" x14ac:dyDescent="0.3">
      <c r="A2" s="264" t="s">
        <v>834</v>
      </c>
      <c r="B2" s="264"/>
      <c r="C2" s="264"/>
      <c r="D2" s="264"/>
      <c r="E2" s="264"/>
      <c r="F2" s="264"/>
    </row>
    <row r="3" spans="1:10" ht="64.5" customHeight="1" x14ac:dyDescent="0.3">
      <c r="A3" s="265" t="s">
        <v>837</v>
      </c>
      <c r="B3" s="266"/>
      <c r="C3" s="266"/>
      <c r="D3" s="266"/>
      <c r="E3" s="266"/>
      <c r="F3" s="266"/>
      <c r="G3" s="266"/>
      <c r="H3" s="266"/>
      <c r="I3" s="266"/>
      <c r="J3" s="266"/>
    </row>
    <row r="4" spans="1:10" s="106" customFormat="1" x14ac:dyDescent="0.3">
      <c r="A4" s="128" t="s">
        <v>0</v>
      </c>
      <c r="B4" s="128" t="s">
        <v>1</v>
      </c>
      <c r="C4" s="129" t="s">
        <v>2</v>
      </c>
      <c r="D4" s="129" t="s">
        <v>3</v>
      </c>
      <c r="E4" s="129" t="s">
        <v>4</v>
      </c>
      <c r="F4" s="129" t="s">
        <v>5</v>
      </c>
      <c r="G4" s="129" t="s">
        <v>6</v>
      </c>
      <c r="H4" s="129" t="s">
        <v>7</v>
      </c>
      <c r="I4" s="129" t="s">
        <v>8</v>
      </c>
      <c r="J4" s="129" t="s">
        <v>9</v>
      </c>
    </row>
    <row r="5" spans="1:10" x14ac:dyDescent="0.3">
      <c r="A5" s="115">
        <v>1</v>
      </c>
      <c r="B5" s="115">
        <v>3</v>
      </c>
      <c r="C5" s="116">
        <v>46133</v>
      </c>
      <c r="D5" s="117">
        <v>4.2037037033878732E-2</v>
      </c>
      <c r="E5" s="116">
        <v>46133</v>
      </c>
      <c r="F5" s="117">
        <v>5.2326388889923692E-2</v>
      </c>
      <c r="G5" s="118" t="s">
        <v>335</v>
      </c>
      <c r="H5" s="119">
        <v>14060</v>
      </c>
      <c r="I5" s="119">
        <v>30300</v>
      </c>
      <c r="J5" s="119">
        <v>16240</v>
      </c>
    </row>
    <row r="6" spans="1:10" x14ac:dyDescent="0.3">
      <c r="A6" s="115">
        <v>2</v>
      </c>
      <c r="B6" s="115">
        <v>5</v>
      </c>
      <c r="C6" s="116">
        <v>46133</v>
      </c>
      <c r="D6" s="117">
        <v>4.3194444442633539E-2</v>
      </c>
      <c r="E6" s="116">
        <v>46133</v>
      </c>
      <c r="F6" s="117">
        <v>6.3194444446708076E-2</v>
      </c>
      <c r="G6" s="118" t="s">
        <v>336</v>
      </c>
      <c r="H6" s="119">
        <v>14020</v>
      </c>
      <c r="I6" s="119">
        <v>31580</v>
      </c>
      <c r="J6" s="119">
        <v>17560</v>
      </c>
    </row>
    <row r="7" spans="1:10" x14ac:dyDescent="0.3">
      <c r="A7" s="115">
        <v>3</v>
      </c>
      <c r="B7" s="115">
        <v>6</v>
      </c>
      <c r="C7" s="116">
        <v>46133</v>
      </c>
      <c r="D7" s="117">
        <v>4.3680555558239575E-2</v>
      </c>
      <c r="E7" s="116">
        <v>46133</v>
      </c>
      <c r="F7" s="117">
        <v>6.8217592590372078E-2</v>
      </c>
      <c r="G7" s="118" t="s">
        <v>337</v>
      </c>
      <c r="H7" s="119">
        <v>14070</v>
      </c>
      <c r="I7" s="119">
        <v>32000</v>
      </c>
      <c r="J7" s="119">
        <v>17930</v>
      </c>
    </row>
    <row r="8" spans="1:10" x14ac:dyDescent="0.3">
      <c r="A8" s="115">
        <v>4</v>
      </c>
      <c r="B8" s="115">
        <v>9</v>
      </c>
      <c r="C8" s="116">
        <v>46133</v>
      </c>
      <c r="D8" s="117">
        <v>7.7627314814890269E-2</v>
      </c>
      <c r="E8" s="116">
        <v>46133</v>
      </c>
      <c r="F8" s="117">
        <v>8.3310185182199348E-2</v>
      </c>
      <c r="G8" s="118" t="s">
        <v>43</v>
      </c>
      <c r="H8" s="119">
        <v>14090</v>
      </c>
      <c r="I8" s="119">
        <v>32390</v>
      </c>
      <c r="J8" s="119">
        <v>18300</v>
      </c>
    </row>
    <row r="9" spans="1:10" x14ac:dyDescent="0.3">
      <c r="A9" s="115">
        <v>5</v>
      </c>
      <c r="B9" s="115">
        <v>12</v>
      </c>
      <c r="C9" s="116">
        <v>46133</v>
      </c>
      <c r="D9" s="117">
        <v>0.15916666666453239</v>
      </c>
      <c r="E9" s="116">
        <v>46133</v>
      </c>
      <c r="F9" s="117">
        <v>0.16763888888817746</v>
      </c>
      <c r="G9" s="118" t="s">
        <v>335</v>
      </c>
      <c r="H9" s="119">
        <v>14040</v>
      </c>
      <c r="I9" s="119">
        <v>31330</v>
      </c>
      <c r="J9" s="119">
        <v>17290</v>
      </c>
    </row>
    <row r="10" spans="1:10" x14ac:dyDescent="0.3">
      <c r="A10" s="115">
        <v>6</v>
      </c>
      <c r="B10" s="115">
        <v>15</v>
      </c>
      <c r="C10" s="116">
        <v>46133</v>
      </c>
      <c r="D10" s="117">
        <v>0.17878472222218988</v>
      </c>
      <c r="E10" s="116">
        <v>46133</v>
      </c>
      <c r="F10" s="117">
        <v>0.18607638889079681</v>
      </c>
      <c r="G10" s="118" t="s">
        <v>336</v>
      </c>
      <c r="H10" s="119">
        <v>13990</v>
      </c>
      <c r="I10" s="119">
        <v>33220</v>
      </c>
      <c r="J10" s="119">
        <v>19230</v>
      </c>
    </row>
    <row r="11" spans="1:10" x14ac:dyDescent="0.3">
      <c r="A11" s="115">
        <v>7</v>
      </c>
      <c r="B11" s="115">
        <v>16</v>
      </c>
      <c r="C11" s="116">
        <v>46133</v>
      </c>
      <c r="D11" s="117">
        <v>0.19593750000058208</v>
      </c>
      <c r="E11" s="116">
        <v>46133</v>
      </c>
      <c r="F11" s="117">
        <v>0.20336805555416504</v>
      </c>
      <c r="G11" s="118" t="s">
        <v>337</v>
      </c>
      <c r="H11" s="119">
        <v>14050</v>
      </c>
      <c r="I11" s="119">
        <v>32450</v>
      </c>
      <c r="J11" s="119">
        <v>18400</v>
      </c>
    </row>
    <row r="12" spans="1:10" x14ac:dyDescent="0.3">
      <c r="A12" s="115">
        <v>8</v>
      </c>
      <c r="B12" s="115">
        <v>19</v>
      </c>
      <c r="C12" s="116">
        <v>46133</v>
      </c>
      <c r="D12" s="117">
        <v>0.21805555555329192</v>
      </c>
      <c r="E12" s="116">
        <v>46133</v>
      </c>
      <c r="F12" s="117">
        <v>0.22584490740700858</v>
      </c>
      <c r="G12" s="118" t="s">
        <v>43</v>
      </c>
      <c r="H12" s="119">
        <v>14070</v>
      </c>
      <c r="I12" s="119">
        <v>32760</v>
      </c>
      <c r="J12" s="119">
        <v>18690</v>
      </c>
    </row>
    <row r="13" spans="1:10" x14ac:dyDescent="0.3">
      <c r="A13" s="115">
        <v>9</v>
      </c>
      <c r="B13" s="115">
        <v>22</v>
      </c>
      <c r="C13" s="116">
        <v>46133</v>
      </c>
      <c r="D13" s="117">
        <v>0.27952546296000946</v>
      </c>
      <c r="E13" s="116">
        <v>46133</v>
      </c>
      <c r="F13" s="117">
        <v>0.28598379629693227</v>
      </c>
      <c r="G13" s="118" t="s">
        <v>335</v>
      </c>
      <c r="H13" s="119">
        <v>14020</v>
      </c>
      <c r="I13" s="119">
        <v>31350</v>
      </c>
      <c r="J13" s="119">
        <v>17330</v>
      </c>
    </row>
    <row r="14" spans="1:10" x14ac:dyDescent="0.3">
      <c r="A14" s="115">
        <v>10</v>
      </c>
      <c r="B14" s="115">
        <v>24</v>
      </c>
      <c r="C14" s="116">
        <v>46133</v>
      </c>
      <c r="D14" s="117">
        <v>0.30752314814890269</v>
      </c>
      <c r="E14" s="116">
        <v>46133</v>
      </c>
      <c r="F14" s="117">
        <v>0.31520833333343035</v>
      </c>
      <c r="G14" s="118" t="s">
        <v>336</v>
      </c>
      <c r="H14" s="119">
        <v>13970</v>
      </c>
      <c r="I14" s="119">
        <v>31860</v>
      </c>
      <c r="J14" s="119">
        <v>17890</v>
      </c>
    </row>
    <row r="15" spans="1:10" x14ac:dyDescent="0.3">
      <c r="A15" s="115">
        <v>11</v>
      </c>
      <c r="B15" s="115">
        <v>26</v>
      </c>
      <c r="C15" s="116">
        <v>46133</v>
      </c>
      <c r="D15" s="117">
        <v>0.32084490740817273</v>
      </c>
      <c r="E15" s="116">
        <v>46133</v>
      </c>
      <c r="F15" s="117">
        <v>0.32687500000000003</v>
      </c>
      <c r="G15" s="118" t="s">
        <v>337</v>
      </c>
      <c r="H15" s="119">
        <v>14050</v>
      </c>
      <c r="I15" s="119">
        <v>32680</v>
      </c>
      <c r="J15" s="119">
        <v>18630</v>
      </c>
    </row>
    <row r="16" spans="1:10" x14ac:dyDescent="0.3">
      <c r="A16" s="115">
        <v>12</v>
      </c>
      <c r="B16" s="115">
        <v>29</v>
      </c>
      <c r="C16" s="116">
        <v>46133</v>
      </c>
      <c r="D16" s="117">
        <v>0.348877314812853</v>
      </c>
      <c r="E16" s="116">
        <v>46133</v>
      </c>
      <c r="F16" s="117">
        <v>0.35428240741021</v>
      </c>
      <c r="G16" s="118" t="s">
        <v>43</v>
      </c>
      <c r="H16" s="119">
        <v>14050</v>
      </c>
      <c r="I16" s="119">
        <v>33080</v>
      </c>
      <c r="J16" s="119">
        <v>19030</v>
      </c>
    </row>
    <row r="17" spans="1:10" x14ac:dyDescent="0.3">
      <c r="A17" s="115">
        <v>13</v>
      </c>
      <c r="B17" s="115">
        <v>32</v>
      </c>
      <c r="C17" s="116">
        <v>46133</v>
      </c>
      <c r="D17" s="117">
        <v>0.41252314814482816</v>
      </c>
      <c r="E17" s="116">
        <v>46133</v>
      </c>
      <c r="F17" s="117">
        <v>0.41666666666424135</v>
      </c>
      <c r="G17" s="118" t="s">
        <v>335</v>
      </c>
      <c r="H17" s="119">
        <v>14000</v>
      </c>
      <c r="I17" s="119">
        <v>32160</v>
      </c>
      <c r="J17" s="119">
        <v>18160</v>
      </c>
    </row>
    <row r="18" spans="1:10" x14ac:dyDescent="0.3">
      <c r="A18" s="115">
        <v>14</v>
      </c>
      <c r="B18" s="115">
        <v>34</v>
      </c>
      <c r="C18" s="116">
        <v>46133</v>
      </c>
      <c r="D18" s="117">
        <v>0.43527777777489973</v>
      </c>
      <c r="E18" s="116">
        <v>46133</v>
      </c>
      <c r="F18" s="117">
        <v>0.45336805555416504</v>
      </c>
      <c r="G18" s="118" t="s">
        <v>336</v>
      </c>
      <c r="H18" s="119">
        <v>13940</v>
      </c>
      <c r="I18" s="119">
        <v>32590</v>
      </c>
      <c r="J18" s="119">
        <v>18650</v>
      </c>
    </row>
    <row r="19" spans="1:10" x14ac:dyDescent="0.3">
      <c r="A19" s="115">
        <v>15</v>
      </c>
      <c r="B19" s="115">
        <v>36</v>
      </c>
      <c r="C19" s="116">
        <v>46133</v>
      </c>
      <c r="D19" s="117">
        <v>0.45667824074189411</v>
      </c>
      <c r="E19" s="116">
        <v>46133</v>
      </c>
      <c r="F19" s="117">
        <v>0.46077546296146465</v>
      </c>
      <c r="G19" s="118" t="s">
        <v>337</v>
      </c>
      <c r="H19" s="119">
        <v>13980</v>
      </c>
      <c r="I19" s="119">
        <v>32440</v>
      </c>
      <c r="J19" s="119">
        <v>18460</v>
      </c>
    </row>
    <row r="20" spans="1:10" x14ac:dyDescent="0.3">
      <c r="A20" s="115">
        <v>16</v>
      </c>
      <c r="B20" s="115">
        <v>39</v>
      </c>
      <c r="C20" s="116">
        <v>46133</v>
      </c>
      <c r="D20" s="117">
        <v>0.47934027777955635</v>
      </c>
      <c r="E20" s="116">
        <v>46133</v>
      </c>
      <c r="F20" s="117">
        <v>0.48872685185051523</v>
      </c>
      <c r="G20" s="118" t="s">
        <v>43</v>
      </c>
      <c r="H20" s="119">
        <v>14000</v>
      </c>
      <c r="I20" s="119">
        <v>31710</v>
      </c>
      <c r="J20" s="119">
        <v>17710</v>
      </c>
    </row>
    <row r="21" spans="1:10" x14ac:dyDescent="0.3">
      <c r="A21" s="115">
        <v>17</v>
      </c>
      <c r="B21" s="115">
        <v>42</v>
      </c>
      <c r="C21" s="116">
        <v>46133</v>
      </c>
      <c r="D21" s="117">
        <v>0.54091435185546288</v>
      </c>
      <c r="E21" s="116">
        <v>46133</v>
      </c>
      <c r="F21" s="117">
        <v>0.54554398148320615</v>
      </c>
      <c r="G21" s="118" t="s">
        <v>335</v>
      </c>
      <c r="H21" s="119">
        <v>13960</v>
      </c>
      <c r="I21" s="119">
        <v>31650</v>
      </c>
      <c r="J21" s="119">
        <v>17690</v>
      </c>
    </row>
    <row r="22" spans="1:10" x14ac:dyDescent="0.3">
      <c r="A22" s="115">
        <v>18</v>
      </c>
      <c r="B22" s="115">
        <v>44</v>
      </c>
      <c r="C22" s="116">
        <v>46133</v>
      </c>
      <c r="D22" s="117">
        <v>0.56988425926101627</v>
      </c>
      <c r="E22" s="116">
        <v>46133</v>
      </c>
      <c r="F22" s="117">
        <v>0.57407407407299615</v>
      </c>
      <c r="G22" s="118" t="s">
        <v>337</v>
      </c>
      <c r="H22" s="119">
        <v>13930</v>
      </c>
      <c r="I22" s="119">
        <v>30780</v>
      </c>
      <c r="J22" s="119">
        <v>16850</v>
      </c>
    </row>
    <row r="23" spans="1:10" x14ac:dyDescent="0.3">
      <c r="A23" s="115">
        <v>19</v>
      </c>
      <c r="B23" s="115">
        <v>45</v>
      </c>
      <c r="C23" s="116">
        <v>46133</v>
      </c>
      <c r="D23" s="117">
        <v>0.57107638888555812</v>
      </c>
      <c r="E23" s="116">
        <v>46133</v>
      </c>
      <c r="F23" s="117">
        <v>0.57893518518540077</v>
      </c>
      <c r="G23" s="118" t="s">
        <v>336</v>
      </c>
      <c r="H23" s="119">
        <v>13910</v>
      </c>
      <c r="I23" s="119">
        <v>30450</v>
      </c>
      <c r="J23" s="119">
        <v>16540</v>
      </c>
    </row>
    <row r="24" spans="1:10" x14ac:dyDescent="0.3">
      <c r="A24" s="115">
        <v>20</v>
      </c>
      <c r="B24" s="115">
        <v>49</v>
      </c>
      <c r="C24" s="116">
        <v>46133</v>
      </c>
      <c r="D24" s="117">
        <v>0.61712962963065365</v>
      </c>
      <c r="E24" s="116">
        <v>46133</v>
      </c>
      <c r="F24" s="117">
        <v>0.62201388888934162</v>
      </c>
      <c r="G24" s="118" t="s">
        <v>43</v>
      </c>
      <c r="H24" s="119">
        <v>13980</v>
      </c>
      <c r="I24" s="119">
        <v>32190</v>
      </c>
      <c r="J24" s="119">
        <v>18210</v>
      </c>
    </row>
    <row r="25" spans="1:10" x14ac:dyDescent="0.3">
      <c r="A25" s="115">
        <v>21</v>
      </c>
      <c r="B25" s="115">
        <v>52</v>
      </c>
      <c r="C25" s="116">
        <v>46133</v>
      </c>
      <c r="D25" s="117">
        <v>0.6653356481474475</v>
      </c>
      <c r="E25" s="116">
        <v>46133</v>
      </c>
      <c r="F25" s="117">
        <v>0.66953703703620704</v>
      </c>
      <c r="G25" s="118" t="s">
        <v>335</v>
      </c>
      <c r="H25" s="119">
        <v>13940</v>
      </c>
      <c r="I25" s="119">
        <v>32140</v>
      </c>
      <c r="J25" s="119">
        <v>18200</v>
      </c>
    </row>
    <row r="26" spans="1:10" x14ac:dyDescent="0.3">
      <c r="A26" s="115">
        <v>22</v>
      </c>
      <c r="B26" s="115">
        <v>53</v>
      </c>
      <c r="C26" s="116">
        <v>46133</v>
      </c>
      <c r="D26" s="117">
        <v>0.68512731481481481</v>
      </c>
      <c r="E26" s="116">
        <v>46133</v>
      </c>
      <c r="F26" s="117">
        <v>0.68914351851851852</v>
      </c>
      <c r="G26" s="118" t="s">
        <v>337</v>
      </c>
      <c r="H26" s="119">
        <v>13910</v>
      </c>
      <c r="I26" s="119">
        <v>33120</v>
      </c>
      <c r="J26" s="119">
        <v>19210</v>
      </c>
    </row>
    <row r="27" spans="1:10" x14ac:dyDescent="0.3">
      <c r="A27" s="115">
        <v>23</v>
      </c>
      <c r="B27" s="115">
        <v>55</v>
      </c>
      <c r="C27" s="116">
        <v>46133</v>
      </c>
      <c r="D27" s="117">
        <v>0.72649305555555554</v>
      </c>
      <c r="E27" s="116">
        <v>46133</v>
      </c>
      <c r="F27" s="117">
        <v>0.732025462962963</v>
      </c>
      <c r="G27" s="118" t="s">
        <v>336</v>
      </c>
      <c r="H27" s="119">
        <v>13820</v>
      </c>
      <c r="I27" s="119">
        <v>32180</v>
      </c>
      <c r="J27" s="119">
        <v>18360</v>
      </c>
    </row>
    <row r="28" spans="1:10" x14ac:dyDescent="0.3">
      <c r="A28" s="115">
        <v>24</v>
      </c>
      <c r="B28" s="115">
        <v>57</v>
      </c>
      <c r="C28" s="116">
        <v>46133</v>
      </c>
      <c r="D28" s="117">
        <v>0.73998842592592595</v>
      </c>
      <c r="E28" s="116">
        <v>46133</v>
      </c>
      <c r="F28" s="117">
        <v>0.7462037037037037</v>
      </c>
      <c r="G28" s="118" t="s">
        <v>43</v>
      </c>
      <c r="H28" s="119">
        <v>13960</v>
      </c>
      <c r="I28" s="119">
        <v>32180</v>
      </c>
      <c r="J28" s="119">
        <v>18220</v>
      </c>
    </row>
    <row r="29" spans="1:10" x14ac:dyDescent="0.3">
      <c r="A29" s="115">
        <v>25</v>
      </c>
      <c r="B29" s="115">
        <v>65</v>
      </c>
      <c r="C29" s="116">
        <v>46134</v>
      </c>
      <c r="D29" s="117">
        <v>4.3541666665987577E-2</v>
      </c>
      <c r="E29" s="116">
        <v>46134</v>
      </c>
      <c r="F29" s="117">
        <v>7.7743055553582963E-2</v>
      </c>
      <c r="G29" s="118" t="s">
        <v>43</v>
      </c>
      <c r="H29" s="119">
        <v>13940</v>
      </c>
      <c r="I29" s="119">
        <v>33350</v>
      </c>
      <c r="J29" s="119">
        <v>19410</v>
      </c>
    </row>
    <row r="30" spans="1:10" x14ac:dyDescent="0.3">
      <c r="A30" s="115">
        <v>26</v>
      </c>
      <c r="B30" s="115">
        <v>67</v>
      </c>
      <c r="C30" s="116">
        <v>46134</v>
      </c>
      <c r="D30" s="117">
        <v>5.8275462964957114E-2</v>
      </c>
      <c r="E30" s="116">
        <v>46134</v>
      </c>
      <c r="F30" s="117">
        <v>8.965277778042946E-2</v>
      </c>
      <c r="G30" s="118" t="s">
        <v>337</v>
      </c>
      <c r="H30" s="119">
        <v>13840</v>
      </c>
      <c r="I30" s="119">
        <v>31360</v>
      </c>
      <c r="J30" s="119">
        <v>17520</v>
      </c>
    </row>
    <row r="31" spans="1:10" x14ac:dyDescent="0.3">
      <c r="A31" s="115">
        <v>27</v>
      </c>
      <c r="B31" s="115">
        <v>68</v>
      </c>
      <c r="C31" s="116">
        <v>46134</v>
      </c>
      <c r="D31" s="117">
        <v>6.0254629628616385E-2</v>
      </c>
      <c r="E31" s="116">
        <v>46134</v>
      </c>
      <c r="F31" s="117">
        <v>9.50231481474475E-2</v>
      </c>
      <c r="G31" s="118" t="s">
        <v>335</v>
      </c>
      <c r="H31" s="119">
        <v>13920</v>
      </c>
      <c r="I31" s="119">
        <v>32360</v>
      </c>
      <c r="J31" s="119">
        <v>18440</v>
      </c>
    </row>
    <row r="32" spans="1:10" x14ac:dyDescent="0.3">
      <c r="A32" s="115">
        <v>28</v>
      </c>
      <c r="B32" s="115">
        <v>69</v>
      </c>
      <c r="C32" s="116">
        <v>46134</v>
      </c>
      <c r="D32" s="117">
        <v>7.5497685182199348E-2</v>
      </c>
      <c r="E32" s="116">
        <v>46134</v>
      </c>
      <c r="F32" s="117">
        <v>0.10045138889108784</v>
      </c>
      <c r="G32" s="118" t="s">
        <v>336</v>
      </c>
      <c r="H32" s="119">
        <v>13800</v>
      </c>
      <c r="I32" s="119">
        <v>32540</v>
      </c>
      <c r="J32" s="119">
        <v>18740</v>
      </c>
    </row>
    <row r="33" spans="1:10" x14ac:dyDescent="0.3">
      <c r="A33" s="115">
        <v>29</v>
      </c>
      <c r="B33" s="115">
        <v>74</v>
      </c>
      <c r="C33" s="116">
        <v>46134</v>
      </c>
      <c r="D33" s="117">
        <v>0.18752314814628335</v>
      </c>
      <c r="E33" s="116">
        <v>46134</v>
      </c>
      <c r="F33" s="117">
        <v>0.19445601852203254</v>
      </c>
      <c r="G33" s="118" t="s">
        <v>43</v>
      </c>
      <c r="H33" s="119">
        <v>14080</v>
      </c>
      <c r="I33" s="119">
        <v>31500</v>
      </c>
      <c r="J33" s="119">
        <v>17420</v>
      </c>
    </row>
    <row r="34" spans="1:10" x14ac:dyDescent="0.3">
      <c r="A34" s="115">
        <v>30</v>
      </c>
      <c r="B34" s="115">
        <v>77</v>
      </c>
      <c r="C34" s="116">
        <v>46134</v>
      </c>
      <c r="D34" s="117">
        <v>0.216273148151231</v>
      </c>
      <c r="E34" s="116">
        <v>46134</v>
      </c>
      <c r="F34" s="117">
        <v>0.22392361111269565</v>
      </c>
      <c r="G34" s="118" t="s">
        <v>335</v>
      </c>
      <c r="H34" s="119">
        <v>13960</v>
      </c>
      <c r="I34" s="119">
        <v>33250</v>
      </c>
      <c r="J34" s="119">
        <v>19290</v>
      </c>
    </row>
    <row r="35" spans="1:10" x14ac:dyDescent="0.3">
      <c r="A35" s="115">
        <v>31</v>
      </c>
      <c r="B35" s="115">
        <v>78</v>
      </c>
      <c r="C35" s="116">
        <v>46134</v>
      </c>
      <c r="D35" s="117">
        <v>0.22746527777781012</v>
      </c>
      <c r="E35" s="116">
        <v>46134</v>
      </c>
      <c r="F35" s="117">
        <v>0.23484953703882638</v>
      </c>
      <c r="G35" s="118" t="s">
        <v>336</v>
      </c>
      <c r="H35" s="119">
        <v>13830</v>
      </c>
      <c r="I35" s="119">
        <v>32480</v>
      </c>
      <c r="J35" s="119">
        <v>18650</v>
      </c>
    </row>
    <row r="36" spans="1:10" x14ac:dyDescent="0.3">
      <c r="A36" s="115">
        <v>32</v>
      </c>
      <c r="B36" s="115">
        <v>79</v>
      </c>
      <c r="C36" s="116">
        <v>46134</v>
      </c>
      <c r="D36" s="117">
        <v>0.22795138888614019</v>
      </c>
      <c r="E36" s="116">
        <v>46134</v>
      </c>
      <c r="F36" s="117">
        <v>0.24167824073811062</v>
      </c>
      <c r="G36" s="118" t="s">
        <v>337</v>
      </c>
      <c r="H36" s="119">
        <v>13880</v>
      </c>
      <c r="I36" s="119">
        <v>32090</v>
      </c>
      <c r="J36" s="119">
        <v>18210</v>
      </c>
    </row>
    <row r="37" spans="1:10" x14ac:dyDescent="0.3">
      <c r="A37" s="115">
        <v>33</v>
      </c>
      <c r="B37" s="115">
        <v>84</v>
      </c>
      <c r="C37" s="116">
        <v>46134</v>
      </c>
      <c r="D37" s="117">
        <v>0.31193287036876427</v>
      </c>
      <c r="E37" s="116">
        <v>46134</v>
      </c>
      <c r="F37" s="117">
        <v>0.32288194444117835</v>
      </c>
      <c r="G37" s="118" t="s">
        <v>43</v>
      </c>
      <c r="H37" s="119">
        <v>13980</v>
      </c>
      <c r="I37" s="119">
        <v>32680</v>
      </c>
      <c r="J37" s="119">
        <v>18700</v>
      </c>
    </row>
    <row r="38" spans="1:10" x14ac:dyDescent="0.3">
      <c r="A38" s="115">
        <v>34</v>
      </c>
      <c r="B38" s="115">
        <v>87</v>
      </c>
      <c r="C38" s="116">
        <v>46134</v>
      </c>
      <c r="D38" s="117">
        <v>0.36179398147942265</v>
      </c>
      <c r="E38" s="116">
        <v>46134</v>
      </c>
      <c r="F38" s="117">
        <v>0.36627314814541023</v>
      </c>
      <c r="G38" s="118" t="s">
        <v>335</v>
      </c>
      <c r="H38" s="119">
        <v>13870</v>
      </c>
      <c r="I38" s="119">
        <v>33560</v>
      </c>
      <c r="J38" s="119">
        <v>19690</v>
      </c>
    </row>
    <row r="39" spans="1:10" x14ac:dyDescent="0.3">
      <c r="A39" s="115">
        <v>35</v>
      </c>
      <c r="B39" s="115">
        <v>89</v>
      </c>
      <c r="C39" s="116">
        <v>46134</v>
      </c>
      <c r="D39" s="117">
        <v>0.38775462962803431</v>
      </c>
      <c r="E39" s="116">
        <v>46134</v>
      </c>
      <c r="F39" s="117">
        <v>0.39493055555794854</v>
      </c>
      <c r="G39" s="118" t="s">
        <v>336</v>
      </c>
      <c r="H39" s="119">
        <v>13750</v>
      </c>
      <c r="I39" s="119">
        <v>33990</v>
      </c>
      <c r="J39" s="119">
        <v>20240</v>
      </c>
    </row>
    <row r="40" spans="1:10" x14ac:dyDescent="0.3">
      <c r="A40" s="115">
        <v>36</v>
      </c>
      <c r="B40" s="115">
        <v>90</v>
      </c>
      <c r="C40" s="116">
        <v>46134</v>
      </c>
      <c r="D40" s="117">
        <v>0.39554398148175096</v>
      </c>
      <c r="E40" s="116">
        <v>46134</v>
      </c>
      <c r="F40" s="117">
        <v>0.4022569444423425</v>
      </c>
      <c r="G40" s="118" t="s">
        <v>337</v>
      </c>
      <c r="H40" s="119">
        <v>13830</v>
      </c>
      <c r="I40" s="119">
        <v>33080</v>
      </c>
      <c r="J40" s="119">
        <v>19250</v>
      </c>
    </row>
    <row r="41" spans="1:10" x14ac:dyDescent="0.3">
      <c r="A41" s="115">
        <v>37</v>
      </c>
      <c r="B41" s="115">
        <v>93</v>
      </c>
      <c r="C41" s="116">
        <v>46134</v>
      </c>
      <c r="D41" s="117">
        <v>0.44065972221869742</v>
      </c>
      <c r="E41" s="116">
        <v>46134</v>
      </c>
      <c r="F41" s="117">
        <v>0.46068287036905531</v>
      </c>
      <c r="G41" s="118" t="s">
        <v>43</v>
      </c>
      <c r="H41" s="119">
        <v>13880</v>
      </c>
      <c r="I41" s="119">
        <v>33690</v>
      </c>
      <c r="J41" s="119">
        <v>19810</v>
      </c>
    </row>
    <row r="42" spans="1:10" x14ac:dyDescent="0.3">
      <c r="A42" s="115">
        <v>38</v>
      </c>
      <c r="B42" s="115">
        <v>97</v>
      </c>
      <c r="C42" s="116">
        <v>46134</v>
      </c>
      <c r="D42" s="117">
        <v>0.50187500000174623</v>
      </c>
      <c r="E42" s="116">
        <v>46134</v>
      </c>
      <c r="F42" s="117">
        <v>0.50685185185284354</v>
      </c>
      <c r="G42" s="118" t="s">
        <v>335</v>
      </c>
      <c r="H42" s="119">
        <v>13840</v>
      </c>
      <c r="I42" s="119">
        <v>32740</v>
      </c>
      <c r="J42" s="119">
        <v>18900</v>
      </c>
    </row>
    <row r="43" spans="1:10" x14ac:dyDescent="0.3">
      <c r="A43" s="115">
        <v>39</v>
      </c>
      <c r="B43" s="115">
        <v>99</v>
      </c>
      <c r="C43" s="116">
        <v>46134</v>
      </c>
      <c r="D43" s="117">
        <v>0.55466435185371665</v>
      </c>
      <c r="E43" s="116">
        <v>46134</v>
      </c>
      <c r="F43" s="117">
        <v>0.55874999999650754</v>
      </c>
      <c r="G43" s="118" t="s">
        <v>336</v>
      </c>
      <c r="H43" s="119">
        <v>14100</v>
      </c>
      <c r="I43" s="119">
        <v>32570</v>
      </c>
      <c r="J43" s="119">
        <v>18470</v>
      </c>
    </row>
    <row r="44" spans="1:10" x14ac:dyDescent="0.3">
      <c r="A44" s="115">
        <v>40</v>
      </c>
      <c r="B44" s="115">
        <v>102</v>
      </c>
      <c r="C44" s="116">
        <v>46134</v>
      </c>
      <c r="D44" s="117">
        <v>0.58657407407736173</v>
      </c>
      <c r="E44" s="116">
        <v>46134</v>
      </c>
      <c r="F44" s="117">
        <v>0.59218749999854481</v>
      </c>
      <c r="G44" s="118" t="s">
        <v>43</v>
      </c>
      <c r="H44" s="119">
        <v>14110</v>
      </c>
      <c r="I44" s="119">
        <v>32910</v>
      </c>
      <c r="J44" s="119">
        <v>18800</v>
      </c>
    </row>
    <row r="45" spans="1:10" x14ac:dyDescent="0.3">
      <c r="A45" s="115">
        <v>41</v>
      </c>
      <c r="B45" s="115">
        <v>104</v>
      </c>
      <c r="C45" s="116">
        <v>46134</v>
      </c>
      <c r="D45" s="117">
        <v>0.59428240740817273</v>
      </c>
      <c r="E45" s="116">
        <v>46134</v>
      </c>
      <c r="F45" s="117">
        <v>0.59864583333546761</v>
      </c>
      <c r="G45" s="118" t="s">
        <v>337</v>
      </c>
      <c r="H45" s="119">
        <v>14090</v>
      </c>
      <c r="I45" s="119">
        <v>34320</v>
      </c>
      <c r="J45" s="119">
        <v>20230</v>
      </c>
    </row>
    <row r="46" spans="1:10" x14ac:dyDescent="0.3">
      <c r="A46" s="115">
        <v>42</v>
      </c>
      <c r="B46" s="115">
        <v>106</v>
      </c>
      <c r="C46" s="116">
        <v>46134</v>
      </c>
      <c r="D46" s="117">
        <v>0.63021990740526235</v>
      </c>
      <c r="E46" s="116">
        <v>46134</v>
      </c>
      <c r="F46" s="117">
        <v>0.63557870370277669</v>
      </c>
      <c r="G46" s="118" t="s">
        <v>335</v>
      </c>
      <c r="H46" s="119">
        <v>14070</v>
      </c>
      <c r="I46" s="119">
        <v>32420</v>
      </c>
      <c r="J46" s="119">
        <v>18350</v>
      </c>
    </row>
    <row r="47" spans="1:10" x14ac:dyDescent="0.3">
      <c r="A47" s="115">
        <v>43</v>
      </c>
      <c r="B47" s="115">
        <v>109</v>
      </c>
      <c r="C47" s="116">
        <v>46134</v>
      </c>
      <c r="D47" s="117" t="s">
        <v>338</v>
      </c>
      <c r="E47" s="116">
        <v>46134</v>
      </c>
      <c r="F47" s="117" t="s">
        <v>339</v>
      </c>
      <c r="G47" s="118" t="s">
        <v>336</v>
      </c>
      <c r="H47" s="119">
        <v>14030</v>
      </c>
      <c r="I47" s="119">
        <v>34160</v>
      </c>
      <c r="J47" s="119">
        <v>20130</v>
      </c>
    </row>
    <row r="48" spans="1:10" x14ac:dyDescent="0.3">
      <c r="A48" s="115">
        <v>44</v>
      </c>
      <c r="B48" s="115">
        <v>112</v>
      </c>
      <c r="C48" s="116">
        <v>46134</v>
      </c>
      <c r="D48" s="117" t="s">
        <v>340</v>
      </c>
      <c r="E48" s="116">
        <v>46134</v>
      </c>
      <c r="F48" s="117" t="s">
        <v>341</v>
      </c>
      <c r="G48" s="118" t="s">
        <v>43</v>
      </c>
      <c r="H48" s="119">
        <v>14120</v>
      </c>
      <c r="I48" s="119">
        <v>33380</v>
      </c>
      <c r="J48" s="119">
        <v>19260</v>
      </c>
    </row>
    <row r="49" spans="1:10" x14ac:dyDescent="0.3">
      <c r="A49" s="115">
        <v>45</v>
      </c>
      <c r="B49" s="115">
        <v>114</v>
      </c>
      <c r="C49" s="116">
        <v>46134</v>
      </c>
      <c r="D49" s="117" t="s">
        <v>342</v>
      </c>
      <c r="E49" s="116">
        <v>46134</v>
      </c>
      <c r="F49" s="117" t="s">
        <v>343</v>
      </c>
      <c r="G49" s="118" t="s">
        <v>337</v>
      </c>
      <c r="H49" s="119">
        <v>14030</v>
      </c>
      <c r="I49" s="119">
        <v>32660</v>
      </c>
      <c r="J49" s="119">
        <v>18630</v>
      </c>
    </row>
    <row r="50" spans="1:10" x14ac:dyDescent="0.3">
      <c r="A50" s="115">
        <v>46</v>
      </c>
      <c r="B50" s="115">
        <v>116</v>
      </c>
      <c r="C50" s="116">
        <v>46134</v>
      </c>
      <c r="D50" s="117" t="s">
        <v>344</v>
      </c>
      <c r="E50" s="116">
        <v>46134</v>
      </c>
      <c r="F50" s="117" t="s">
        <v>345</v>
      </c>
      <c r="G50" s="118" t="s">
        <v>335</v>
      </c>
      <c r="H50" s="119">
        <v>14030</v>
      </c>
      <c r="I50" s="119">
        <v>32100</v>
      </c>
      <c r="J50" s="119">
        <v>18070</v>
      </c>
    </row>
    <row r="51" spans="1:10" x14ac:dyDescent="0.3">
      <c r="A51" s="115">
        <v>47</v>
      </c>
      <c r="B51" s="115">
        <v>119</v>
      </c>
      <c r="C51" s="116">
        <v>46134</v>
      </c>
      <c r="D51" s="117" t="s">
        <v>346</v>
      </c>
      <c r="E51" s="116">
        <v>46134</v>
      </c>
      <c r="F51" s="117" t="s">
        <v>347</v>
      </c>
      <c r="G51" s="118" t="s">
        <v>336</v>
      </c>
      <c r="H51" s="119">
        <v>13960</v>
      </c>
      <c r="I51" s="119">
        <v>32810</v>
      </c>
      <c r="J51" s="119">
        <v>18850</v>
      </c>
    </row>
    <row r="52" spans="1:10" x14ac:dyDescent="0.3">
      <c r="A52" s="115">
        <v>48</v>
      </c>
      <c r="B52" s="115">
        <v>120</v>
      </c>
      <c r="C52" s="116">
        <v>46134</v>
      </c>
      <c r="D52" s="117" t="s">
        <v>348</v>
      </c>
      <c r="E52" s="116">
        <v>46134</v>
      </c>
      <c r="F52" s="117" t="s">
        <v>349</v>
      </c>
      <c r="G52" s="118" t="s">
        <v>337</v>
      </c>
      <c r="H52" s="119">
        <v>14040</v>
      </c>
      <c r="I52" s="119">
        <v>32620</v>
      </c>
      <c r="J52" s="119">
        <v>18580</v>
      </c>
    </row>
    <row r="53" spans="1:10" x14ac:dyDescent="0.3">
      <c r="A53" s="115">
        <v>49</v>
      </c>
      <c r="B53" s="115">
        <v>178</v>
      </c>
      <c r="C53" s="116">
        <v>46135</v>
      </c>
      <c r="D53" s="117">
        <v>4.3368055557948537E-2</v>
      </c>
      <c r="E53" s="116">
        <v>46135</v>
      </c>
      <c r="F53" s="117">
        <v>6.0682870367600117E-2</v>
      </c>
      <c r="G53" s="118" t="s">
        <v>335</v>
      </c>
      <c r="H53" s="119">
        <v>14020</v>
      </c>
      <c r="I53" s="119">
        <v>32600</v>
      </c>
      <c r="J53" s="119">
        <v>18580</v>
      </c>
    </row>
    <row r="54" spans="1:10" x14ac:dyDescent="0.3">
      <c r="A54" s="115">
        <v>50</v>
      </c>
      <c r="B54" s="115">
        <v>181</v>
      </c>
      <c r="C54" s="116">
        <v>46135</v>
      </c>
      <c r="D54" s="117">
        <v>4.4513888889923692E-2</v>
      </c>
      <c r="E54" s="116">
        <v>46135</v>
      </c>
      <c r="F54" s="117">
        <v>7.4548611111822538E-2</v>
      </c>
      <c r="G54" s="118" t="s">
        <v>336</v>
      </c>
      <c r="H54" s="119">
        <v>13950</v>
      </c>
      <c r="I54" s="119">
        <v>33140</v>
      </c>
      <c r="J54" s="119">
        <v>19190</v>
      </c>
    </row>
    <row r="55" spans="1:10" x14ac:dyDescent="0.3">
      <c r="A55" s="115">
        <v>51</v>
      </c>
      <c r="B55" s="115">
        <v>183</v>
      </c>
      <c r="C55" s="116">
        <v>46135</v>
      </c>
      <c r="D55" s="117">
        <v>8.5277777776354924E-2</v>
      </c>
      <c r="E55" s="116">
        <v>46135</v>
      </c>
      <c r="F55" s="117">
        <v>9.1921296298096422E-2</v>
      </c>
      <c r="G55" s="118" t="s">
        <v>43</v>
      </c>
      <c r="H55" s="119">
        <v>14090</v>
      </c>
      <c r="I55" s="119">
        <v>33450</v>
      </c>
      <c r="J55" s="119">
        <v>19360</v>
      </c>
    </row>
    <row r="56" spans="1:10" x14ac:dyDescent="0.3">
      <c r="A56" s="115">
        <v>52</v>
      </c>
      <c r="B56" s="115">
        <v>185</v>
      </c>
      <c r="C56" s="116">
        <v>46135</v>
      </c>
      <c r="D56" s="117">
        <v>0.14591435185138835</v>
      </c>
      <c r="E56" s="116">
        <v>46135</v>
      </c>
      <c r="F56" s="117">
        <v>0.153599537035916</v>
      </c>
      <c r="G56" s="118" t="s">
        <v>337</v>
      </c>
      <c r="H56" s="119">
        <v>14060</v>
      </c>
      <c r="I56" s="119">
        <v>32420</v>
      </c>
      <c r="J56" s="119">
        <v>18360</v>
      </c>
    </row>
    <row r="57" spans="1:10" x14ac:dyDescent="0.3">
      <c r="A57" s="115">
        <v>53</v>
      </c>
      <c r="B57" s="115">
        <v>188</v>
      </c>
      <c r="C57" s="116">
        <v>46135</v>
      </c>
      <c r="D57" s="117">
        <v>0.17010416666744277</v>
      </c>
      <c r="E57" s="116">
        <v>46135</v>
      </c>
      <c r="F57" s="117">
        <v>0.17603009259619284</v>
      </c>
      <c r="G57" s="118" t="s">
        <v>335</v>
      </c>
      <c r="H57" s="119">
        <v>13980</v>
      </c>
      <c r="I57" s="119">
        <v>33180</v>
      </c>
      <c r="J57" s="119">
        <v>19200</v>
      </c>
    </row>
    <row r="58" spans="1:10" x14ac:dyDescent="0.3">
      <c r="A58" s="115">
        <v>54</v>
      </c>
      <c r="B58" s="115">
        <v>191</v>
      </c>
      <c r="C58" s="116">
        <v>46135</v>
      </c>
      <c r="D58" s="117">
        <v>0.19432870370656019</v>
      </c>
      <c r="E58" s="116">
        <v>46135</v>
      </c>
      <c r="F58" s="117">
        <v>0.20053240740526235</v>
      </c>
      <c r="G58" s="118" t="s">
        <v>336</v>
      </c>
      <c r="H58" s="119">
        <v>13850</v>
      </c>
      <c r="I58" s="119">
        <v>32880</v>
      </c>
      <c r="J58" s="119">
        <v>19030</v>
      </c>
    </row>
    <row r="59" spans="1:10" x14ac:dyDescent="0.3">
      <c r="A59" s="115">
        <v>55</v>
      </c>
      <c r="B59" s="115">
        <v>193</v>
      </c>
      <c r="C59" s="116">
        <v>46135</v>
      </c>
      <c r="D59" s="117">
        <v>0.21094907407677965</v>
      </c>
      <c r="E59" s="116">
        <v>46135</v>
      </c>
      <c r="F59" s="117">
        <v>0.21738425926014315</v>
      </c>
      <c r="G59" s="118" t="s">
        <v>43</v>
      </c>
      <c r="H59" s="119">
        <v>14010</v>
      </c>
      <c r="I59" s="119">
        <v>33340</v>
      </c>
      <c r="J59" s="119">
        <v>19330</v>
      </c>
    </row>
    <row r="60" spans="1:10" x14ac:dyDescent="0.3">
      <c r="A60" s="115">
        <v>56</v>
      </c>
      <c r="B60" s="115">
        <v>195</v>
      </c>
      <c r="C60" s="116">
        <v>46135</v>
      </c>
      <c r="D60" s="117">
        <v>0.27254629629896954</v>
      </c>
      <c r="E60" s="116">
        <v>46135</v>
      </c>
      <c r="F60" s="117">
        <v>0.27935185185197042</v>
      </c>
      <c r="G60" s="118" t="s">
        <v>337</v>
      </c>
      <c r="H60" s="119">
        <v>13970</v>
      </c>
      <c r="I60" s="119">
        <v>31900</v>
      </c>
      <c r="J60" s="119">
        <v>17930</v>
      </c>
    </row>
    <row r="61" spans="1:10" x14ac:dyDescent="0.3">
      <c r="A61" s="115">
        <v>57</v>
      </c>
      <c r="B61" s="115">
        <v>199</v>
      </c>
      <c r="C61" s="116">
        <v>46135</v>
      </c>
      <c r="D61" s="117">
        <v>0.30055555555736646</v>
      </c>
      <c r="E61" s="116">
        <v>46135</v>
      </c>
      <c r="F61" s="117">
        <v>0.30965277777431766</v>
      </c>
      <c r="G61" s="118" t="s">
        <v>335</v>
      </c>
      <c r="H61" s="119">
        <v>13860</v>
      </c>
      <c r="I61" s="119">
        <v>32030</v>
      </c>
      <c r="J61" s="119">
        <v>18170</v>
      </c>
    </row>
    <row r="62" spans="1:10" x14ac:dyDescent="0.3">
      <c r="A62" s="115">
        <v>58</v>
      </c>
      <c r="B62" s="115">
        <v>200</v>
      </c>
      <c r="C62" s="116">
        <v>46135</v>
      </c>
      <c r="D62" s="117">
        <v>0.31884259259095415</v>
      </c>
      <c r="E62" s="116">
        <v>46135</v>
      </c>
      <c r="F62" s="117">
        <v>0.32452546296553919</v>
      </c>
      <c r="G62" s="118" t="s">
        <v>336</v>
      </c>
      <c r="H62" s="119">
        <v>13770</v>
      </c>
      <c r="I62" s="119">
        <v>32950</v>
      </c>
      <c r="J62" s="119">
        <v>19180</v>
      </c>
    </row>
    <row r="63" spans="1:10" x14ac:dyDescent="0.3">
      <c r="A63" s="115">
        <v>59</v>
      </c>
      <c r="B63" s="115">
        <v>203</v>
      </c>
      <c r="C63" s="116">
        <v>46135</v>
      </c>
      <c r="D63" s="117">
        <v>0.33788194444787223</v>
      </c>
      <c r="E63" s="116">
        <v>46135</v>
      </c>
      <c r="F63" s="117">
        <v>0.34565972222480923</v>
      </c>
      <c r="G63" s="118" t="s">
        <v>43</v>
      </c>
      <c r="H63" s="119">
        <v>13980</v>
      </c>
      <c r="I63" s="119">
        <v>32740</v>
      </c>
      <c r="J63" s="119">
        <v>18760</v>
      </c>
    </row>
    <row r="64" spans="1:10" x14ac:dyDescent="0.3">
      <c r="A64" s="115">
        <v>60</v>
      </c>
      <c r="B64" s="115">
        <v>205</v>
      </c>
      <c r="C64" s="116">
        <v>46135</v>
      </c>
      <c r="D64" s="117">
        <v>0.40136574074131204</v>
      </c>
      <c r="E64" s="116">
        <v>46135</v>
      </c>
      <c r="F64" s="117">
        <v>0.40641203703853535</v>
      </c>
      <c r="G64" s="118" t="s">
        <v>337</v>
      </c>
      <c r="H64" s="119">
        <v>13910</v>
      </c>
      <c r="I64" s="119">
        <v>34000</v>
      </c>
      <c r="J64" s="119">
        <v>20090</v>
      </c>
    </row>
    <row r="65" spans="1:10" x14ac:dyDescent="0.3">
      <c r="A65" s="115">
        <v>61</v>
      </c>
      <c r="B65" s="115">
        <v>209</v>
      </c>
      <c r="C65" s="116">
        <v>46135</v>
      </c>
      <c r="D65" s="117">
        <v>0.43353009259590181</v>
      </c>
      <c r="E65" s="116">
        <v>46135</v>
      </c>
      <c r="F65" s="117">
        <v>0.43971064814832062</v>
      </c>
      <c r="G65" s="118" t="s">
        <v>335</v>
      </c>
      <c r="H65" s="119">
        <v>13910</v>
      </c>
      <c r="I65" s="119">
        <v>32860</v>
      </c>
      <c r="J65" s="119">
        <v>18950</v>
      </c>
    </row>
    <row r="66" spans="1:10" x14ac:dyDescent="0.3">
      <c r="A66" s="115">
        <v>62</v>
      </c>
      <c r="B66" s="115">
        <v>211</v>
      </c>
      <c r="C66" s="116">
        <v>46135</v>
      </c>
      <c r="D66" s="117">
        <v>0.44511574073840166</v>
      </c>
      <c r="E66" s="116">
        <v>46135</v>
      </c>
      <c r="F66" s="117">
        <v>0.46770833332993789</v>
      </c>
      <c r="G66" s="118" t="s">
        <v>336</v>
      </c>
      <c r="H66" s="119">
        <v>13790</v>
      </c>
      <c r="I66" s="119">
        <v>31780</v>
      </c>
      <c r="J66" s="119">
        <v>17990</v>
      </c>
    </row>
    <row r="67" spans="1:10" x14ac:dyDescent="0.3">
      <c r="A67" s="115">
        <v>63</v>
      </c>
      <c r="B67" s="115">
        <v>213</v>
      </c>
      <c r="C67" s="116">
        <v>46135</v>
      </c>
      <c r="D67" s="117">
        <v>0.46504629629635019</v>
      </c>
      <c r="E67" s="116">
        <v>46135</v>
      </c>
      <c r="F67" s="117">
        <v>0.47717592592380242</v>
      </c>
      <c r="G67" s="118" t="s">
        <v>43</v>
      </c>
      <c r="H67" s="119">
        <v>13950</v>
      </c>
      <c r="I67" s="119">
        <v>33860</v>
      </c>
      <c r="J67" s="119">
        <v>19910</v>
      </c>
    </row>
    <row r="68" spans="1:10" x14ac:dyDescent="0.3">
      <c r="A68" s="115">
        <v>64</v>
      </c>
      <c r="B68" s="115">
        <v>215</v>
      </c>
      <c r="C68" s="116">
        <v>46135</v>
      </c>
      <c r="D68" s="117">
        <v>0.52648148148000473</v>
      </c>
      <c r="E68" s="116">
        <v>46135</v>
      </c>
      <c r="F68" s="117">
        <v>0.53148148148466134</v>
      </c>
      <c r="G68" s="118" t="s">
        <v>337</v>
      </c>
      <c r="H68" s="119">
        <v>13890</v>
      </c>
      <c r="I68" s="119">
        <v>33220</v>
      </c>
      <c r="J68" s="119">
        <v>19330</v>
      </c>
    </row>
    <row r="69" spans="1:10" x14ac:dyDescent="0.3">
      <c r="A69" s="115">
        <v>65</v>
      </c>
      <c r="B69" s="115">
        <v>219</v>
      </c>
      <c r="C69" s="116">
        <v>46135</v>
      </c>
      <c r="D69" s="117">
        <v>0.55478009259240935</v>
      </c>
      <c r="E69" s="116">
        <v>46135</v>
      </c>
      <c r="F69" s="117">
        <v>0.55921296296583023</v>
      </c>
      <c r="G69" s="118" t="s">
        <v>335</v>
      </c>
      <c r="H69" s="119">
        <v>13890</v>
      </c>
      <c r="I69" s="119">
        <v>33120</v>
      </c>
      <c r="J69" s="119">
        <v>19230</v>
      </c>
    </row>
    <row r="70" spans="1:10" x14ac:dyDescent="0.3">
      <c r="A70" s="115">
        <v>66</v>
      </c>
      <c r="B70" s="115">
        <v>221</v>
      </c>
      <c r="C70" s="116">
        <v>46135</v>
      </c>
      <c r="D70" s="117">
        <v>0.58126157407241408</v>
      </c>
      <c r="E70" s="116">
        <v>46135</v>
      </c>
      <c r="F70" s="117">
        <v>0.58940972221898846</v>
      </c>
      <c r="G70" s="118" t="s">
        <v>336</v>
      </c>
      <c r="H70" s="119">
        <v>13800</v>
      </c>
      <c r="I70" s="119">
        <v>32260</v>
      </c>
      <c r="J70" s="119">
        <v>18460</v>
      </c>
    </row>
    <row r="71" spans="1:10" x14ac:dyDescent="0.3">
      <c r="A71" s="115">
        <v>67</v>
      </c>
      <c r="B71" s="115">
        <v>223</v>
      </c>
      <c r="C71" s="116">
        <v>46135</v>
      </c>
      <c r="D71" s="117">
        <v>0.61883101851708489</v>
      </c>
      <c r="E71" s="116">
        <v>46135</v>
      </c>
      <c r="F71" s="117">
        <v>0.62304398148262408</v>
      </c>
      <c r="G71" s="118" t="s">
        <v>43</v>
      </c>
      <c r="H71" s="119">
        <v>13940</v>
      </c>
      <c r="I71" s="119">
        <v>33270</v>
      </c>
      <c r="J71" s="119">
        <v>19330</v>
      </c>
    </row>
    <row r="72" spans="1:10" x14ac:dyDescent="0.3">
      <c r="A72" s="115">
        <v>68</v>
      </c>
      <c r="B72" s="115">
        <v>225</v>
      </c>
      <c r="C72" s="116">
        <v>46135</v>
      </c>
      <c r="D72" s="117">
        <v>0.65612268518452765</v>
      </c>
      <c r="E72" s="116">
        <v>46135</v>
      </c>
      <c r="F72" s="117">
        <v>0.66130787037400296</v>
      </c>
      <c r="G72" s="118" t="s">
        <v>337</v>
      </c>
      <c r="H72" s="119">
        <v>13860</v>
      </c>
      <c r="I72" s="119">
        <v>34140</v>
      </c>
      <c r="J72" s="119">
        <v>20280</v>
      </c>
    </row>
    <row r="73" spans="1:10" x14ac:dyDescent="0.3">
      <c r="A73" s="115">
        <v>69</v>
      </c>
      <c r="B73" s="115">
        <v>229</v>
      </c>
      <c r="C73" s="116">
        <v>46135</v>
      </c>
      <c r="D73" s="117">
        <v>0.68059027777781012</v>
      </c>
      <c r="E73" s="116">
        <v>46135</v>
      </c>
      <c r="F73" s="117">
        <v>0.68556712962890742</v>
      </c>
      <c r="G73" s="118" t="s">
        <v>335</v>
      </c>
      <c r="H73" s="119">
        <v>13860</v>
      </c>
      <c r="I73" s="119">
        <v>32830</v>
      </c>
      <c r="J73" s="119">
        <v>18970</v>
      </c>
    </row>
    <row r="74" spans="1:10" x14ac:dyDescent="0.3">
      <c r="A74" s="115">
        <v>70</v>
      </c>
      <c r="B74" s="115">
        <v>232</v>
      </c>
      <c r="C74" s="116">
        <v>46135</v>
      </c>
      <c r="D74" s="117" t="s">
        <v>350</v>
      </c>
      <c r="E74" s="116">
        <v>46135</v>
      </c>
      <c r="F74" s="117" t="s">
        <v>351</v>
      </c>
      <c r="G74" s="118" t="s">
        <v>43</v>
      </c>
      <c r="H74" s="119">
        <v>13900</v>
      </c>
      <c r="I74" s="119">
        <v>33510</v>
      </c>
      <c r="J74" s="119">
        <v>19610</v>
      </c>
    </row>
    <row r="75" spans="1:10" x14ac:dyDescent="0.3">
      <c r="A75" s="115">
        <v>71</v>
      </c>
      <c r="B75" s="115">
        <v>233</v>
      </c>
      <c r="C75" s="116">
        <v>46135</v>
      </c>
      <c r="D75" s="117" t="s">
        <v>352</v>
      </c>
      <c r="E75" s="116">
        <v>46135</v>
      </c>
      <c r="F75" s="117" t="s">
        <v>353</v>
      </c>
      <c r="G75" s="118" t="s">
        <v>337</v>
      </c>
      <c r="H75" s="119">
        <v>13820</v>
      </c>
      <c r="I75" s="119">
        <v>32600</v>
      </c>
      <c r="J75" s="119">
        <v>18780</v>
      </c>
    </row>
    <row r="76" spans="1:10" x14ac:dyDescent="0.3">
      <c r="A76" s="115">
        <v>72</v>
      </c>
      <c r="B76" s="115">
        <v>239</v>
      </c>
      <c r="C76" s="116">
        <v>46136</v>
      </c>
      <c r="D76" s="117" t="s">
        <v>354</v>
      </c>
      <c r="E76" s="116">
        <v>46136</v>
      </c>
      <c r="F76" s="117" t="s">
        <v>355</v>
      </c>
      <c r="G76" s="118" t="s">
        <v>337</v>
      </c>
      <c r="H76" s="119">
        <v>13800</v>
      </c>
      <c r="I76" s="119">
        <v>32160</v>
      </c>
      <c r="J76" s="119">
        <v>18360</v>
      </c>
    </row>
    <row r="77" spans="1:10" x14ac:dyDescent="0.3">
      <c r="A77" s="115">
        <v>73</v>
      </c>
      <c r="B77" s="115">
        <v>241</v>
      </c>
      <c r="C77" s="116">
        <v>46136</v>
      </c>
      <c r="D77" s="117" t="s">
        <v>356</v>
      </c>
      <c r="E77" s="116">
        <v>46136</v>
      </c>
      <c r="F77" s="117" t="s">
        <v>357</v>
      </c>
      <c r="G77" s="118" t="s">
        <v>43</v>
      </c>
      <c r="H77" s="119">
        <v>13880</v>
      </c>
      <c r="I77" s="119">
        <v>32720</v>
      </c>
      <c r="J77" s="119">
        <v>18840</v>
      </c>
    </row>
    <row r="78" spans="1:10" x14ac:dyDescent="0.3">
      <c r="A78" s="115">
        <v>74</v>
      </c>
      <c r="B78" s="115">
        <v>242</v>
      </c>
      <c r="C78" s="116">
        <v>46136</v>
      </c>
      <c r="D78" s="117" t="s">
        <v>358</v>
      </c>
      <c r="E78" s="116">
        <v>46136</v>
      </c>
      <c r="F78" s="117" t="s">
        <v>359</v>
      </c>
      <c r="G78" s="118" t="s">
        <v>335</v>
      </c>
      <c r="H78" s="119">
        <v>13850</v>
      </c>
      <c r="I78" s="119">
        <v>34240</v>
      </c>
      <c r="J78" s="119">
        <v>20390</v>
      </c>
    </row>
    <row r="79" spans="1:10" x14ac:dyDescent="0.3">
      <c r="A79" s="115">
        <v>75</v>
      </c>
      <c r="B79" s="115">
        <v>248</v>
      </c>
      <c r="C79" s="116">
        <v>46136</v>
      </c>
      <c r="D79" s="117" t="s">
        <v>360</v>
      </c>
      <c r="E79" s="116">
        <v>46136</v>
      </c>
      <c r="F79" s="117" t="s">
        <v>361</v>
      </c>
      <c r="G79" s="118" t="s">
        <v>336</v>
      </c>
      <c r="H79" s="119">
        <v>13730</v>
      </c>
      <c r="I79" s="119">
        <v>32710</v>
      </c>
      <c r="J79" s="119">
        <v>18980</v>
      </c>
    </row>
    <row r="80" spans="1:10" x14ac:dyDescent="0.3">
      <c r="A80" s="115">
        <v>76</v>
      </c>
      <c r="B80" s="115">
        <v>249</v>
      </c>
      <c r="C80" s="116">
        <v>46136</v>
      </c>
      <c r="D80" s="117" t="s">
        <v>362</v>
      </c>
      <c r="E80" s="116">
        <v>46136</v>
      </c>
      <c r="F80" s="117" t="s">
        <v>363</v>
      </c>
      <c r="G80" s="118" t="s">
        <v>337</v>
      </c>
      <c r="H80" s="119">
        <v>13800</v>
      </c>
      <c r="I80" s="119">
        <v>32180</v>
      </c>
      <c r="J80" s="119">
        <v>18380</v>
      </c>
    </row>
    <row r="81" spans="1:10" x14ac:dyDescent="0.3">
      <c r="A81" s="115">
        <v>77</v>
      </c>
      <c r="B81" s="115">
        <v>250</v>
      </c>
      <c r="C81" s="116">
        <v>46136</v>
      </c>
      <c r="D81" s="117" t="s">
        <v>364</v>
      </c>
      <c r="E81" s="116">
        <v>46136</v>
      </c>
      <c r="F81" s="117" t="s">
        <v>365</v>
      </c>
      <c r="G81" s="118" t="s">
        <v>43</v>
      </c>
      <c r="H81" s="119">
        <v>13910</v>
      </c>
      <c r="I81" s="119">
        <v>32690</v>
      </c>
      <c r="J81" s="119">
        <v>18780</v>
      </c>
    </row>
    <row r="82" spans="1:10" x14ac:dyDescent="0.3">
      <c r="A82" s="115">
        <v>78</v>
      </c>
      <c r="B82" s="115">
        <v>252</v>
      </c>
      <c r="C82" s="116">
        <v>46136</v>
      </c>
      <c r="D82" s="117" t="s">
        <v>366</v>
      </c>
      <c r="E82" s="116">
        <v>46136</v>
      </c>
      <c r="F82" s="117" t="s">
        <v>367</v>
      </c>
      <c r="G82" s="118" t="s">
        <v>335</v>
      </c>
      <c r="H82" s="119">
        <v>13880</v>
      </c>
      <c r="I82" s="119">
        <v>33820</v>
      </c>
      <c r="J82" s="119">
        <v>19940</v>
      </c>
    </row>
    <row r="83" spans="1:10" x14ac:dyDescent="0.3">
      <c r="A83" s="115">
        <v>79</v>
      </c>
      <c r="B83" s="115">
        <v>258</v>
      </c>
      <c r="C83" s="116">
        <v>46136</v>
      </c>
      <c r="D83" s="117" t="s">
        <v>368</v>
      </c>
      <c r="E83" s="116">
        <v>46136</v>
      </c>
      <c r="F83" s="117" t="s">
        <v>369</v>
      </c>
      <c r="G83" s="118" t="s">
        <v>337</v>
      </c>
      <c r="H83" s="119">
        <v>13770</v>
      </c>
      <c r="I83" s="119">
        <v>33300</v>
      </c>
      <c r="J83" s="119">
        <v>19530</v>
      </c>
    </row>
    <row r="84" spans="1:10" x14ac:dyDescent="0.3">
      <c r="A84" s="115">
        <v>80</v>
      </c>
      <c r="B84" s="115">
        <v>259</v>
      </c>
      <c r="C84" s="116">
        <v>46136</v>
      </c>
      <c r="D84" s="117" t="s">
        <v>370</v>
      </c>
      <c r="E84" s="116">
        <v>46136</v>
      </c>
      <c r="F84" s="117" t="s">
        <v>371</v>
      </c>
      <c r="G84" s="118" t="s">
        <v>336</v>
      </c>
      <c r="H84" s="119">
        <v>14020</v>
      </c>
      <c r="I84" s="119">
        <v>34280</v>
      </c>
      <c r="J84" s="119">
        <v>20260</v>
      </c>
    </row>
    <row r="85" spans="1:10" x14ac:dyDescent="0.3">
      <c r="A85" s="115">
        <v>81</v>
      </c>
      <c r="B85" s="115">
        <v>260</v>
      </c>
      <c r="C85" s="116">
        <v>46136</v>
      </c>
      <c r="D85" s="117" t="s">
        <v>372</v>
      </c>
      <c r="E85" s="116">
        <v>46136</v>
      </c>
      <c r="F85" s="117" t="s">
        <v>373</v>
      </c>
      <c r="G85" s="118" t="s">
        <v>43</v>
      </c>
      <c r="H85" s="119">
        <v>14170</v>
      </c>
      <c r="I85" s="119">
        <v>34950</v>
      </c>
      <c r="J85" s="119">
        <v>20780</v>
      </c>
    </row>
    <row r="86" spans="1:10" x14ac:dyDescent="0.3">
      <c r="A86" s="115">
        <v>82</v>
      </c>
      <c r="B86" s="115">
        <v>263</v>
      </c>
      <c r="C86" s="116">
        <v>46136</v>
      </c>
      <c r="D86" s="117" t="s">
        <v>374</v>
      </c>
      <c r="E86" s="116">
        <v>46136</v>
      </c>
      <c r="F86" s="117" t="s">
        <v>375</v>
      </c>
      <c r="G86" s="118" t="s">
        <v>335</v>
      </c>
      <c r="H86" s="119">
        <v>13800</v>
      </c>
      <c r="I86" s="119">
        <v>34530</v>
      </c>
      <c r="J86" s="119">
        <v>20730</v>
      </c>
    </row>
    <row r="87" spans="1:10" x14ac:dyDescent="0.3">
      <c r="A87" s="115">
        <v>83</v>
      </c>
      <c r="B87" s="115">
        <v>267</v>
      </c>
      <c r="C87" s="116">
        <v>46136</v>
      </c>
      <c r="D87" s="117" t="s">
        <v>376</v>
      </c>
      <c r="E87" s="116">
        <v>46136</v>
      </c>
      <c r="F87" s="117" t="s">
        <v>377</v>
      </c>
      <c r="G87" s="118" t="s">
        <v>337</v>
      </c>
      <c r="H87" s="119">
        <v>14090</v>
      </c>
      <c r="I87" s="119">
        <v>34630</v>
      </c>
      <c r="J87" s="119">
        <v>20540</v>
      </c>
    </row>
    <row r="88" spans="1:10" x14ac:dyDescent="0.3">
      <c r="A88" s="115">
        <v>84</v>
      </c>
      <c r="B88" s="115">
        <v>269</v>
      </c>
      <c r="C88" s="116">
        <v>46136</v>
      </c>
      <c r="D88" s="117" t="s">
        <v>378</v>
      </c>
      <c r="E88" s="116">
        <v>46136</v>
      </c>
      <c r="F88" s="117" t="s">
        <v>379</v>
      </c>
      <c r="G88" s="118" t="s">
        <v>336</v>
      </c>
      <c r="H88" s="119">
        <v>13980</v>
      </c>
      <c r="I88" s="119">
        <v>33820</v>
      </c>
      <c r="J88" s="119">
        <v>19840</v>
      </c>
    </row>
    <row r="89" spans="1:10" x14ac:dyDescent="0.3">
      <c r="A89" s="115">
        <v>85</v>
      </c>
      <c r="B89" s="115">
        <v>270</v>
      </c>
      <c r="C89" s="116">
        <v>46136</v>
      </c>
      <c r="D89" s="117" t="s">
        <v>380</v>
      </c>
      <c r="E89" s="116">
        <v>46136</v>
      </c>
      <c r="F89" s="117" t="s">
        <v>381</v>
      </c>
      <c r="G89" s="118" t="s">
        <v>43</v>
      </c>
      <c r="H89" s="119">
        <v>14100</v>
      </c>
      <c r="I89" s="119">
        <v>33900</v>
      </c>
      <c r="J89" s="119">
        <v>19800</v>
      </c>
    </row>
    <row r="90" spans="1:10" x14ac:dyDescent="0.3">
      <c r="A90" s="115">
        <v>86</v>
      </c>
      <c r="B90" s="115">
        <v>273</v>
      </c>
      <c r="C90" s="116">
        <v>46136</v>
      </c>
      <c r="D90" s="117" t="s">
        <v>382</v>
      </c>
      <c r="E90" s="116">
        <v>46136</v>
      </c>
      <c r="F90" s="117" t="s">
        <v>383</v>
      </c>
      <c r="G90" s="118" t="s">
        <v>335</v>
      </c>
      <c r="H90" s="119">
        <v>13740</v>
      </c>
      <c r="I90" s="119">
        <v>34620</v>
      </c>
      <c r="J90" s="119">
        <v>20880</v>
      </c>
    </row>
    <row r="91" spans="1:10" x14ac:dyDescent="0.3">
      <c r="A91" s="115">
        <v>87</v>
      </c>
      <c r="B91" s="115">
        <v>277</v>
      </c>
      <c r="C91" s="116">
        <v>46136</v>
      </c>
      <c r="D91" s="117" t="s">
        <v>384</v>
      </c>
      <c r="E91" s="116">
        <v>46136</v>
      </c>
      <c r="F91" s="117" t="s">
        <v>385</v>
      </c>
      <c r="G91" s="118" t="s">
        <v>337</v>
      </c>
      <c r="H91" s="119">
        <v>14050</v>
      </c>
      <c r="I91" s="119">
        <v>33720</v>
      </c>
      <c r="J91" s="119">
        <v>19670</v>
      </c>
    </row>
    <row r="92" spans="1:10" x14ac:dyDescent="0.3">
      <c r="A92" s="115">
        <v>88</v>
      </c>
      <c r="B92" s="115">
        <v>279</v>
      </c>
      <c r="C92" s="116">
        <v>46136</v>
      </c>
      <c r="D92" s="117" t="s">
        <v>386</v>
      </c>
      <c r="E92" s="116">
        <v>46136</v>
      </c>
      <c r="F92" s="117" t="s">
        <v>387</v>
      </c>
      <c r="G92" s="118" t="s">
        <v>336</v>
      </c>
      <c r="H92" s="119">
        <v>13950</v>
      </c>
      <c r="I92" s="119">
        <v>33560</v>
      </c>
      <c r="J92" s="119">
        <v>19610</v>
      </c>
    </row>
    <row r="93" spans="1:10" x14ac:dyDescent="0.3">
      <c r="A93" s="115">
        <v>89</v>
      </c>
      <c r="B93" s="115">
        <v>280</v>
      </c>
      <c r="C93" s="116">
        <v>46136</v>
      </c>
      <c r="D93" s="117" t="s">
        <v>388</v>
      </c>
      <c r="E93" s="116">
        <v>46136</v>
      </c>
      <c r="F93" s="117" t="s">
        <v>389</v>
      </c>
      <c r="G93" s="118" t="s">
        <v>43</v>
      </c>
      <c r="H93" s="119">
        <v>14120</v>
      </c>
      <c r="I93" s="119">
        <v>33090</v>
      </c>
      <c r="J93" s="119">
        <v>18970</v>
      </c>
    </row>
    <row r="94" spans="1:10" x14ac:dyDescent="0.3">
      <c r="A94" s="115">
        <v>90</v>
      </c>
      <c r="B94" s="115">
        <v>283</v>
      </c>
      <c r="C94" s="116">
        <v>46136</v>
      </c>
      <c r="D94" s="117" t="s">
        <v>390</v>
      </c>
      <c r="E94" s="116">
        <v>46136</v>
      </c>
      <c r="F94" s="117" t="s">
        <v>391</v>
      </c>
      <c r="G94" s="118" t="s">
        <v>335</v>
      </c>
      <c r="H94" s="119">
        <v>14060</v>
      </c>
      <c r="I94" s="119">
        <v>33220</v>
      </c>
      <c r="J94" s="119">
        <v>19160</v>
      </c>
    </row>
    <row r="95" spans="1:10" x14ac:dyDescent="0.3">
      <c r="A95" s="115">
        <v>91</v>
      </c>
      <c r="B95" s="115">
        <v>284</v>
      </c>
      <c r="C95" s="116">
        <v>46136</v>
      </c>
      <c r="D95" s="117" t="s">
        <v>392</v>
      </c>
      <c r="E95" s="116">
        <v>46136</v>
      </c>
      <c r="F95" s="117" t="s">
        <v>393</v>
      </c>
      <c r="G95" s="118" t="s">
        <v>337</v>
      </c>
      <c r="H95" s="119">
        <v>14010</v>
      </c>
      <c r="I95" s="119">
        <v>32910</v>
      </c>
      <c r="J95" s="119">
        <v>18900</v>
      </c>
    </row>
    <row r="96" spans="1:10" x14ac:dyDescent="0.3">
      <c r="A96" s="115">
        <v>92</v>
      </c>
      <c r="B96" s="115">
        <v>287</v>
      </c>
      <c r="C96" s="116">
        <v>46137</v>
      </c>
      <c r="D96" s="117" t="s">
        <v>394</v>
      </c>
      <c r="E96" s="116">
        <v>46137</v>
      </c>
      <c r="F96" s="117" t="s">
        <v>395</v>
      </c>
      <c r="G96" s="118" t="s">
        <v>337</v>
      </c>
      <c r="H96" s="119">
        <v>13930</v>
      </c>
      <c r="I96" s="119">
        <v>32980</v>
      </c>
      <c r="J96" s="119">
        <v>19050</v>
      </c>
    </row>
    <row r="97" spans="1:10" x14ac:dyDescent="0.3">
      <c r="A97" s="115">
        <v>93</v>
      </c>
      <c r="B97" s="115">
        <v>291</v>
      </c>
      <c r="C97" s="116">
        <v>46137</v>
      </c>
      <c r="D97" s="117" t="s">
        <v>396</v>
      </c>
      <c r="E97" s="116">
        <v>46137</v>
      </c>
      <c r="F97" s="117" t="s">
        <v>397</v>
      </c>
      <c r="G97" s="118" t="s">
        <v>335</v>
      </c>
      <c r="H97" s="119">
        <v>14010</v>
      </c>
      <c r="I97" s="119">
        <v>32770</v>
      </c>
      <c r="J97" s="119">
        <v>18760</v>
      </c>
    </row>
    <row r="98" spans="1:10" x14ac:dyDescent="0.3">
      <c r="A98" s="115">
        <v>94</v>
      </c>
      <c r="B98" s="115">
        <v>293</v>
      </c>
      <c r="C98" s="116">
        <v>46137</v>
      </c>
      <c r="D98" s="117" t="s">
        <v>398</v>
      </c>
      <c r="E98" s="116">
        <v>46137</v>
      </c>
      <c r="F98" s="117" t="s">
        <v>399</v>
      </c>
      <c r="G98" s="118" t="s">
        <v>336</v>
      </c>
      <c r="H98" s="119">
        <v>13930</v>
      </c>
      <c r="I98" s="119">
        <v>32960</v>
      </c>
      <c r="J98" s="119">
        <v>19030</v>
      </c>
    </row>
    <row r="99" spans="1:10" x14ac:dyDescent="0.3">
      <c r="A99" s="115">
        <v>95</v>
      </c>
      <c r="B99" s="115">
        <v>294</v>
      </c>
      <c r="C99" s="116">
        <v>46137</v>
      </c>
      <c r="D99" s="117" t="s">
        <v>400</v>
      </c>
      <c r="E99" s="116">
        <v>46137</v>
      </c>
      <c r="F99" s="117" t="s">
        <v>401</v>
      </c>
      <c r="G99" s="118" t="s">
        <v>43</v>
      </c>
      <c r="H99" s="119">
        <v>14030</v>
      </c>
      <c r="I99" s="119">
        <v>33420</v>
      </c>
      <c r="J99" s="119">
        <v>19390</v>
      </c>
    </row>
    <row r="100" spans="1:10" x14ac:dyDescent="0.3">
      <c r="A100" s="115">
        <v>96</v>
      </c>
      <c r="B100" s="115">
        <v>297</v>
      </c>
      <c r="C100" s="116">
        <v>46137</v>
      </c>
      <c r="D100" s="117" t="s">
        <v>402</v>
      </c>
      <c r="E100" s="116">
        <v>46137</v>
      </c>
      <c r="F100" s="117" t="s">
        <v>403</v>
      </c>
      <c r="G100" s="118" t="s">
        <v>337</v>
      </c>
      <c r="H100" s="119">
        <v>13910</v>
      </c>
      <c r="I100" s="119">
        <v>33130</v>
      </c>
      <c r="J100" s="119">
        <v>19220</v>
      </c>
    </row>
    <row r="101" spans="1:10" x14ac:dyDescent="0.3">
      <c r="A101" s="115">
        <v>97</v>
      </c>
      <c r="B101" s="115">
        <v>301</v>
      </c>
      <c r="C101" s="116">
        <v>46137</v>
      </c>
      <c r="D101" s="117" t="s">
        <v>404</v>
      </c>
      <c r="E101" s="116">
        <v>46137</v>
      </c>
      <c r="F101" s="117" t="s">
        <v>405</v>
      </c>
      <c r="G101" s="118" t="s">
        <v>335</v>
      </c>
      <c r="H101" s="119">
        <v>14000</v>
      </c>
      <c r="I101" s="119">
        <v>32740</v>
      </c>
      <c r="J101" s="119">
        <v>18740</v>
      </c>
    </row>
    <row r="102" spans="1:10" x14ac:dyDescent="0.3">
      <c r="A102" s="115">
        <v>98</v>
      </c>
      <c r="B102" s="115">
        <v>303</v>
      </c>
      <c r="C102" s="116">
        <v>46137</v>
      </c>
      <c r="D102" s="117" t="s">
        <v>406</v>
      </c>
      <c r="E102" s="116">
        <v>46137</v>
      </c>
      <c r="F102" s="117" t="s">
        <v>407</v>
      </c>
      <c r="G102" s="118" t="s">
        <v>336</v>
      </c>
      <c r="H102" s="119">
        <v>13920</v>
      </c>
      <c r="I102" s="119">
        <v>32570</v>
      </c>
      <c r="J102" s="119">
        <v>18650</v>
      </c>
    </row>
    <row r="103" spans="1:10" x14ac:dyDescent="0.3">
      <c r="A103" s="115">
        <v>99</v>
      </c>
      <c r="B103" s="115">
        <v>304</v>
      </c>
      <c r="C103" s="116">
        <v>46137</v>
      </c>
      <c r="D103" s="117" t="s">
        <v>408</v>
      </c>
      <c r="E103" s="116">
        <v>46137</v>
      </c>
      <c r="F103" s="117" t="s">
        <v>409</v>
      </c>
      <c r="G103" s="118" t="s">
        <v>43</v>
      </c>
      <c r="H103" s="119">
        <v>13980</v>
      </c>
      <c r="I103" s="119">
        <v>31960</v>
      </c>
      <c r="J103" s="119">
        <v>17980</v>
      </c>
    </row>
    <row r="104" spans="1:10" x14ac:dyDescent="0.3">
      <c r="A104" s="115">
        <v>100</v>
      </c>
      <c r="B104" s="115">
        <v>307</v>
      </c>
      <c r="C104" s="116">
        <v>46137</v>
      </c>
      <c r="D104" s="117" t="s">
        <v>410</v>
      </c>
      <c r="E104" s="116">
        <v>46137</v>
      </c>
      <c r="F104" s="117" t="s">
        <v>411</v>
      </c>
      <c r="G104" s="118" t="s">
        <v>337</v>
      </c>
      <c r="H104" s="119">
        <v>13860</v>
      </c>
      <c r="I104" s="119">
        <v>32100</v>
      </c>
      <c r="J104" s="119">
        <v>18240</v>
      </c>
    </row>
    <row r="105" spans="1:10" x14ac:dyDescent="0.3">
      <c r="A105" s="115">
        <v>101</v>
      </c>
      <c r="B105" s="115">
        <v>311</v>
      </c>
      <c r="C105" s="116">
        <v>46137</v>
      </c>
      <c r="D105" s="117" t="s">
        <v>412</v>
      </c>
      <c r="E105" s="116">
        <v>46137</v>
      </c>
      <c r="F105" s="117" t="s">
        <v>413</v>
      </c>
      <c r="G105" s="118" t="s">
        <v>335</v>
      </c>
      <c r="H105" s="119">
        <v>13980</v>
      </c>
      <c r="I105" s="119">
        <v>32790</v>
      </c>
      <c r="J105" s="119">
        <v>18810</v>
      </c>
    </row>
    <row r="106" spans="1:10" x14ac:dyDescent="0.3">
      <c r="A106" s="115">
        <v>102</v>
      </c>
      <c r="B106" s="115">
        <v>313</v>
      </c>
      <c r="C106" s="116">
        <v>46137</v>
      </c>
      <c r="D106" s="117" t="s">
        <v>414</v>
      </c>
      <c r="E106" s="116">
        <v>46137</v>
      </c>
      <c r="F106" s="117" t="s">
        <v>415</v>
      </c>
      <c r="G106" s="118" t="s">
        <v>43</v>
      </c>
      <c r="H106" s="119">
        <v>13970</v>
      </c>
      <c r="I106" s="119">
        <v>33530</v>
      </c>
      <c r="J106" s="119">
        <v>19560</v>
      </c>
    </row>
    <row r="107" spans="1:10" x14ac:dyDescent="0.3">
      <c r="A107" s="115">
        <v>103</v>
      </c>
      <c r="B107" s="115">
        <v>314</v>
      </c>
      <c r="C107" s="116">
        <v>46137</v>
      </c>
      <c r="D107" s="117" t="s">
        <v>416</v>
      </c>
      <c r="E107" s="116">
        <v>46137</v>
      </c>
      <c r="F107" s="117" t="s">
        <v>417</v>
      </c>
      <c r="G107" s="118" t="s">
        <v>336</v>
      </c>
      <c r="H107" s="119">
        <v>13880</v>
      </c>
      <c r="I107" s="119">
        <v>32720</v>
      </c>
      <c r="J107" s="119">
        <v>18840</v>
      </c>
    </row>
    <row r="108" spans="1:10" x14ac:dyDescent="0.3">
      <c r="A108" s="115">
        <v>104</v>
      </c>
      <c r="B108" s="115">
        <v>317</v>
      </c>
      <c r="C108" s="116">
        <v>46137</v>
      </c>
      <c r="D108" s="117" t="s">
        <v>418</v>
      </c>
      <c r="E108" s="116">
        <v>46137</v>
      </c>
      <c r="F108" s="117" t="s">
        <v>419</v>
      </c>
      <c r="G108" s="118" t="s">
        <v>337</v>
      </c>
      <c r="H108" s="119">
        <v>13850</v>
      </c>
      <c r="I108" s="119">
        <v>33720</v>
      </c>
      <c r="J108" s="119">
        <v>19870</v>
      </c>
    </row>
    <row r="109" spans="1:10" x14ac:dyDescent="0.3">
      <c r="A109" s="115">
        <v>105</v>
      </c>
      <c r="B109" s="115">
        <v>321</v>
      </c>
      <c r="C109" s="116">
        <v>46137</v>
      </c>
      <c r="D109" s="117" t="s">
        <v>420</v>
      </c>
      <c r="E109" s="116">
        <v>46137</v>
      </c>
      <c r="F109" s="117" t="s">
        <v>421</v>
      </c>
      <c r="G109" s="118" t="s">
        <v>335</v>
      </c>
      <c r="H109" s="119">
        <v>13950</v>
      </c>
      <c r="I109" s="119">
        <v>32850</v>
      </c>
      <c r="J109" s="119">
        <v>18900</v>
      </c>
    </row>
    <row r="110" spans="1:10" x14ac:dyDescent="0.3">
      <c r="A110" s="115">
        <v>106</v>
      </c>
      <c r="B110" s="115">
        <v>323</v>
      </c>
      <c r="C110" s="116">
        <v>46137</v>
      </c>
      <c r="D110" s="117" t="s">
        <v>422</v>
      </c>
      <c r="E110" s="116">
        <v>46137</v>
      </c>
      <c r="F110" s="117" t="s">
        <v>423</v>
      </c>
      <c r="G110" s="118" t="s">
        <v>43</v>
      </c>
      <c r="H110" s="119">
        <v>13910</v>
      </c>
      <c r="I110" s="119">
        <v>33200</v>
      </c>
      <c r="J110" s="119">
        <v>19290</v>
      </c>
    </row>
    <row r="111" spans="1:10" x14ac:dyDescent="0.3">
      <c r="A111" s="115">
        <v>107</v>
      </c>
      <c r="B111" s="115">
        <v>324</v>
      </c>
      <c r="C111" s="116">
        <v>46137</v>
      </c>
      <c r="D111" s="117" t="s">
        <v>424</v>
      </c>
      <c r="E111" s="116">
        <v>46137</v>
      </c>
      <c r="F111" s="117" t="s">
        <v>425</v>
      </c>
      <c r="G111" s="118" t="s">
        <v>336</v>
      </c>
      <c r="H111" s="119">
        <v>13850</v>
      </c>
      <c r="I111" s="119">
        <v>33490</v>
      </c>
      <c r="J111" s="119">
        <v>19640</v>
      </c>
    </row>
    <row r="112" spans="1:10" x14ac:dyDescent="0.3">
      <c r="A112" s="115">
        <v>108</v>
      </c>
      <c r="B112" s="115">
        <v>327</v>
      </c>
      <c r="C112" s="116">
        <v>46137</v>
      </c>
      <c r="D112" s="117" t="s">
        <v>426</v>
      </c>
      <c r="E112" s="116">
        <v>46137</v>
      </c>
      <c r="F112" s="117" t="s">
        <v>427</v>
      </c>
      <c r="G112" s="118" t="s">
        <v>337</v>
      </c>
      <c r="H112" s="119">
        <v>13890</v>
      </c>
      <c r="I112" s="119">
        <v>34030</v>
      </c>
      <c r="J112" s="119">
        <v>20140</v>
      </c>
    </row>
    <row r="113" spans="1:10" x14ac:dyDescent="0.3">
      <c r="A113" s="115">
        <v>109</v>
      </c>
      <c r="B113" s="115">
        <v>330</v>
      </c>
      <c r="C113" s="116">
        <v>46137</v>
      </c>
      <c r="D113" s="117" t="s">
        <v>428</v>
      </c>
      <c r="E113" s="116">
        <v>46137</v>
      </c>
      <c r="F113" s="117" t="s">
        <v>429</v>
      </c>
      <c r="G113" s="118" t="s">
        <v>335</v>
      </c>
      <c r="H113" s="119">
        <v>13920</v>
      </c>
      <c r="I113" s="119">
        <v>33310</v>
      </c>
      <c r="J113" s="119">
        <v>19390</v>
      </c>
    </row>
    <row r="114" spans="1:10" x14ac:dyDescent="0.3">
      <c r="A114" s="115">
        <v>110</v>
      </c>
      <c r="B114" s="115">
        <v>332</v>
      </c>
      <c r="C114" s="116">
        <v>46137</v>
      </c>
      <c r="D114" s="117" t="s">
        <v>430</v>
      </c>
      <c r="E114" s="116">
        <v>46137</v>
      </c>
      <c r="F114" s="117" t="s">
        <v>431</v>
      </c>
      <c r="G114" s="118" t="s">
        <v>43</v>
      </c>
      <c r="H114" s="119">
        <v>14090</v>
      </c>
      <c r="I114" s="119">
        <v>33180</v>
      </c>
      <c r="J114" s="119">
        <v>19090</v>
      </c>
    </row>
    <row r="115" spans="1:10" x14ac:dyDescent="0.3">
      <c r="A115" s="115">
        <v>111</v>
      </c>
      <c r="B115" s="115">
        <v>333</v>
      </c>
      <c r="C115" s="116">
        <v>46137</v>
      </c>
      <c r="D115" s="117" t="s">
        <v>432</v>
      </c>
      <c r="E115" s="116">
        <v>46137</v>
      </c>
      <c r="F115" s="117" t="s">
        <v>433</v>
      </c>
      <c r="G115" s="118" t="s">
        <v>336</v>
      </c>
      <c r="H115" s="119">
        <v>13820</v>
      </c>
      <c r="I115" s="119">
        <v>35300</v>
      </c>
      <c r="J115" s="119">
        <v>21480</v>
      </c>
    </row>
    <row r="116" spans="1:10" x14ac:dyDescent="0.3">
      <c r="A116" s="115">
        <v>112</v>
      </c>
      <c r="B116" s="115">
        <v>338</v>
      </c>
      <c r="C116" s="116">
        <v>46137</v>
      </c>
      <c r="D116" s="117" t="s">
        <v>434</v>
      </c>
      <c r="E116" s="116">
        <v>46137</v>
      </c>
      <c r="F116" s="117" t="s">
        <v>435</v>
      </c>
      <c r="G116" s="118" t="s">
        <v>337</v>
      </c>
      <c r="H116" s="119">
        <v>14060</v>
      </c>
      <c r="I116" s="119">
        <v>33620</v>
      </c>
      <c r="J116" s="119">
        <v>19560</v>
      </c>
    </row>
    <row r="117" spans="1:10" x14ac:dyDescent="0.3">
      <c r="A117" s="115">
        <v>113</v>
      </c>
      <c r="B117" s="115">
        <v>341</v>
      </c>
      <c r="C117" s="116">
        <v>46137</v>
      </c>
      <c r="D117" s="117" t="s">
        <v>436</v>
      </c>
      <c r="E117" s="116">
        <v>46137</v>
      </c>
      <c r="F117" s="117" t="s">
        <v>437</v>
      </c>
      <c r="G117" s="118" t="s">
        <v>335</v>
      </c>
      <c r="H117" s="119">
        <v>13890</v>
      </c>
      <c r="I117" s="119">
        <v>33190</v>
      </c>
      <c r="J117" s="119">
        <v>19300</v>
      </c>
    </row>
    <row r="118" spans="1:10" x14ac:dyDescent="0.3">
      <c r="A118" s="115">
        <v>114</v>
      </c>
      <c r="B118" s="115">
        <v>343</v>
      </c>
      <c r="C118" s="116">
        <v>46137</v>
      </c>
      <c r="D118" s="117" t="s">
        <v>438</v>
      </c>
      <c r="E118" s="116">
        <v>46137</v>
      </c>
      <c r="F118" s="117" t="s">
        <v>439</v>
      </c>
      <c r="G118" s="118" t="s">
        <v>43</v>
      </c>
      <c r="H118" s="119">
        <v>14060</v>
      </c>
      <c r="I118" s="119">
        <v>32640</v>
      </c>
      <c r="J118" s="119">
        <v>18580</v>
      </c>
    </row>
    <row r="119" spans="1:10" x14ac:dyDescent="0.3">
      <c r="A119" s="115">
        <v>115</v>
      </c>
      <c r="B119" s="115">
        <v>344</v>
      </c>
      <c r="C119" s="116">
        <v>46137</v>
      </c>
      <c r="D119" s="117" t="s">
        <v>440</v>
      </c>
      <c r="E119" s="116">
        <v>46137</v>
      </c>
      <c r="F119" s="117" t="s">
        <v>441</v>
      </c>
      <c r="G119" s="118" t="s">
        <v>336</v>
      </c>
      <c r="H119" s="119">
        <v>13790</v>
      </c>
      <c r="I119" s="119">
        <v>32150</v>
      </c>
      <c r="J119" s="119">
        <v>18360</v>
      </c>
    </row>
    <row r="120" spans="1:10" x14ac:dyDescent="0.3">
      <c r="A120" s="115">
        <v>116</v>
      </c>
      <c r="B120" s="115">
        <v>346</v>
      </c>
      <c r="C120" s="116">
        <v>46139</v>
      </c>
      <c r="D120" s="117" t="s">
        <v>442</v>
      </c>
      <c r="E120" s="116">
        <v>46139</v>
      </c>
      <c r="F120" s="117" t="s">
        <v>443</v>
      </c>
      <c r="G120" s="118" t="s">
        <v>335</v>
      </c>
      <c r="H120" s="119">
        <v>13890</v>
      </c>
      <c r="I120" s="119">
        <v>33310</v>
      </c>
      <c r="J120" s="119">
        <v>19420</v>
      </c>
    </row>
    <row r="121" spans="1:10" x14ac:dyDescent="0.3">
      <c r="A121" s="115">
        <v>117</v>
      </c>
      <c r="B121" s="115">
        <v>347</v>
      </c>
      <c r="C121" s="116">
        <v>46139</v>
      </c>
      <c r="D121" s="117" t="s">
        <v>444</v>
      </c>
      <c r="E121" s="116">
        <v>46139</v>
      </c>
      <c r="F121" s="117" t="s">
        <v>445</v>
      </c>
      <c r="G121" s="118" t="s">
        <v>43</v>
      </c>
      <c r="H121" s="119">
        <v>14050</v>
      </c>
      <c r="I121" s="119">
        <v>32860</v>
      </c>
      <c r="J121" s="119">
        <v>18810</v>
      </c>
    </row>
    <row r="122" spans="1:10" x14ac:dyDescent="0.3">
      <c r="A122" s="115">
        <v>118</v>
      </c>
      <c r="B122" s="115">
        <v>350</v>
      </c>
      <c r="C122" s="116">
        <v>46139</v>
      </c>
      <c r="D122" s="117" t="s">
        <v>446</v>
      </c>
      <c r="E122" s="116">
        <v>46139</v>
      </c>
      <c r="F122" s="117" t="s">
        <v>447</v>
      </c>
      <c r="G122" s="118" t="s">
        <v>336</v>
      </c>
      <c r="H122" s="119">
        <v>13700</v>
      </c>
      <c r="I122" s="119">
        <v>34100</v>
      </c>
      <c r="J122" s="119">
        <v>20400</v>
      </c>
    </row>
    <row r="123" spans="1:10" x14ac:dyDescent="0.3">
      <c r="A123" s="115">
        <v>119</v>
      </c>
      <c r="B123" s="115">
        <v>352</v>
      </c>
      <c r="C123" s="116">
        <v>46139</v>
      </c>
      <c r="D123" s="117" t="s">
        <v>448</v>
      </c>
      <c r="E123" s="116">
        <v>46139</v>
      </c>
      <c r="F123" s="117" t="s">
        <v>449</v>
      </c>
      <c r="G123" s="118" t="s">
        <v>337</v>
      </c>
      <c r="H123" s="119">
        <v>13980</v>
      </c>
      <c r="I123" s="119">
        <v>34450</v>
      </c>
      <c r="J123" s="119">
        <v>20470</v>
      </c>
    </row>
    <row r="124" spans="1:10" x14ac:dyDescent="0.3">
      <c r="A124" s="115">
        <v>120</v>
      </c>
      <c r="B124" s="115">
        <v>355</v>
      </c>
      <c r="C124" s="116">
        <v>46139</v>
      </c>
      <c r="D124" s="117" t="s">
        <v>450</v>
      </c>
      <c r="E124" s="116">
        <v>46139</v>
      </c>
      <c r="F124" s="117" t="s">
        <v>451</v>
      </c>
      <c r="G124" s="118" t="s">
        <v>43</v>
      </c>
      <c r="H124" s="119">
        <v>14010</v>
      </c>
      <c r="I124" s="119">
        <v>33260</v>
      </c>
      <c r="J124" s="119">
        <v>19250</v>
      </c>
    </row>
    <row r="125" spans="1:10" x14ac:dyDescent="0.3">
      <c r="A125" s="115">
        <v>121</v>
      </c>
      <c r="B125" s="115">
        <v>356</v>
      </c>
      <c r="C125" s="116">
        <v>46139</v>
      </c>
      <c r="D125" s="117" t="s">
        <v>452</v>
      </c>
      <c r="E125" s="116">
        <v>46139</v>
      </c>
      <c r="F125" s="117" t="s">
        <v>453</v>
      </c>
      <c r="G125" s="118" t="s">
        <v>335</v>
      </c>
      <c r="H125" s="119">
        <v>14100</v>
      </c>
      <c r="I125" s="119">
        <v>34150</v>
      </c>
      <c r="J125" s="119">
        <v>20050</v>
      </c>
    </row>
    <row r="126" spans="1:10" x14ac:dyDescent="0.3">
      <c r="A126" s="115">
        <v>122</v>
      </c>
      <c r="B126" s="115">
        <v>361</v>
      </c>
      <c r="C126" s="116">
        <v>46139</v>
      </c>
      <c r="D126" s="117" t="s">
        <v>454</v>
      </c>
      <c r="E126" s="116">
        <v>46139</v>
      </c>
      <c r="F126" s="117" t="s">
        <v>455</v>
      </c>
      <c r="G126" s="118" t="s">
        <v>337</v>
      </c>
      <c r="H126" s="119">
        <v>13740</v>
      </c>
      <c r="I126" s="119">
        <v>35480</v>
      </c>
      <c r="J126" s="119">
        <v>21740</v>
      </c>
    </row>
    <row r="127" spans="1:10" x14ac:dyDescent="0.3">
      <c r="A127" s="115">
        <v>123</v>
      </c>
      <c r="B127" s="115">
        <v>363</v>
      </c>
      <c r="C127" s="116">
        <v>46139</v>
      </c>
      <c r="D127" s="117" t="s">
        <v>456</v>
      </c>
      <c r="E127" s="116">
        <v>46139</v>
      </c>
      <c r="F127" s="117" t="s">
        <v>457</v>
      </c>
      <c r="G127" s="118" t="s">
        <v>336</v>
      </c>
      <c r="H127" s="119">
        <v>14120</v>
      </c>
      <c r="I127" s="119">
        <v>34100</v>
      </c>
      <c r="J127" s="119">
        <v>19980</v>
      </c>
    </row>
    <row r="128" spans="1:10" x14ac:dyDescent="0.3">
      <c r="A128" s="115">
        <v>124</v>
      </c>
      <c r="B128" s="115">
        <v>366</v>
      </c>
      <c r="C128" s="116">
        <v>46139</v>
      </c>
      <c r="D128" s="117" t="s">
        <v>458</v>
      </c>
      <c r="E128" s="116">
        <v>46139</v>
      </c>
      <c r="F128" s="117" t="s">
        <v>459</v>
      </c>
      <c r="G128" s="118" t="s">
        <v>43</v>
      </c>
      <c r="H128" s="119">
        <v>13970</v>
      </c>
      <c r="I128" s="119">
        <v>34620</v>
      </c>
      <c r="J128" s="119">
        <v>20650</v>
      </c>
    </row>
    <row r="129" spans="1:10" x14ac:dyDescent="0.3">
      <c r="A129" s="115">
        <v>125</v>
      </c>
      <c r="B129" s="115">
        <v>368</v>
      </c>
      <c r="C129" s="116">
        <v>46139</v>
      </c>
      <c r="D129" s="117" t="s">
        <v>460</v>
      </c>
      <c r="E129" s="116">
        <v>46139</v>
      </c>
      <c r="F129" s="117" t="s">
        <v>461</v>
      </c>
      <c r="G129" s="118" t="s">
        <v>335</v>
      </c>
      <c r="H129" s="119">
        <v>14020</v>
      </c>
      <c r="I129" s="119">
        <v>34450</v>
      </c>
      <c r="J129" s="119">
        <v>20430</v>
      </c>
    </row>
    <row r="130" spans="1:10" x14ac:dyDescent="0.3">
      <c r="A130" s="115">
        <v>126</v>
      </c>
      <c r="B130" s="115">
        <v>369</v>
      </c>
      <c r="C130" s="116">
        <v>46139</v>
      </c>
      <c r="D130" s="117" t="s">
        <v>462</v>
      </c>
      <c r="E130" s="116">
        <v>46139</v>
      </c>
      <c r="F130" s="117" t="s">
        <v>463</v>
      </c>
      <c r="G130" s="118" t="s">
        <v>337</v>
      </c>
      <c r="H130" s="119">
        <v>14000</v>
      </c>
      <c r="I130" s="119">
        <v>34000</v>
      </c>
      <c r="J130" s="119">
        <v>20000</v>
      </c>
    </row>
    <row r="131" spans="1:10" x14ac:dyDescent="0.3">
      <c r="A131" s="115">
        <v>127</v>
      </c>
      <c r="B131" s="115">
        <v>373</v>
      </c>
      <c r="C131" s="116">
        <v>46139</v>
      </c>
      <c r="D131" s="117" t="s">
        <v>464</v>
      </c>
      <c r="E131" s="116">
        <v>46139</v>
      </c>
      <c r="F131" s="117" t="s">
        <v>465</v>
      </c>
      <c r="G131" s="118" t="s">
        <v>336</v>
      </c>
      <c r="H131" s="119">
        <v>13980</v>
      </c>
      <c r="I131" s="119">
        <v>34670</v>
      </c>
      <c r="J131" s="119">
        <v>20690</v>
      </c>
    </row>
    <row r="132" spans="1:10" x14ac:dyDescent="0.3">
      <c r="A132" s="115">
        <v>128</v>
      </c>
      <c r="B132" s="115">
        <v>376</v>
      </c>
      <c r="C132" s="116">
        <v>46139</v>
      </c>
      <c r="D132" s="117" t="s">
        <v>466</v>
      </c>
      <c r="E132" s="116">
        <v>46139</v>
      </c>
      <c r="F132" s="117" t="s">
        <v>467</v>
      </c>
      <c r="G132" s="118" t="s">
        <v>43</v>
      </c>
      <c r="H132" s="119">
        <v>14050</v>
      </c>
      <c r="I132" s="119">
        <v>34410</v>
      </c>
      <c r="J132" s="119">
        <v>20360</v>
      </c>
    </row>
    <row r="133" spans="1:10" x14ac:dyDescent="0.3">
      <c r="A133" s="115">
        <v>129</v>
      </c>
      <c r="B133" s="115">
        <v>377</v>
      </c>
      <c r="C133" s="116">
        <v>46139</v>
      </c>
      <c r="D133" s="117" t="s">
        <v>468</v>
      </c>
      <c r="E133" s="116">
        <v>46139</v>
      </c>
      <c r="F133" s="117" t="s">
        <v>469</v>
      </c>
      <c r="G133" s="118" t="s">
        <v>335</v>
      </c>
      <c r="H133" s="119">
        <v>14010</v>
      </c>
      <c r="I133" s="119">
        <v>34470</v>
      </c>
      <c r="J133" s="119">
        <v>20460</v>
      </c>
    </row>
    <row r="134" spans="1:10" x14ac:dyDescent="0.3">
      <c r="A134" s="115">
        <v>130</v>
      </c>
      <c r="B134" s="115">
        <v>378</v>
      </c>
      <c r="C134" s="116">
        <v>46139</v>
      </c>
      <c r="D134" s="117" t="s">
        <v>470</v>
      </c>
      <c r="E134" s="116">
        <v>46139</v>
      </c>
      <c r="F134" s="117" t="s">
        <v>471</v>
      </c>
      <c r="G134" s="118" t="s">
        <v>337</v>
      </c>
      <c r="H134" s="119">
        <v>13910</v>
      </c>
      <c r="I134" s="119">
        <v>34650</v>
      </c>
      <c r="J134" s="119">
        <v>20740</v>
      </c>
    </row>
    <row r="135" spans="1:10" x14ac:dyDescent="0.3">
      <c r="A135" s="115">
        <v>131</v>
      </c>
      <c r="B135" s="115">
        <v>384</v>
      </c>
      <c r="C135" s="116">
        <v>46139</v>
      </c>
      <c r="D135" s="117" t="s">
        <v>472</v>
      </c>
      <c r="E135" s="116">
        <v>46139</v>
      </c>
      <c r="F135" s="117" t="s">
        <v>473</v>
      </c>
      <c r="G135" s="118" t="s">
        <v>336</v>
      </c>
      <c r="H135" s="119">
        <v>14020</v>
      </c>
      <c r="I135" s="119">
        <v>33900</v>
      </c>
      <c r="J135" s="119">
        <v>19880</v>
      </c>
    </row>
    <row r="136" spans="1:10" x14ac:dyDescent="0.3">
      <c r="A136" s="115">
        <v>132</v>
      </c>
      <c r="B136" s="115">
        <v>386</v>
      </c>
      <c r="C136" s="116">
        <v>46140</v>
      </c>
      <c r="D136" s="117" t="s">
        <v>474</v>
      </c>
      <c r="E136" s="116">
        <v>46140</v>
      </c>
      <c r="F136" s="117" t="s">
        <v>475</v>
      </c>
      <c r="G136" s="118" t="s">
        <v>335</v>
      </c>
      <c r="H136" s="119">
        <v>13970</v>
      </c>
      <c r="I136" s="119">
        <v>33950</v>
      </c>
      <c r="J136" s="119">
        <v>19980</v>
      </c>
    </row>
    <row r="137" spans="1:10" x14ac:dyDescent="0.3">
      <c r="A137" s="115">
        <v>133</v>
      </c>
      <c r="B137" s="115">
        <v>387</v>
      </c>
      <c r="C137" s="116">
        <v>46140</v>
      </c>
      <c r="D137" s="117" t="s">
        <v>476</v>
      </c>
      <c r="E137" s="116">
        <v>46140</v>
      </c>
      <c r="F137" s="117" t="s">
        <v>477</v>
      </c>
      <c r="G137" s="118" t="s">
        <v>337</v>
      </c>
      <c r="H137" s="119">
        <v>13940</v>
      </c>
      <c r="I137" s="119">
        <v>33660</v>
      </c>
      <c r="J137" s="119">
        <v>19720</v>
      </c>
    </row>
    <row r="138" spans="1:10" x14ac:dyDescent="0.3">
      <c r="A138" s="115">
        <v>134</v>
      </c>
      <c r="B138" s="115">
        <v>390</v>
      </c>
      <c r="C138" s="116">
        <v>46140</v>
      </c>
      <c r="D138" s="117" t="s">
        <v>478</v>
      </c>
      <c r="E138" s="116">
        <v>46140</v>
      </c>
      <c r="F138" s="117" t="s">
        <v>479</v>
      </c>
      <c r="G138" s="118" t="s">
        <v>336</v>
      </c>
      <c r="H138" s="119">
        <v>13910</v>
      </c>
      <c r="I138" s="119">
        <v>34130</v>
      </c>
      <c r="J138" s="119">
        <v>20220</v>
      </c>
    </row>
    <row r="139" spans="1:10" x14ac:dyDescent="0.3">
      <c r="A139" s="115">
        <v>135</v>
      </c>
      <c r="B139" s="115">
        <v>395</v>
      </c>
      <c r="C139" s="116">
        <v>46140</v>
      </c>
      <c r="D139" s="117" t="s">
        <v>480</v>
      </c>
      <c r="E139" s="116">
        <v>46140</v>
      </c>
      <c r="F139" s="117" t="s">
        <v>481</v>
      </c>
      <c r="G139" s="118" t="s">
        <v>43</v>
      </c>
      <c r="H139" s="119">
        <v>13910</v>
      </c>
      <c r="I139" s="119">
        <v>34700</v>
      </c>
      <c r="J139" s="119">
        <v>20790</v>
      </c>
    </row>
    <row r="140" spans="1:10" x14ac:dyDescent="0.3">
      <c r="A140" s="115">
        <v>136</v>
      </c>
      <c r="B140" s="115">
        <v>398</v>
      </c>
      <c r="C140" s="116">
        <v>46140</v>
      </c>
      <c r="D140" s="117" t="s">
        <v>482</v>
      </c>
      <c r="E140" s="116">
        <v>46140</v>
      </c>
      <c r="F140" s="117" t="s">
        <v>483</v>
      </c>
      <c r="G140" s="118" t="s">
        <v>335</v>
      </c>
      <c r="H140" s="119">
        <v>13950</v>
      </c>
      <c r="I140" s="119">
        <v>34840</v>
      </c>
      <c r="J140" s="119">
        <v>20890</v>
      </c>
    </row>
    <row r="141" spans="1:10" x14ac:dyDescent="0.3">
      <c r="A141" s="115">
        <v>137</v>
      </c>
      <c r="B141" s="115">
        <v>399</v>
      </c>
      <c r="C141" s="116">
        <v>46140</v>
      </c>
      <c r="D141" s="117" t="s">
        <v>484</v>
      </c>
      <c r="E141" s="116">
        <v>46140</v>
      </c>
      <c r="F141" s="117" t="s">
        <v>485</v>
      </c>
      <c r="G141" s="118" t="s">
        <v>337</v>
      </c>
      <c r="H141" s="119">
        <v>13860</v>
      </c>
      <c r="I141" s="119">
        <v>33340</v>
      </c>
      <c r="J141" s="119">
        <v>19480</v>
      </c>
    </row>
    <row r="142" spans="1:10" x14ac:dyDescent="0.3">
      <c r="A142" s="115">
        <v>138</v>
      </c>
      <c r="B142" s="115">
        <v>406</v>
      </c>
      <c r="C142" s="116">
        <v>46140</v>
      </c>
      <c r="D142" s="117" t="s">
        <v>486</v>
      </c>
      <c r="E142" s="116">
        <v>46140</v>
      </c>
      <c r="F142" s="117" t="s">
        <v>487</v>
      </c>
      <c r="G142" s="118" t="s">
        <v>43</v>
      </c>
      <c r="H142" s="119">
        <v>13900</v>
      </c>
      <c r="I142" s="119">
        <v>34150</v>
      </c>
      <c r="J142" s="119">
        <v>20250</v>
      </c>
    </row>
    <row r="143" spans="1:10" x14ac:dyDescent="0.3">
      <c r="A143" s="115">
        <v>139</v>
      </c>
      <c r="B143" s="115">
        <v>407</v>
      </c>
      <c r="C143" s="116">
        <v>46140</v>
      </c>
      <c r="D143" s="117" t="s">
        <v>488</v>
      </c>
      <c r="E143" s="116">
        <v>46140</v>
      </c>
      <c r="F143" s="117" t="s">
        <v>489</v>
      </c>
      <c r="G143" s="118" t="s">
        <v>336</v>
      </c>
      <c r="H143" s="119">
        <v>13880</v>
      </c>
      <c r="I143" s="119">
        <v>32610</v>
      </c>
      <c r="J143" s="119">
        <v>18730</v>
      </c>
    </row>
    <row r="144" spans="1:10" x14ac:dyDescent="0.3">
      <c r="A144" s="115">
        <v>140</v>
      </c>
      <c r="B144" s="115">
        <v>410</v>
      </c>
      <c r="C144" s="116">
        <v>46140</v>
      </c>
      <c r="D144" s="117" t="s">
        <v>490</v>
      </c>
      <c r="E144" s="116">
        <v>46140</v>
      </c>
      <c r="F144" s="117" t="s">
        <v>491</v>
      </c>
      <c r="G144" s="118" t="s">
        <v>335</v>
      </c>
      <c r="H144" s="119">
        <v>13920</v>
      </c>
      <c r="I144" s="119">
        <v>31960</v>
      </c>
      <c r="J144" s="119">
        <v>18040</v>
      </c>
    </row>
    <row r="145" spans="1:10" x14ac:dyDescent="0.3">
      <c r="A145" s="115">
        <v>141</v>
      </c>
      <c r="B145" s="115">
        <v>411</v>
      </c>
      <c r="C145" s="116">
        <v>46140</v>
      </c>
      <c r="D145" s="117" t="s">
        <v>492</v>
      </c>
      <c r="E145" s="116">
        <v>46140</v>
      </c>
      <c r="F145" s="117" t="s">
        <v>493</v>
      </c>
      <c r="G145" s="118" t="s">
        <v>337</v>
      </c>
      <c r="H145" s="119">
        <v>13860</v>
      </c>
      <c r="I145" s="119">
        <v>32790</v>
      </c>
      <c r="J145" s="119">
        <v>18930</v>
      </c>
    </row>
    <row r="146" spans="1:10" x14ac:dyDescent="0.3">
      <c r="A146" s="115">
        <v>142</v>
      </c>
      <c r="B146" s="115">
        <v>418</v>
      </c>
      <c r="C146" s="116">
        <v>46140</v>
      </c>
      <c r="D146" s="117" t="s">
        <v>494</v>
      </c>
      <c r="E146" s="116">
        <v>46140</v>
      </c>
      <c r="F146" s="117" t="s">
        <v>495</v>
      </c>
      <c r="G146" s="118" t="s">
        <v>43</v>
      </c>
      <c r="H146" s="119">
        <v>13840</v>
      </c>
      <c r="I146" s="119">
        <v>32040</v>
      </c>
      <c r="J146" s="119">
        <v>18200</v>
      </c>
    </row>
    <row r="147" spans="1:10" x14ac:dyDescent="0.3">
      <c r="A147" s="115">
        <v>143</v>
      </c>
      <c r="B147" s="115">
        <v>420</v>
      </c>
      <c r="C147" s="116">
        <v>46140</v>
      </c>
      <c r="D147" s="117" t="s">
        <v>496</v>
      </c>
      <c r="E147" s="116">
        <v>46140</v>
      </c>
      <c r="F147" s="117" t="s">
        <v>497</v>
      </c>
      <c r="G147" s="118" t="s">
        <v>336</v>
      </c>
      <c r="H147" s="119">
        <v>13910</v>
      </c>
      <c r="I147" s="119">
        <v>32820</v>
      </c>
      <c r="J147" s="119">
        <v>18910</v>
      </c>
    </row>
    <row r="148" spans="1:10" x14ac:dyDescent="0.3">
      <c r="A148" s="115">
        <v>144</v>
      </c>
      <c r="B148" s="115">
        <v>422</v>
      </c>
      <c r="C148" s="116">
        <v>46140</v>
      </c>
      <c r="D148" s="117" t="s">
        <v>498</v>
      </c>
      <c r="E148" s="116">
        <v>46140</v>
      </c>
      <c r="F148" s="117" t="s">
        <v>499</v>
      </c>
      <c r="G148" s="118" t="s">
        <v>335</v>
      </c>
      <c r="H148" s="119">
        <v>13880</v>
      </c>
      <c r="I148" s="119">
        <v>32730</v>
      </c>
      <c r="J148" s="119">
        <v>18850</v>
      </c>
    </row>
    <row r="149" spans="1:10" x14ac:dyDescent="0.3">
      <c r="A149" s="115">
        <v>145</v>
      </c>
      <c r="B149" s="115">
        <v>423</v>
      </c>
      <c r="C149" s="116">
        <v>46140</v>
      </c>
      <c r="D149" s="117" t="s">
        <v>500</v>
      </c>
      <c r="E149" s="116">
        <v>46140</v>
      </c>
      <c r="F149" s="117" t="s">
        <v>501</v>
      </c>
      <c r="G149" s="118" t="s">
        <v>337</v>
      </c>
      <c r="H149" s="119">
        <v>13790</v>
      </c>
      <c r="I149" s="119">
        <v>32400</v>
      </c>
      <c r="J149" s="119">
        <v>18610</v>
      </c>
    </row>
    <row r="150" spans="1:10" x14ac:dyDescent="0.3">
      <c r="A150" s="115">
        <v>146</v>
      </c>
      <c r="B150" s="115">
        <v>431</v>
      </c>
      <c r="C150" s="116">
        <v>46140</v>
      </c>
      <c r="D150" s="117" t="s">
        <v>502</v>
      </c>
      <c r="E150" s="116">
        <v>46140</v>
      </c>
      <c r="F150" s="117" t="s">
        <v>503</v>
      </c>
      <c r="G150" s="118" t="s">
        <v>336</v>
      </c>
      <c r="H150" s="119">
        <v>13890</v>
      </c>
      <c r="I150" s="119">
        <v>33770</v>
      </c>
      <c r="J150" s="119">
        <v>19880</v>
      </c>
    </row>
    <row r="151" spans="1:10" x14ac:dyDescent="0.3">
      <c r="A151" s="115">
        <v>147</v>
      </c>
      <c r="B151" s="115">
        <v>433</v>
      </c>
      <c r="C151" s="116">
        <v>46140</v>
      </c>
      <c r="D151" s="117" t="s">
        <v>504</v>
      </c>
      <c r="E151" s="116">
        <v>46140</v>
      </c>
      <c r="F151" s="117" t="s">
        <v>505</v>
      </c>
      <c r="G151" s="118" t="s">
        <v>337</v>
      </c>
      <c r="H151" s="119">
        <v>14030</v>
      </c>
      <c r="I151" s="119">
        <v>33720</v>
      </c>
      <c r="J151" s="119">
        <v>19690</v>
      </c>
    </row>
    <row r="152" spans="1:10" x14ac:dyDescent="0.3">
      <c r="A152" s="115">
        <v>148</v>
      </c>
      <c r="B152" s="115">
        <v>435</v>
      </c>
      <c r="C152" s="116">
        <v>46140</v>
      </c>
      <c r="D152" s="117" t="s">
        <v>506</v>
      </c>
      <c r="E152" s="116">
        <v>46140</v>
      </c>
      <c r="F152" s="117" t="s">
        <v>507</v>
      </c>
      <c r="G152" s="118" t="s">
        <v>335</v>
      </c>
      <c r="H152" s="119">
        <v>13870</v>
      </c>
      <c r="I152" s="119">
        <v>32610</v>
      </c>
      <c r="J152" s="119">
        <v>18740</v>
      </c>
    </row>
    <row r="153" spans="1:10" x14ac:dyDescent="0.3">
      <c r="A153" s="115">
        <v>149</v>
      </c>
      <c r="B153" s="115">
        <v>440</v>
      </c>
      <c r="C153" s="116">
        <v>46140</v>
      </c>
      <c r="D153" s="117" t="s">
        <v>508</v>
      </c>
      <c r="E153" s="116">
        <v>46140</v>
      </c>
      <c r="F153" s="117" t="s">
        <v>509</v>
      </c>
      <c r="G153" s="118" t="s">
        <v>43</v>
      </c>
      <c r="H153" s="119">
        <v>14030</v>
      </c>
      <c r="I153" s="119">
        <v>32790</v>
      </c>
      <c r="J153" s="119">
        <v>18760</v>
      </c>
    </row>
    <row r="154" spans="1:10" x14ac:dyDescent="0.3">
      <c r="A154" s="115">
        <v>150</v>
      </c>
      <c r="B154" s="115">
        <v>441</v>
      </c>
      <c r="C154" s="116">
        <v>46140</v>
      </c>
      <c r="D154" s="117" t="s">
        <v>510</v>
      </c>
      <c r="E154" s="116">
        <v>46140</v>
      </c>
      <c r="F154" s="117" t="s">
        <v>511</v>
      </c>
      <c r="G154" s="118" t="s">
        <v>43</v>
      </c>
      <c r="H154" s="119">
        <v>14030</v>
      </c>
      <c r="I154" s="119">
        <v>33070</v>
      </c>
      <c r="J154" s="119">
        <v>19040</v>
      </c>
    </row>
    <row r="155" spans="1:10" x14ac:dyDescent="0.3">
      <c r="A155" s="115">
        <v>151</v>
      </c>
      <c r="B155" s="115">
        <v>443</v>
      </c>
      <c r="C155" s="116">
        <v>46140</v>
      </c>
      <c r="D155" s="117" t="s">
        <v>512</v>
      </c>
      <c r="E155" s="116">
        <v>46140</v>
      </c>
      <c r="F155" s="117" t="s">
        <v>513</v>
      </c>
      <c r="G155" s="118" t="s">
        <v>336</v>
      </c>
      <c r="H155" s="119">
        <v>13800</v>
      </c>
      <c r="I155" s="119">
        <v>34590</v>
      </c>
      <c r="J155" s="119">
        <v>20790</v>
      </c>
    </row>
    <row r="156" spans="1:10" x14ac:dyDescent="0.3">
      <c r="A156" s="115">
        <v>152</v>
      </c>
      <c r="B156" s="115">
        <v>446</v>
      </c>
      <c r="C156" s="116">
        <v>46140</v>
      </c>
      <c r="D156" s="117" t="s">
        <v>514</v>
      </c>
      <c r="E156" s="116">
        <v>46140</v>
      </c>
      <c r="F156" s="117" t="s">
        <v>515</v>
      </c>
      <c r="G156" s="118" t="s">
        <v>337</v>
      </c>
      <c r="H156" s="119">
        <v>14010</v>
      </c>
      <c r="I156" s="119">
        <v>34580</v>
      </c>
      <c r="J156" s="119">
        <v>20570</v>
      </c>
    </row>
    <row r="157" spans="1:10" x14ac:dyDescent="0.3">
      <c r="A157" s="115">
        <v>153</v>
      </c>
      <c r="B157" s="115">
        <v>447</v>
      </c>
      <c r="C157" s="116">
        <v>46140</v>
      </c>
      <c r="D157" s="117" t="s">
        <v>516</v>
      </c>
      <c r="E157" s="116">
        <v>46140</v>
      </c>
      <c r="F157" s="117" t="s">
        <v>517</v>
      </c>
      <c r="G157" s="118" t="s">
        <v>335</v>
      </c>
      <c r="H157" s="119">
        <v>13900</v>
      </c>
      <c r="I157" s="119">
        <v>34180</v>
      </c>
      <c r="J157" s="119">
        <v>20280</v>
      </c>
    </row>
    <row r="158" spans="1:10" x14ac:dyDescent="0.3">
      <c r="A158" s="115">
        <v>154</v>
      </c>
      <c r="B158" s="115">
        <v>452</v>
      </c>
      <c r="C158" s="116">
        <v>46140</v>
      </c>
      <c r="D158" s="117" t="s">
        <v>518</v>
      </c>
      <c r="E158" s="116">
        <v>46140</v>
      </c>
      <c r="F158" s="117" t="s">
        <v>519</v>
      </c>
      <c r="G158" s="118" t="s">
        <v>43</v>
      </c>
      <c r="H158" s="119">
        <v>13990</v>
      </c>
      <c r="I158" s="119">
        <v>34130</v>
      </c>
      <c r="J158" s="119">
        <v>20140</v>
      </c>
    </row>
    <row r="159" spans="1:10" x14ac:dyDescent="0.3">
      <c r="A159" s="115">
        <v>155</v>
      </c>
      <c r="B159" s="115">
        <v>454</v>
      </c>
      <c r="C159" s="116">
        <v>46140</v>
      </c>
      <c r="D159" s="120" t="s">
        <v>521</v>
      </c>
      <c r="E159" s="116">
        <v>46140</v>
      </c>
      <c r="F159" s="120" t="s">
        <v>522</v>
      </c>
      <c r="G159" s="118" t="s">
        <v>336</v>
      </c>
      <c r="H159" s="119">
        <v>13760</v>
      </c>
      <c r="I159" s="119">
        <v>32480</v>
      </c>
      <c r="J159" s="119">
        <v>18720</v>
      </c>
    </row>
    <row r="160" spans="1:10" x14ac:dyDescent="0.3">
      <c r="A160" s="115">
        <v>156</v>
      </c>
      <c r="B160" s="121" t="s">
        <v>528</v>
      </c>
      <c r="C160" s="122">
        <v>46132</v>
      </c>
      <c r="D160" s="123" t="s">
        <v>529</v>
      </c>
      <c r="E160" s="122">
        <v>46132</v>
      </c>
      <c r="F160" s="123" t="s">
        <v>530</v>
      </c>
      <c r="G160" s="123" t="s">
        <v>143</v>
      </c>
      <c r="H160" s="124">
        <v>14030</v>
      </c>
      <c r="I160" s="124">
        <v>30380</v>
      </c>
      <c r="J160" s="124">
        <v>16350</v>
      </c>
    </row>
    <row r="161" spans="1:10" x14ac:dyDescent="0.3">
      <c r="A161" s="115">
        <v>157</v>
      </c>
      <c r="B161" s="121">
        <v>449</v>
      </c>
      <c r="C161" s="122">
        <v>46140</v>
      </c>
      <c r="D161" s="123" t="s">
        <v>531</v>
      </c>
      <c r="E161" s="122">
        <v>46140</v>
      </c>
      <c r="F161" s="123" t="s">
        <v>532</v>
      </c>
      <c r="G161" s="123" t="s">
        <v>143</v>
      </c>
      <c r="H161" s="124">
        <v>13780</v>
      </c>
      <c r="I161" s="124">
        <v>33750</v>
      </c>
      <c r="J161" s="124">
        <v>19970</v>
      </c>
    </row>
    <row r="162" spans="1:10" x14ac:dyDescent="0.3">
      <c r="A162" s="115">
        <v>158</v>
      </c>
      <c r="B162" s="121">
        <v>448</v>
      </c>
      <c r="C162" s="122">
        <v>46140</v>
      </c>
      <c r="D162" s="123" t="s">
        <v>533</v>
      </c>
      <c r="E162" s="122">
        <v>46140</v>
      </c>
      <c r="F162" s="123" t="s">
        <v>534</v>
      </c>
      <c r="G162" s="123" t="s">
        <v>71</v>
      </c>
      <c r="H162" s="124">
        <v>13990</v>
      </c>
      <c r="I162" s="124">
        <v>34110</v>
      </c>
      <c r="J162" s="124">
        <v>20120</v>
      </c>
    </row>
    <row r="163" spans="1:10" x14ac:dyDescent="0.3">
      <c r="A163" s="115">
        <v>159</v>
      </c>
      <c r="B163" s="121">
        <v>445</v>
      </c>
      <c r="C163" s="122">
        <v>46140</v>
      </c>
      <c r="D163" s="123" t="s">
        <v>535</v>
      </c>
      <c r="E163" s="122">
        <v>46140</v>
      </c>
      <c r="F163" s="123" t="s">
        <v>536</v>
      </c>
      <c r="G163" s="123" t="s">
        <v>537</v>
      </c>
      <c r="H163" s="124">
        <v>13820</v>
      </c>
      <c r="I163" s="124">
        <v>33290</v>
      </c>
      <c r="J163" s="124">
        <v>19470</v>
      </c>
    </row>
    <row r="164" spans="1:10" x14ac:dyDescent="0.3">
      <c r="A164" s="115">
        <v>160</v>
      </c>
      <c r="B164" s="121">
        <v>444</v>
      </c>
      <c r="C164" s="122">
        <v>46140</v>
      </c>
      <c r="D164" s="123" t="s">
        <v>538</v>
      </c>
      <c r="E164" s="122">
        <v>46140</v>
      </c>
      <c r="F164" s="123" t="s">
        <v>539</v>
      </c>
      <c r="G164" s="123" t="s">
        <v>540</v>
      </c>
      <c r="H164" s="124">
        <v>13750</v>
      </c>
      <c r="I164" s="124">
        <v>34620</v>
      </c>
      <c r="J164" s="124">
        <v>20870</v>
      </c>
    </row>
    <row r="165" spans="1:10" x14ac:dyDescent="0.3">
      <c r="A165" s="115">
        <v>161</v>
      </c>
      <c r="B165" s="121">
        <v>437</v>
      </c>
      <c r="C165" s="122">
        <v>46140</v>
      </c>
      <c r="D165" s="123" t="s">
        <v>541</v>
      </c>
      <c r="E165" s="122">
        <v>46140</v>
      </c>
      <c r="F165" s="123" t="s">
        <v>542</v>
      </c>
      <c r="G165" s="123" t="s">
        <v>143</v>
      </c>
      <c r="H165" s="124">
        <v>13880</v>
      </c>
      <c r="I165" s="124">
        <v>33430</v>
      </c>
      <c r="J165" s="124">
        <v>19550</v>
      </c>
    </row>
    <row r="166" spans="1:10" x14ac:dyDescent="0.3">
      <c r="A166" s="115">
        <v>162</v>
      </c>
      <c r="B166" s="121">
        <v>7</v>
      </c>
      <c r="C166" s="122">
        <v>46133</v>
      </c>
      <c r="D166" s="123">
        <v>4.4166666666666667E-2</v>
      </c>
      <c r="E166" s="122">
        <v>46133</v>
      </c>
      <c r="F166" s="123">
        <v>7.3611111111111113E-2</v>
      </c>
      <c r="G166" s="123" t="s">
        <v>71</v>
      </c>
      <c r="H166" s="124">
        <v>14020</v>
      </c>
      <c r="I166" s="124">
        <v>31820</v>
      </c>
      <c r="J166" s="124">
        <v>17800</v>
      </c>
    </row>
    <row r="167" spans="1:10" x14ac:dyDescent="0.3">
      <c r="A167" s="115">
        <v>163</v>
      </c>
      <c r="B167" s="121">
        <v>436</v>
      </c>
      <c r="C167" s="122">
        <v>46140</v>
      </c>
      <c r="D167" s="123" t="s">
        <v>543</v>
      </c>
      <c r="E167" s="122">
        <v>46140</v>
      </c>
      <c r="F167" s="123" t="s">
        <v>544</v>
      </c>
      <c r="G167" s="123" t="s">
        <v>55</v>
      </c>
      <c r="H167" s="124">
        <v>13880</v>
      </c>
      <c r="I167" s="124">
        <v>32920</v>
      </c>
      <c r="J167" s="124">
        <v>19040</v>
      </c>
    </row>
    <row r="168" spans="1:10" x14ac:dyDescent="0.3">
      <c r="A168" s="115">
        <v>164</v>
      </c>
      <c r="B168" s="121">
        <v>434</v>
      </c>
      <c r="C168" s="122">
        <v>46140</v>
      </c>
      <c r="D168" s="123" t="s">
        <v>545</v>
      </c>
      <c r="E168" s="122">
        <v>46140</v>
      </c>
      <c r="F168" s="123" t="s">
        <v>546</v>
      </c>
      <c r="G168" s="123" t="s">
        <v>71</v>
      </c>
      <c r="H168" s="124">
        <v>13970</v>
      </c>
      <c r="I168" s="124">
        <v>33300</v>
      </c>
      <c r="J168" s="124">
        <v>19330</v>
      </c>
    </row>
    <row r="169" spans="1:10" x14ac:dyDescent="0.3">
      <c r="A169" s="115">
        <v>165</v>
      </c>
      <c r="B169" s="121">
        <v>10</v>
      </c>
      <c r="C169" s="122">
        <v>46133</v>
      </c>
      <c r="D169" s="123">
        <v>7.9826388888888891E-2</v>
      </c>
      <c r="E169" s="122">
        <v>46133</v>
      </c>
      <c r="F169" s="123">
        <v>8.7777777777777774E-2</v>
      </c>
      <c r="G169" s="123" t="s">
        <v>537</v>
      </c>
      <c r="H169" s="124">
        <v>14050</v>
      </c>
      <c r="I169" s="124">
        <v>33170</v>
      </c>
      <c r="J169" s="124">
        <v>19120</v>
      </c>
    </row>
    <row r="170" spans="1:10" x14ac:dyDescent="0.3">
      <c r="A170" s="115">
        <v>166</v>
      </c>
      <c r="B170" s="121">
        <v>11</v>
      </c>
      <c r="C170" s="122">
        <v>46133</v>
      </c>
      <c r="D170" s="123">
        <v>0.14910879629629631</v>
      </c>
      <c r="E170" s="122">
        <v>46133</v>
      </c>
      <c r="F170" s="123">
        <v>0.15567129629629631</v>
      </c>
      <c r="G170" s="123" t="s">
        <v>143</v>
      </c>
      <c r="H170" s="124">
        <v>14070</v>
      </c>
      <c r="I170" s="124">
        <v>32120</v>
      </c>
      <c r="J170" s="124">
        <v>18050</v>
      </c>
    </row>
    <row r="171" spans="1:10" x14ac:dyDescent="0.3">
      <c r="A171" s="115">
        <v>167</v>
      </c>
      <c r="B171" s="121">
        <v>432</v>
      </c>
      <c r="C171" s="122">
        <v>46140</v>
      </c>
      <c r="D171" s="123" t="s">
        <v>547</v>
      </c>
      <c r="E171" s="122">
        <v>46140</v>
      </c>
      <c r="F171" s="123" t="s">
        <v>548</v>
      </c>
      <c r="G171" s="123" t="s">
        <v>537</v>
      </c>
      <c r="H171" s="124">
        <v>13810</v>
      </c>
      <c r="I171" s="124">
        <v>32850</v>
      </c>
      <c r="J171" s="124">
        <v>19040</v>
      </c>
    </row>
    <row r="172" spans="1:10" x14ac:dyDescent="0.3">
      <c r="A172" s="115">
        <v>168</v>
      </c>
      <c r="B172" s="121">
        <v>430</v>
      </c>
      <c r="C172" s="122">
        <v>46140</v>
      </c>
      <c r="D172" s="123" t="s">
        <v>549</v>
      </c>
      <c r="E172" s="122">
        <v>46140</v>
      </c>
      <c r="F172" s="123" t="s">
        <v>550</v>
      </c>
      <c r="G172" s="123" t="s">
        <v>540</v>
      </c>
      <c r="H172" s="124">
        <v>13790</v>
      </c>
      <c r="I172" s="124">
        <v>32620</v>
      </c>
      <c r="J172" s="124">
        <v>18830</v>
      </c>
    </row>
    <row r="173" spans="1:10" x14ac:dyDescent="0.3">
      <c r="A173" s="115">
        <v>169</v>
      </c>
      <c r="B173" s="121">
        <v>426</v>
      </c>
      <c r="C173" s="122">
        <v>46140</v>
      </c>
      <c r="D173" s="123" t="s">
        <v>551</v>
      </c>
      <c r="E173" s="122">
        <v>46140</v>
      </c>
      <c r="F173" s="123" t="s">
        <v>552</v>
      </c>
      <c r="G173" s="123" t="s">
        <v>143</v>
      </c>
      <c r="H173" s="124">
        <v>13890</v>
      </c>
      <c r="I173" s="124">
        <v>33290</v>
      </c>
      <c r="J173" s="124">
        <v>19400</v>
      </c>
    </row>
    <row r="174" spans="1:10" x14ac:dyDescent="0.3">
      <c r="A174" s="115">
        <v>170</v>
      </c>
      <c r="B174" s="121">
        <v>425</v>
      </c>
      <c r="C174" s="122">
        <v>46140</v>
      </c>
      <c r="D174" s="123" t="s">
        <v>553</v>
      </c>
      <c r="E174" s="122">
        <v>46140</v>
      </c>
      <c r="F174" s="123" t="s">
        <v>554</v>
      </c>
      <c r="G174" s="123" t="s">
        <v>71</v>
      </c>
      <c r="H174" s="124">
        <v>14000</v>
      </c>
      <c r="I174" s="124">
        <v>33880</v>
      </c>
      <c r="J174" s="124">
        <v>19880</v>
      </c>
    </row>
    <row r="175" spans="1:10" x14ac:dyDescent="0.3">
      <c r="A175" s="115">
        <v>171</v>
      </c>
      <c r="B175" s="121">
        <v>424</v>
      </c>
      <c r="C175" s="122">
        <v>46140</v>
      </c>
      <c r="D175" s="123" t="s">
        <v>555</v>
      </c>
      <c r="E175" s="122">
        <v>46140</v>
      </c>
      <c r="F175" s="123" t="s">
        <v>556</v>
      </c>
      <c r="G175" s="123" t="s">
        <v>55</v>
      </c>
      <c r="H175" s="124">
        <v>13890</v>
      </c>
      <c r="I175" s="124">
        <v>32890</v>
      </c>
      <c r="J175" s="124">
        <v>19000</v>
      </c>
    </row>
    <row r="176" spans="1:10" x14ac:dyDescent="0.3">
      <c r="A176" s="115">
        <v>172</v>
      </c>
      <c r="B176" s="121">
        <v>17</v>
      </c>
      <c r="C176" s="122">
        <v>46133</v>
      </c>
      <c r="D176" s="123">
        <v>0.19688657407407406</v>
      </c>
      <c r="E176" s="122">
        <v>46133</v>
      </c>
      <c r="F176" s="123">
        <v>0.20820601851851853</v>
      </c>
      <c r="G176" s="123" t="s">
        <v>71</v>
      </c>
      <c r="H176" s="124">
        <v>14010</v>
      </c>
      <c r="I176" s="124">
        <v>33080</v>
      </c>
      <c r="J176" s="124">
        <v>19070</v>
      </c>
    </row>
    <row r="177" spans="1:10" x14ac:dyDescent="0.3">
      <c r="A177" s="115">
        <v>173</v>
      </c>
      <c r="B177" s="121">
        <v>421</v>
      </c>
      <c r="C177" s="122">
        <v>46140</v>
      </c>
      <c r="D177" s="123" t="s">
        <v>557</v>
      </c>
      <c r="E177" s="122">
        <v>46140</v>
      </c>
      <c r="F177" s="123" t="s">
        <v>558</v>
      </c>
      <c r="G177" s="123" t="s">
        <v>537</v>
      </c>
      <c r="H177" s="124">
        <v>13850</v>
      </c>
      <c r="I177" s="124">
        <v>33730</v>
      </c>
      <c r="J177" s="124">
        <v>19880</v>
      </c>
    </row>
    <row r="178" spans="1:10" x14ac:dyDescent="0.3">
      <c r="A178" s="115">
        <v>174</v>
      </c>
      <c r="B178" s="121">
        <v>419</v>
      </c>
      <c r="C178" s="122">
        <v>46140</v>
      </c>
      <c r="D178" s="123" t="s">
        <v>559</v>
      </c>
      <c r="E178" s="122">
        <v>46140</v>
      </c>
      <c r="F178" s="123" t="s">
        <v>560</v>
      </c>
      <c r="G178" s="123" t="s">
        <v>540</v>
      </c>
      <c r="H178" s="124">
        <v>13800</v>
      </c>
      <c r="I178" s="124">
        <v>32500</v>
      </c>
      <c r="J178" s="124">
        <v>18700</v>
      </c>
    </row>
    <row r="179" spans="1:10" x14ac:dyDescent="0.3">
      <c r="A179" s="115">
        <v>175</v>
      </c>
      <c r="B179" s="121">
        <v>20</v>
      </c>
      <c r="C179" s="122">
        <v>46133</v>
      </c>
      <c r="D179" s="123">
        <v>0.22832175925925927</v>
      </c>
      <c r="E179" s="122">
        <v>46133</v>
      </c>
      <c r="F179" s="123">
        <v>0.23561342592592593</v>
      </c>
      <c r="G179" s="123" t="s">
        <v>537</v>
      </c>
      <c r="H179" s="124">
        <v>14040</v>
      </c>
      <c r="I179" s="124">
        <v>33220</v>
      </c>
      <c r="J179" s="124">
        <v>19180</v>
      </c>
    </row>
    <row r="180" spans="1:10" x14ac:dyDescent="0.3">
      <c r="A180" s="115">
        <v>176</v>
      </c>
      <c r="B180" s="121">
        <v>21</v>
      </c>
      <c r="C180" s="122">
        <v>46133</v>
      </c>
      <c r="D180" s="123">
        <v>0.26438657407407407</v>
      </c>
      <c r="E180" s="122">
        <v>46133</v>
      </c>
      <c r="F180" s="123">
        <v>0.27296296296296296</v>
      </c>
      <c r="G180" s="123" t="s">
        <v>143</v>
      </c>
      <c r="H180" s="124">
        <v>13990</v>
      </c>
      <c r="I180" s="124">
        <v>32270</v>
      </c>
      <c r="J180" s="124">
        <v>18280</v>
      </c>
    </row>
    <row r="181" spans="1:10" x14ac:dyDescent="0.3">
      <c r="A181" s="115">
        <v>177</v>
      </c>
      <c r="B181" s="121">
        <v>414</v>
      </c>
      <c r="C181" s="122">
        <v>46140</v>
      </c>
      <c r="D181" s="123" t="s">
        <v>561</v>
      </c>
      <c r="E181" s="122">
        <v>46140</v>
      </c>
      <c r="F181" s="123" t="s">
        <v>562</v>
      </c>
      <c r="G181" s="123" t="s">
        <v>143</v>
      </c>
      <c r="H181" s="124">
        <v>13920</v>
      </c>
      <c r="I181" s="124">
        <v>32200</v>
      </c>
      <c r="J181" s="124">
        <v>18280</v>
      </c>
    </row>
    <row r="182" spans="1:10" x14ac:dyDescent="0.3">
      <c r="A182" s="115">
        <v>178</v>
      </c>
      <c r="B182" s="121">
        <v>413</v>
      </c>
      <c r="C182" s="122">
        <v>46140</v>
      </c>
      <c r="D182" s="123" t="s">
        <v>563</v>
      </c>
      <c r="E182" s="122">
        <v>46140</v>
      </c>
      <c r="F182" s="123" t="s">
        <v>564</v>
      </c>
      <c r="G182" s="123" t="s">
        <v>71</v>
      </c>
      <c r="H182" s="124">
        <v>14030</v>
      </c>
      <c r="I182" s="124">
        <v>32800</v>
      </c>
      <c r="J182" s="124">
        <v>18770</v>
      </c>
    </row>
    <row r="183" spans="1:10" x14ac:dyDescent="0.3">
      <c r="A183" s="115">
        <v>179</v>
      </c>
      <c r="B183" s="121">
        <v>412</v>
      </c>
      <c r="C183" s="122">
        <v>46140</v>
      </c>
      <c r="D183" s="123" t="s">
        <v>565</v>
      </c>
      <c r="E183" s="122">
        <v>46140</v>
      </c>
      <c r="F183" s="123" t="s">
        <v>566</v>
      </c>
      <c r="G183" s="123" t="s">
        <v>55</v>
      </c>
      <c r="H183" s="124">
        <v>13950</v>
      </c>
      <c r="I183" s="124">
        <v>32160</v>
      </c>
      <c r="J183" s="124">
        <v>18210</v>
      </c>
    </row>
    <row r="184" spans="1:10" x14ac:dyDescent="0.3">
      <c r="A184" s="115">
        <v>180</v>
      </c>
      <c r="B184" s="121">
        <v>409</v>
      </c>
      <c r="C184" s="122">
        <v>46140</v>
      </c>
      <c r="D184" s="123" t="s">
        <v>567</v>
      </c>
      <c r="E184" s="122">
        <v>46140</v>
      </c>
      <c r="F184" s="123" t="s">
        <v>568</v>
      </c>
      <c r="G184" s="123" t="s">
        <v>537</v>
      </c>
      <c r="H184" s="124">
        <v>13960</v>
      </c>
      <c r="I184" s="124">
        <v>33330</v>
      </c>
      <c r="J184" s="124">
        <v>19370</v>
      </c>
    </row>
    <row r="185" spans="1:10" x14ac:dyDescent="0.3">
      <c r="A185" s="115">
        <v>181</v>
      </c>
      <c r="B185" s="121">
        <v>408</v>
      </c>
      <c r="C185" s="122">
        <v>46140</v>
      </c>
      <c r="D185" s="123" t="s">
        <v>569</v>
      </c>
      <c r="E185" s="122">
        <v>46140</v>
      </c>
      <c r="F185" s="123" t="s">
        <v>570</v>
      </c>
      <c r="G185" s="123" t="s">
        <v>540</v>
      </c>
      <c r="H185" s="124">
        <v>13830</v>
      </c>
      <c r="I185" s="124">
        <v>33920</v>
      </c>
      <c r="J185" s="124">
        <v>20090</v>
      </c>
    </row>
    <row r="186" spans="1:10" x14ac:dyDescent="0.3">
      <c r="A186" s="115">
        <v>182</v>
      </c>
      <c r="B186" s="121">
        <v>27</v>
      </c>
      <c r="C186" s="122">
        <v>46133</v>
      </c>
      <c r="D186" s="123">
        <v>0.32891203703703703</v>
      </c>
      <c r="E186" s="122">
        <v>46133</v>
      </c>
      <c r="F186" s="123">
        <v>0.33384259259259258</v>
      </c>
      <c r="G186" s="123" t="s">
        <v>71</v>
      </c>
      <c r="H186" s="124">
        <v>13970</v>
      </c>
      <c r="I186" s="124">
        <v>32680</v>
      </c>
      <c r="J186" s="124">
        <v>18710</v>
      </c>
    </row>
    <row r="187" spans="1:10" x14ac:dyDescent="0.3">
      <c r="A187" s="115">
        <v>183</v>
      </c>
      <c r="B187" s="121">
        <v>403</v>
      </c>
      <c r="C187" s="122">
        <v>46140</v>
      </c>
      <c r="D187" s="123" t="s">
        <v>571</v>
      </c>
      <c r="E187" s="122">
        <v>46140</v>
      </c>
      <c r="F187" s="123" t="s">
        <v>572</v>
      </c>
      <c r="G187" s="123" t="s">
        <v>143</v>
      </c>
      <c r="H187" s="124">
        <v>13950</v>
      </c>
      <c r="I187" s="124">
        <v>32490</v>
      </c>
      <c r="J187" s="124">
        <v>18540</v>
      </c>
    </row>
    <row r="188" spans="1:10" x14ac:dyDescent="0.3">
      <c r="A188" s="115">
        <v>184</v>
      </c>
      <c r="B188" s="121">
        <v>401</v>
      </c>
      <c r="C188" s="122">
        <v>46140</v>
      </c>
      <c r="D188" s="123" t="s">
        <v>573</v>
      </c>
      <c r="E188" s="122">
        <v>46140</v>
      </c>
      <c r="F188" s="123" t="s">
        <v>574</v>
      </c>
      <c r="G188" s="123" t="s">
        <v>71</v>
      </c>
      <c r="H188" s="124">
        <v>13800</v>
      </c>
      <c r="I188" s="124">
        <v>33110</v>
      </c>
      <c r="J188" s="124">
        <v>19310</v>
      </c>
    </row>
    <row r="189" spans="1:10" x14ac:dyDescent="0.3">
      <c r="A189" s="115">
        <v>185</v>
      </c>
      <c r="B189" s="121">
        <v>30</v>
      </c>
      <c r="C189" s="122">
        <v>46133</v>
      </c>
      <c r="D189" s="123">
        <v>0.35964120370370373</v>
      </c>
      <c r="E189" s="122">
        <v>46133</v>
      </c>
      <c r="F189" s="123">
        <v>0.36447916666666669</v>
      </c>
      <c r="G189" s="123" t="s">
        <v>537</v>
      </c>
      <c r="H189" s="124">
        <v>14000</v>
      </c>
      <c r="I189" s="124">
        <v>32800</v>
      </c>
      <c r="J189" s="124">
        <v>18800</v>
      </c>
    </row>
    <row r="190" spans="1:10" x14ac:dyDescent="0.3">
      <c r="A190" s="115">
        <v>186</v>
      </c>
      <c r="B190" s="121">
        <v>31</v>
      </c>
      <c r="C190" s="122">
        <v>46133</v>
      </c>
      <c r="D190" s="123">
        <v>0.39462962962962961</v>
      </c>
      <c r="E190" s="122">
        <v>46133</v>
      </c>
      <c r="F190" s="123">
        <v>0.39968749999999997</v>
      </c>
      <c r="G190" s="123" t="s">
        <v>143</v>
      </c>
      <c r="H190" s="124">
        <v>13940</v>
      </c>
      <c r="I190" s="124">
        <v>32630</v>
      </c>
      <c r="J190" s="124">
        <v>18690</v>
      </c>
    </row>
    <row r="191" spans="1:10" x14ac:dyDescent="0.3">
      <c r="A191" s="115">
        <v>187</v>
      </c>
      <c r="B191" s="121">
        <v>400</v>
      </c>
      <c r="C191" s="122">
        <v>46140</v>
      </c>
      <c r="D191" s="123" t="s">
        <v>575</v>
      </c>
      <c r="E191" s="122">
        <v>46140</v>
      </c>
      <c r="F191" s="123" t="s">
        <v>576</v>
      </c>
      <c r="G191" s="123" t="s">
        <v>55</v>
      </c>
      <c r="H191" s="124">
        <v>13950</v>
      </c>
      <c r="I191" s="124">
        <v>33900</v>
      </c>
      <c r="J191" s="124">
        <v>19950</v>
      </c>
    </row>
    <row r="192" spans="1:10" x14ac:dyDescent="0.3">
      <c r="A192" s="115">
        <v>188</v>
      </c>
      <c r="B192" s="121">
        <v>397</v>
      </c>
      <c r="C192" s="122">
        <v>46140</v>
      </c>
      <c r="D192" s="123" t="s">
        <v>577</v>
      </c>
      <c r="E192" s="122">
        <v>46140</v>
      </c>
      <c r="F192" s="123" t="s">
        <v>578</v>
      </c>
      <c r="G192" s="123" t="s">
        <v>537</v>
      </c>
      <c r="H192" s="124">
        <v>13930</v>
      </c>
      <c r="I192" s="124">
        <v>35000</v>
      </c>
      <c r="J192" s="124">
        <v>21070</v>
      </c>
    </row>
    <row r="193" spans="1:10" x14ac:dyDescent="0.3">
      <c r="A193" s="115">
        <v>189</v>
      </c>
      <c r="B193" s="121">
        <v>396</v>
      </c>
      <c r="C193" s="122">
        <v>46140</v>
      </c>
      <c r="D193" s="123" t="s">
        <v>579</v>
      </c>
      <c r="E193" s="122">
        <v>46140</v>
      </c>
      <c r="F193" s="123" t="s">
        <v>580</v>
      </c>
      <c r="G193" s="123" t="s">
        <v>540</v>
      </c>
      <c r="H193" s="124">
        <v>13870</v>
      </c>
      <c r="I193" s="124">
        <v>33550</v>
      </c>
      <c r="J193" s="124">
        <v>19680</v>
      </c>
    </row>
    <row r="194" spans="1:10" x14ac:dyDescent="0.3">
      <c r="A194" s="115">
        <v>190</v>
      </c>
      <c r="B194" s="121">
        <v>392</v>
      </c>
      <c r="C194" s="122">
        <v>46140</v>
      </c>
      <c r="D194" s="123" t="s">
        <v>581</v>
      </c>
      <c r="E194" s="122">
        <v>46140</v>
      </c>
      <c r="F194" s="123" t="s">
        <v>582</v>
      </c>
      <c r="G194" s="123" t="s">
        <v>143</v>
      </c>
      <c r="H194" s="124">
        <v>14030</v>
      </c>
      <c r="I194" s="124">
        <v>35270</v>
      </c>
      <c r="J194" s="124">
        <v>21240</v>
      </c>
    </row>
    <row r="195" spans="1:10" x14ac:dyDescent="0.3">
      <c r="A195" s="115">
        <v>191</v>
      </c>
      <c r="B195" s="121">
        <v>391</v>
      </c>
      <c r="C195" s="122">
        <v>46140</v>
      </c>
      <c r="D195" s="123" t="s">
        <v>583</v>
      </c>
      <c r="E195" s="122">
        <v>46140</v>
      </c>
      <c r="F195" s="123" t="s">
        <v>584</v>
      </c>
      <c r="G195" s="123" t="s">
        <v>71</v>
      </c>
      <c r="H195" s="124">
        <v>13820</v>
      </c>
      <c r="I195" s="124">
        <v>33860</v>
      </c>
      <c r="J195" s="124">
        <v>20040</v>
      </c>
    </row>
    <row r="196" spans="1:10" x14ac:dyDescent="0.3">
      <c r="A196" s="115">
        <v>192</v>
      </c>
      <c r="B196" s="121">
        <v>37</v>
      </c>
      <c r="C196" s="122">
        <v>46133</v>
      </c>
      <c r="D196" s="123">
        <v>0.47412037037037036</v>
      </c>
      <c r="E196" s="122">
        <v>46133</v>
      </c>
      <c r="F196" s="123">
        <v>0.48116898148148146</v>
      </c>
      <c r="G196" s="123" t="s">
        <v>71</v>
      </c>
      <c r="H196" s="124">
        <v>13940</v>
      </c>
      <c r="I196" s="124">
        <v>32390</v>
      </c>
      <c r="J196" s="124">
        <v>18450</v>
      </c>
    </row>
    <row r="197" spans="1:10" x14ac:dyDescent="0.3">
      <c r="A197" s="115">
        <v>193</v>
      </c>
      <c r="B197" s="121">
        <v>389</v>
      </c>
      <c r="C197" s="122">
        <v>46140</v>
      </c>
      <c r="D197" s="123" t="s">
        <v>585</v>
      </c>
      <c r="E197" s="122">
        <v>46140</v>
      </c>
      <c r="F197" s="123" t="s">
        <v>586</v>
      </c>
      <c r="G197" s="123" t="s">
        <v>55</v>
      </c>
      <c r="H197" s="124">
        <v>13970</v>
      </c>
      <c r="I197" s="124">
        <v>33960</v>
      </c>
      <c r="J197" s="124">
        <v>19990</v>
      </c>
    </row>
    <row r="198" spans="1:10" x14ac:dyDescent="0.3">
      <c r="A198" s="115">
        <v>194</v>
      </c>
      <c r="B198" s="121">
        <v>385</v>
      </c>
      <c r="C198" s="122">
        <v>46140</v>
      </c>
      <c r="D198" s="123" t="s">
        <v>587</v>
      </c>
      <c r="E198" s="122">
        <v>46140</v>
      </c>
      <c r="F198" s="123" t="s">
        <v>588</v>
      </c>
      <c r="G198" s="123" t="s">
        <v>537</v>
      </c>
      <c r="H198" s="124">
        <v>13950</v>
      </c>
      <c r="I198" s="124">
        <v>33710</v>
      </c>
      <c r="J198" s="124">
        <v>19760</v>
      </c>
    </row>
    <row r="199" spans="1:10" x14ac:dyDescent="0.3">
      <c r="A199" s="115">
        <v>195</v>
      </c>
      <c r="B199" s="121">
        <v>40</v>
      </c>
      <c r="C199" s="122">
        <v>46133</v>
      </c>
      <c r="D199" s="123">
        <v>0.49546296296296294</v>
      </c>
      <c r="E199" s="122">
        <v>46133</v>
      </c>
      <c r="F199" s="123">
        <v>0.49988425925925928</v>
      </c>
      <c r="G199" s="123" t="s">
        <v>537</v>
      </c>
      <c r="H199" s="124">
        <v>13960</v>
      </c>
      <c r="I199" s="124">
        <v>31240</v>
      </c>
      <c r="J199" s="124">
        <v>17280</v>
      </c>
    </row>
    <row r="200" spans="1:10" x14ac:dyDescent="0.3">
      <c r="A200" s="115">
        <v>196</v>
      </c>
      <c r="B200" s="121">
        <v>41</v>
      </c>
      <c r="C200" s="122">
        <v>46133</v>
      </c>
      <c r="D200" s="123">
        <v>0.51983796296296292</v>
      </c>
      <c r="E200" s="122">
        <v>46133</v>
      </c>
      <c r="F200" s="123">
        <v>0.5245023148148148</v>
      </c>
      <c r="G200" s="123" t="s">
        <v>143</v>
      </c>
      <c r="H200" s="124">
        <v>13910</v>
      </c>
      <c r="I200" s="124">
        <v>31460</v>
      </c>
      <c r="J200" s="124">
        <v>17550</v>
      </c>
    </row>
    <row r="201" spans="1:10" x14ac:dyDescent="0.3">
      <c r="A201" s="115">
        <v>197</v>
      </c>
      <c r="B201" s="121">
        <v>383</v>
      </c>
      <c r="C201" s="122">
        <v>46139</v>
      </c>
      <c r="D201" s="123" t="s">
        <v>589</v>
      </c>
      <c r="E201" s="122">
        <v>46139</v>
      </c>
      <c r="F201" s="123" t="s">
        <v>590</v>
      </c>
      <c r="G201" s="123" t="s">
        <v>143</v>
      </c>
      <c r="H201" s="124">
        <v>14030</v>
      </c>
      <c r="I201" s="124">
        <v>34440</v>
      </c>
      <c r="J201" s="124">
        <v>20410</v>
      </c>
    </row>
    <row r="202" spans="1:10" x14ac:dyDescent="0.3">
      <c r="A202" s="115">
        <v>198</v>
      </c>
      <c r="B202" s="121">
        <v>381</v>
      </c>
      <c r="C202" s="122">
        <v>46139</v>
      </c>
      <c r="D202" s="123" t="s">
        <v>591</v>
      </c>
      <c r="E202" s="122">
        <v>46139</v>
      </c>
      <c r="F202" s="123" t="s">
        <v>592</v>
      </c>
      <c r="G202" s="123" t="s">
        <v>71</v>
      </c>
      <c r="H202" s="124">
        <v>13860</v>
      </c>
      <c r="I202" s="124">
        <v>35320</v>
      </c>
      <c r="J202" s="124">
        <v>21460</v>
      </c>
    </row>
    <row r="203" spans="1:10" x14ac:dyDescent="0.3">
      <c r="A203" s="115">
        <v>199</v>
      </c>
      <c r="B203" s="121">
        <v>375</v>
      </c>
      <c r="C203" s="122">
        <v>46139</v>
      </c>
      <c r="D203" s="123" t="s">
        <v>593</v>
      </c>
      <c r="E203" s="122">
        <v>46139</v>
      </c>
      <c r="F203" s="123" t="s">
        <v>594</v>
      </c>
      <c r="G203" s="123" t="s">
        <v>540</v>
      </c>
      <c r="H203" s="124">
        <v>13890</v>
      </c>
      <c r="I203" s="124">
        <v>34420</v>
      </c>
      <c r="J203" s="124">
        <v>20530</v>
      </c>
    </row>
    <row r="204" spans="1:10" x14ac:dyDescent="0.3">
      <c r="A204" s="115">
        <v>200</v>
      </c>
      <c r="B204" s="121">
        <v>374</v>
      </c>
      <c r="C204" s="122">
        <v>46139</v>
      </c>
      <c r="D204" s="123" t="s">
        <v>595</v>
      </c>
      <c r="E204" s="122">
        <v>46139</v>
      </c>
      <c r="F204" s="123" t="s">
        <v>596</v>
      </c>
      <c r="G204" s="123" t="s">
        <v>537</v>
      </c>
      <c r="H204" s="124">
        <v>14020</v>
      </c>
      <c r="I204" s="124">
        <v>34710</v>
      </c>
      <c r="J204" s="124">
        <v>20690</v>
      </c>
    </row>
    <row r="205" spans="1:10" x14ac:dyDescent="0.3">
      <c r="A205" s="115">
        <v>201</v>
      </c>
      <c r="B205" s="121">
        <v>372</v>
      </c>
      <c r="C205" s="122">
        <v>46139</v>
      </c>
      <c r="D205" s="123" t="s">
        <v>597</v>
      </c>
      <c r="E205" s="122">
        <v>46139</v>
      </c>
      <c r="F205" s="123" t="s">
        <v>598</v>
      </c>
      <c r="G205" s="123" t="s">
        <v>143</v>
      </c>
      <c r="H205" s="124">
        <v>14040</v>
      </c>
      <c r="I205" s="124">
        <v>34080</v>
      </c>
      <c r="J205" s="124">
        <v>20040</v>
      </c>
    </row>
    <row r="206" spans="1:10" x14ac:dyDescent="0.3">
      <c r="A206" s="115">
        <v>202</v>
      </c>
      <c r="B206" s="121">
        <v>47</v>
      </c>
      <c r="C206" s="122">
        <v>46133</v>
      </c>
      <c r="D206" s="123">
        <v>0.58680555555555558</v>
      </c>
      <c r="E206" s="122">
        <v>46133</v>
      </c>
      <c r="F206" s="123">
        <v>0.59188657407407408</v>
      </c>
      <c r="G206" s="123" t="s">
        <v>71</v>
      </c>
      <c r="H206" s="124">
        <v>13910</v>
      </c>
      <c r="I206" s="124">
        <v>31400</v>
      </c>
      <c r="J206" s="124">
        <v>17490</v>
      </c>
    </row>
    <row r="207" spans="1:10" x14ac:dyDescent="0.3">
      <c r="A207" s="115">
        <v>203</v>
      </c>
      <c r="B207" s="121">
        <v>365</v>
      </c>
      <c r="C207" s="122">
        <v>46139</v>
      </c>
      <c r="D207" s="123" t="s">
        <v>599</v>
      </c>
      <c r="E207" s="122">
        <v>46139</v>
      </c>
      <c r="F207" s="123" t="s">
        <v>600</v>
      </c>
      <c r="G207" s="123" t="s">
        <v>537</v>
      </c>
      <c r="H207" s="124">
        <v>14020</v>
      </c>
      <c r="I207" s="124">
        <v>35340</v>
      </c>
      <c r="J207" s="124">
        <v>21320</v>
      </c>
    </row>
    <row r="208" spans="1:10" x14ac:dyDescent="0.3">
      <c r="A208" s="115">
        <v>204</v>
      </c>
      <c r="B208" s="121">
        <v>364</v>
      </c>
      <c r="C208" s="122">
        <v>46139</v>
      </c>
      <c r="D208" s="123" t="s">
        <v>601</v>
      </c>
      <c r="E208" s="122">
        <v>46139</v>
      </c>
      <c r="F208" s="123" t="s">
        <v>602</v>
      </c>
      <c r="G208" s="123" t="s">
        <v>71</v>
      </c>
      <c r="H208" s="124">
        <v>13860</v>
      </c>
      <c r="I208" s="124">
        <v>34430</v>
      </c>
      <c r="J208" s="124">
        <v>20570</v>
      </c>
    </row>
    <row r="209" spans="1:10" x14ac:dyDescent="0.3">
      <c r="A209" s="115">
        <v>205</v>
      </c>
      <c r="B209" s="121">
        <v>50</v>
      </c>
      <c r="C209" s="122">
        <v>46133</v>
      </c>
      <c r="D209" s="123">
        <v>0.62293981481481486</v>
      </c>
      <c r="E209" s="122">
        <v>46133</v>
      </c>
      <c r="F209" s="123">
        <v>0.62716435185185182</v>
      </c>
      <c r="G209" s="123" t="s">
        <v>537</v>
      </c>
      <c r="H209" s="124">
        <v>13960</v>
      </c>
      <c r="I209" s="124">
        <v>31500</v>
      </c>
      <c r="J209" s="124">
        <v>17540</v>
      </c>
    </row>
    <row r="210" spans="1:10" x14ac:dyDescent="0.3">
      <c r="A210" s="115">
        <v>206</v>
      </c>
      <c r="B210" s="121">
        <v>51</v>
      </c>
      <c r="C210" s="122">
        <v>46133</v>
      </c>
      <c r="D210" s="123">
        <v>0.6447222222222222</v>
      </c>
      <c r="E210" s="122">
        <v>46133</v>
      </c>
      <c r="F210" s="123">
        <v>0.64957175925925925</v>
      </c>
      <c r="G210" s="123" t="s">
        <v>143</v>
      </c>
      <c r="H210" s="124">
        <v>13890</v>
      </c>
      <c r="I210" s="124">
        <v>33040</v>
      </c>
      <c r="J210" s="124">
        <v>19150</v>
      </c>
    </row>
    <row r="211" spans="1:10" x14ac:dyDescent="0.3">
      <c r="A211" s="115">
        <v>207</v>
      </c>
      <c r="B211" s="121">
        <v>362</v>
      </c>
      <c r="C211" s="122">
        <v>46139</v>
      </c>
      <c r="D211" s="123" t="s">
        <v>603</v>
      </c>
      <c r="E211" s="122">
        <v>46139</v>
      </c>
      <c r="F211" s="123" t="s">
        <v>604</v>
      </c>
      <c r="G211" s="123" t="s">
        <v>143</v>
      </c>
      <c r="H211" s="124">
        <v>13810</v>
      </c>
      <c r="I211" s="124">
        <v>34450</v>
      </c>
      <c r="J211" s="124">
        <v>20640</v>
      </c>
    </row>
    <row r="212" spans="1:10" x14ac:dyDescent="0.3">
      <c r="A212" s="115">
        <v>208</v>
      </c>
      <c r="B212" s="121">
        <v>354</v>
      </c>
      <c r="C212" s="122">
        <v>46139</v>
      </c>
      <c r="D212" s="123" t="s">
        <v>605</v>
      </c>
      <c r="E212" s="122">
        <v>46139</v>
      </c>
      <c r="F212" s="123" t="s">
        <v>606</v>
      </c>
      <c r="G212" s="123" t="s">
        <v>537</v>
      </c>
      <c r="H212" s="124">
        <v>14050</v>
      </c>
      <c r="I212" s="124">
        <v>34590</v>
      </c>
      <c r="J212" s="124">
        <v>20540</v>
      </c>
    </row>
    <row r="213" spans="1:10" x14ac:dyDescent="0.3">
      <c r="A213" s="115">
        <v>209</v>
      </c>
      <c r="B213" s="121">
        <v>54</v>
      </c>
      <c r="C213" s="122">
        <v>46133</v>
      </c>
      <c r="D213" s="123">
        <v>0.70542824074074073</v>
      </c>
      <c r="E213" s="122">
        <v>46133</v>
      </c>
      <c r="F213" s="123">
        <v>0.71065972222222218</v>
      </c>
      <c r="G213" s="123" t="s">
        <v>71</v>
      </c>
      <c r="H213" s="124">
        <v>13880</v>
      </c>
      <c r="I213" s="124">
        <v>33770</v>
      </c>
      <c r="J213" s="124">
        <v>19890</v>
      </c>
    </row>
    <row r="214" spans="1:10" x14ac:dyDescent="0.3">
      <c r="A214" s="115">
        <v>210</v>
      </c>
      <c r="B214" s="121">
        <v>353</v>
      </c>
      <c r="C214" s="122">
        <v>46139</v>
      </c>
      <c r="D214" s="123" t="s">
        <v>607</v>
      </c>
      <c r="E214" s="122">
        <v>46139</v>
      </c>
      <c r="F214" s="123" t="s">
        <v>608</v>
      </c>
      <c r="G214" s="123" t="s">
        <v>71</v>
      </c>
      <c r="H214" s="124">
        <v>13910</v>
      </c>
      <c r="I214" s="124">
        <v>33900</v>
      </c>
      <c r="J214" s="124">
        <v>19990</v>
      </c>
    </row>
    <row r="215" spans="1:10" x14ac:dyDescent="0.3">
      <c r="A215" s="115">
        <v>211</v>
      </c>
      <c r="B215" s="121">
        <v>351</v>
      </c>
      <c r="C215" s="122">
        <v>46139</v>
      </c>
      <c r="D215" s="123" t="s">
        <v>609</v>
      </c>
      <c r="E215" s="122">
        <v>46139</v>
      </c>
      <c r="F215" s="123" t="s">
        <v>610</v>
      </c>
      <c r="G215" s="123" t="s">
        <v>143</v>
      </c>
      <c r="H215" s="124">
        <v>13820</v>
      </c>
      <c r="I215" s="124">
        <v>33820</v>
      </c>
      <c r="J215" s="124">
        <v>20000</v>
      </c>
    </row>
    <row r="216" spans="1:10" x14ac:dyDescent="0.3">
      <c r="A216" s="115">
        <v>212</v>
      </c>
      <c r="B216" s="121">
        <v>345</v>
      </c>
      <c r="C216" s="122">
        <v>46139</v>
      </c>
      <c r="D216" s="123" t="s">
        <v>611</v>
      </c>
      <c r="E216" s="122">
        <v>46139</v>
      </c>
      <c r="F216" s="123" t="s">
        <v>612</v>
      </c>
      <c r="G216" s="123" t="s">
        <v>537</v>
      </c>
      <c r="H216" s="124">
        <v>13870</v>
      </c>
      <c r="I216" s="124">
        <v>33210</v>
      </c>
      <c r="J216" s="124">
        <v>19340</v>
      </c>
    </row>
    <row r="217" spans="1:10" x14ac:dyDescent="0.3">
      <c r="A217" s="115">
        <v>213</v>
      </c>
      <c r="B217" s="121">
        <v>58</v>
      </c>
      <c r="C217" s="122">
        <v>46133</v>
      </c>
      <c r="D217" s="123">
        <v>0.76298611111111114</v>
      </c>
      <c r="E217" s="122">
        <v>46133</v>
      </c>
      <c r="F217" s="123">
        <v>0.76993055555555556</v>
      </c>
      <c r="G217" s="123" t="s">
        <v>537</v>
      </c>
      <c r="H217" s="124">
        <v>13970</v>
      </c>
      <c r="I217" s="124">
        <v>32750</v>
      </c>
      <c r="J217" s="124">
        <v>18780</v>
      </c>
    </row>
    <row r="218" spans="1:10" x14ac:dyDescent="0.3">
      <c r="A218" s="115">
        <v>214</v>
      </c>
      <c r="B218" s="121">
        <v>339</v>
      </c>
      <c r="C218" s="122">
        <v>46137</v>
      </c>
      <c r="D218" s="123" t="s">
        <v>613</v>
      </c>
      <c r="E218" s="122">
        <v>46137</v>
      </c>
      <c r="F218" s="123" t="s">
        <v>614</v>
      </c>
      <c r="G218" s="123" t="s">
        <v>143</v>
      </c>
      <c r="H218" s="124">
        <v>13870</v>
      </c>
      <c r="I218" s="124">
        <v>33870</v>
      </c>
      <c r="J218" s="124">
        <v>20000</v>
      </c>
    </row>
    <row r="219" spans="1:10" x14ac:dyDescent="0.3">
      <c r="A219" s="115">
        <v>215</v>
      </c>
      <c r="B219" s="121">
        <v>337</v>
      </c>
      <c r="C219" s="122">
        <v>46137</v>
      </c>
      <c r="D219" s="123" t="s">
        <v>615</v>
      </c>
      <c r="E219" s="122">
        <v>46137</v>
      </c>
      <c r="F219" s="123" t="s">
        <v>616</v>
      </c>
      <c r="G219" s="123" t="s">
        <v>71</v>
      </c>
      <c r="H219" s="124">
        <v>13920</v>
      </c>
      <c r="I219" s="124">
        <v>33210</v>
      </c>
      <c r="J219" s="124">
        <v>19290</v>
      </c>
    </row>
    <row r="220" spans="1:10" x14ac:dyDescent="0.3">
      <c r="A220" s="115">
        <v>216</v>
      </c>
      <c r="B220" s="121">
        <v>336</v>
      </c>
      <c r="C220" s="122">
        <v>46137</v>
      </c>
      <c r="D220" s="123" t="s">
        <v>617</v>
      </c>
      <c r="E220" s="122">
        <v>46137</v>
      </c>
      <c r="F220" s="123" t="s">
        <v>618</v>
      </c>
      <c r="G220" s="123" t="s">
        <v>71</v>
      </c>
      <c r="H220" s="124">
        <v>13950</v>
      </c>
      <c r="I220" s="124">
        <v>33380</v>
      </c>
      <c r="J220" s="124">
        <v>19430</v>
      </c>
    </row>
    <row r="221" spans="1:10" x14ac:dyDescent="0.3">
      <c r="A221" s="115">
        <v>217</v>
      </c>
      <c r="B221" s="121">
        <v>62</v>
      </c>
      <c r="C221" s="122">
        <v>46134</v>
      </c>
      <c r="D221" s="123">
        <v>4.234953703703704E-2</v>
      </c>
      <c r="E221" s="122">
        <v>46134</v>
      </c>
      <c r="F221" s="123">
        <v>5.9479166666666666E-2</v>
      </c>
      <c r="G221" s="123" t="s">
        <v>537</v>
      </c>
      <c r="H221" s="124">
        <v>13870</v>
      </c>
      <c r="I221" s="124">
        <v>33320</v>
      </c>
      <c r="J221" s="124">
        <v>19450</v>
      </c>
    </row>
    <row r="222" spans="1:10" x14ac:dyDescent="0.3">
      <c r="A222" s="115">
        <v>218</v>
      </c>
      <c r="B222" s="121">
        <v>335</v>
      </c>
      <c r="C222" s="122">
        <v>46137</v>
      </c>
      <c r="D222" s="123" t="s">
        <v>619</v>
      </c>
      <c r="E222" s="122">
        <v>46137</v>
      </c>
      <c r="F222" s="123" t="s">
        <v>620</v>
      </c>
      <c r="G222" s="123" t="s">
        <v>537</v>
      </c>
      <c r="H222" s="124">
        <v>13950</v>
      </c>
      <c r="I222" s="124">
        <v>32600</v>
      </c>
      <c r="J222" s="124">
        <v>18650</v>
      </c>
    </row>
    <row r="223" spans="1:10" x14ac:dyDescent="0.3">
      <c r="A223" s="115">
        <v>219</v>
      </c>
      <c r="B223" s="121">
        <v>328</v>
      </c>
      <c r="C223" s="122">
        <v>46137</v>
      </c>
      <c r="D223" s="123" t="s">
        <v>621</v>
      </c>
      <c r="E223" s="122">
        <v>46137</v>
      </c>
      <c r="F223" s="123" t="s">
        <v>622</v>
      </c>
      <c r="G223" s="123" t="s">
        <v>143</v>
      </c>
      <c r="H223" s="124">
        <v>13860</v>
      </c>
      <c r="I223" s="124">
        <v>33940</v>
      </c>
      <c r="J223" s="124">
        <v>20080</v>
      </c>
    </row>
    <row r="224" spans="1:10" x14ac:dyDescent="0.3">
      <c r="A224" s="115">
        <v>220</v>
      </c>
      <c r="B224" s="121">
        <v>326</v>
      </c>
      <c r="C224" s="122">
        <v>46137</v>
      </c>
      <c r="D224" s="123" t="s">
        <v>623</v>
      </c>
      <c r="E224" s="122">
        <v>46137</v>
      </c>
      <c r="F224" s="123" t="s">
        <v>624</v>
      </c>
      <c r="G224" s="123" t="s">
        <v>537</v>
      </c>
      <c r="H224" s="124">
        <v>13940</v>
      </c>
      <c r="I224" s="124">
        <v>33670</v>
      </c>
      <c r="J224" s="124">
        <v>19730</v>
      </c>
    </row>
    <row r="225" spans="1:10" x14ac:dyDescent="0.3">
      <c r="A225" s="115">
        <v>221</v>
      </c>
      <c r="B225" s="121">
        <v>66</v>
      </c>
      <c r="C225" s="122">
        <v>46134</v>
      </c>
      <c r="D225" s="123">
        <v>4.3842592592592593E-2</v>
      </c>
      <c r="E225" s="122">
        <v>46134</v>
      </c>
      <c r="F225" s="123">
        <v>8.3587962962962961E-2</v>
      </c>
      <c r="G225" s="123" t="s">
        <v>143</v>
      </c>
      <c r="H225" s="124">
        <v>13870</v>
      </c>
      <c r="I225" s="124">
        <v>33040</v>
      </c>
      <c r="J225" s="124">
        <v>19170</v>
      </c>
    </row>
    <row r="226" spans="1:10" x14ac:dyDescent="0.3">
      <c r="A226" s="115">
        <v>222</v>
      </c>
      <c r="B226" s="121">
        <v>319</v>
      </c>
      <c r="C226" s="122">
        <v>46137</v>
      </c>
      <c r="D226" s="123" t="s">
        <v>625</v>
      </c>
      <c r="E226" s="122">
        <v>46137</v>
      </c>
      <c r="F226" s="123" t="s">
        <v>626</v>
      </c>
      <c r="G226" s="123" t="s">
        <v>143</v>
      </c>
      <c r="H226" s="124">
        <v>13960</v>
      </c>
      <c r="I226" s="124">
        <v>34350</v>
      </c>
      <c r="J226" s="124">
        <v>20390</v>
      </c>
    </row>
    <row r="227" spans="1:10" x14ac:dyDescent="0.3">
      <c r="A227" s="115">
        <v>223</v>
      </c>
      <c r="B227" s="121">
        <v>318</v>
      </c>
      <c r="C227" s="122">
        <v>46137</v>
      </c>
      <c r="D227" s="123" t="s">
        <v>627</v>
      </c>
      <c r="E227" s="122">
        <v>46137</v>
      </c>
      <c r="F227" s="123" t="s">
        <v>628</v>
      </c>
      <c r="G227" s="123" t="s">
        <v>71</v>
      </c>
      <c r="H227" s="124">
        <v>13970</v>
      </c>
      <c r="I227" s="124">
        <v>32440</v>
      </c>
      <c r="J227" s="124">
        <v>18470</v>
      </c>
    </row>
    <row r="228" spans="1:10" x14ac:dyDescent="0.3">
      <c r="A228" s="115">
        <v>224</v>
      </c>
      <c r="B228" s="121">
        <v>316</v>
      </c>
      <c r="C228" s="122">
        <v>46137</v>
      </c>
      <c r="D228" s="123" t="s">
        <v>629</v>
      </c>
      <c r="E228" s="122">
        <v>46137</v>
      </c>
      <c r="F228" s="123" t="s">
        <v>630</v>
      </c>
      <c r="G228" s="123" t="s">
        <v>537</v>
      </c>
      <c r="H228" s="124">
        <v>13990</v>
      </c>
      <c r="I228" s="124">
        <v>34160</v>
      </c>
      <c r="J228" s="124">
        <v>20170</v>
      </c>
    </row>
    <row r="229" spans="1:10" x14ac:dyDescent="0.3">
      <c r="A229" s="115">
        <v>225</v>
      </c>
      <c r="B229" s="121">
        <v>70</v>
      </c>
      <c r="C229" s="122">
        <v>46134</v>
      </c>
      <c r="D229" s="123">
        <v>7.6446759259259256E-2</v>
      </c>
      <c r="E229" s="122">
        <v>46134</v>
      </c>
      <c r="F229" s="123">
        <v>0.10552083333333333</v>
      </c>
      <c r="G229" s="123" t="s">
        <v>71</v>
      </c>
      <c r="H229" s="124">
        <v>13860</v>
      </c>
      <c r="I229" s="124">
        <v>33480</v>
      </c>
      <c r="J229" s="124">
        <v>19620</v>
      </c>
    </row>
    <row r="230" spans="1:10" x14ac:dyDescent="0.3">
      <c r="A230" s="115">
        <v>226</v>
      </c>
      <c r="B230" s="121">
        <v>310</v>
      </c>
      <c r="C230" s="122">
        <v>46137</v>
      </c>
      <c r="D230" s="123" t="s">
        <v>631</v>
      </c>
      <c r="E230" s="122">
        <v>46137</v>
      </c>
      <c r="F230" s="123" t="s">
        <v>632</v>
      </c>
      <c r="G230" s="123" t="s">
        <v>143</v>
      </c>
      <c r="H230" s="124">
        <v>13950</v>
      </c>
      <c r="I230" s="124">
        <v>33640</v>
      </c>
      <c r="J230" s="124">
        <v>19690</v>
      </c>
    </row>
    <row r="231" spans="1:10" x14ac:dyDescent="0.3">
      <c r="A231" s="115">
        <v>227</v>
      </c>
      <c r="B231" s="121">
        <v>72</v>
      </c>
      <c r="C231" s="122">
        <v>46134</v>
      </c>
      <c r="D231" s="123">
        <v>0.16798611111111111</v>
      </c>
      <c r="E231" s="122">
        <v>46134</v>
      </c>
      <c r="F231" s="123">
        <v>0.17516203703703703</v>
      </c>
      <c r="G231" s="123" t="s">
        <v>537</v>
      </c>
      <c r="H231" s="124">
        <v>13940</v>
      </c>
      <c r="I231" s="124">
        <v>31900</v>
      </c>
      <c r="J231" s="124">
        <v>17960</v>
      </c>
    </row>
    <row r="232" spans="1:10" x14ac:dyDescent="0.3">
      <c r="A232" s="115">
        <v>228</v>
      </c>
      <c r="B232" s="121">
        <v>308</v>
      </c>
      <c r="C232" s="122">
        <v>46137</v>
      </c>
      <c r="D232" s="123" t="s">
        <v>633</v>
      </c>
      <c r="E232" s="122">
        <v>46137</v>
      </c>
      <c r="F232" s="123" t="s">
        <v>634</v>
      </c>
      <c r="G232" s="123" t="s">
        <v>71</v>
      </c>
      <c r="H232" s="124">
        <v>14030</v>
      </c>
      <c r="I232" s="124">
        <v>32730</v>
      </c>
      <c r="J232" s="124">
        <v>18700</v>
      </c>
    </row>
    <row r="233" spans="1:10" x14ac:dyDescent="0.3">
      <c r="A233" s="115">
        <v>229</v>
      </c>
      <c r="B233" s="121">
        <v>306</v>
      </c>
      <c r="C233" s="122">
        <v>46137</v>
      </c>
      <c r="D233" s="123" t="s">
        <v>635</v>
      </c>
      <c r="E233" s="122">
        <v>46137</v>
      </c>
      <c r="F233" s="123" t="s">
        <v>636</v>
      </c>
      <c r="G233" s="123" t="s">
        <v>537</v>
      </c>
      <c r="H233" s="124">
        <v>14000</v>
      </c>
      <c r="I233" s="124">
        <v>33210</v>
      </c>
      <c r="J233" s="124">
        <v>19210</v>
      </c>
    </row>
    <row r="234" spans="1:10" x14ac:dyDescent="0.3">
      <c r="A234" s="115">
        <v>230</v>
      </c>
      <c r="B234" s="121">
        <v>75</v>
      </c>
      <c r="C234" s="122">
        <v>46134</v>
      </c>
      <c r="D234" s="123">
        <v>0.20386574074074074</v>
      </c>
      <c r="E234" s="122">
        <v>46134</v>
      </c>
      <c r="F234" s="123">
        <v>0.21486111111111111</v>
      </c>
      <c r="G234" s="123" t="s">
        <v>143</v>
      </c>
      <c r="H234" s="124">
        <v>13860</v>
      </c>
      <c r="I234" s="124">
        <v>31620</v>
      </c>
      <c r="J234" s="124">
        <v>17760</v>
      </c>
    </row>
    <row r="235" spans="1:10" x14ac:dyDescent="0.3">
      <c r="A235" s="115">
        <v>231</v>
      </c>
      <c r="B235" s="121">
        <v>300</v>
      </c>
      <c r="C235" s="122">
        <v>46137</v>
      </c>
      <c r="D235" s="123" t="s">
        <v>637</v>
      </c>
      <c r="E235" s="122">
        <v>46137</v>
      </c>
      <c r="F235" s="123" t="s">
        <v>638</v>
      </c>
      <c r="G235" s="123" t="s">
        <v>143</v>
      </c>
      <c r="H235" s="124">
        <v>13990</v>
      </c>
      <c r="I235" s="124">
        <v>33270</v>
      </c>
      <c r="J235" s="124">
        <v>19280</v>
      </c>
    </row>
    <row r="236" spans="1:10" x14ac:dyDescent="0.3">
      <c r="A236" s="115">
        <v>232</v>
      </c>
      <c r="B236" s="121">
        <v>299</v>
      </c>
      <c r="C236" s="122">
        <v>46137</v>
      </c>
      <c r="D236" s="123" t="s">
        <v>639</v>
      </c>
      <c r="E236" s="122">
        <v>46137</v>
      </c>
      <c r="F236" s="123" t="s">
        <v>640</v>
      </c>
      <c r="G236" s="123" t="s">
        <v>71</v>
      </c>
      <c r="H236" s="124">
        <v>13830</v>
      </c>
      <c r="I236" s="124">
        <v>32280</v>
      </c>
      <c r="J236" s="124">
        <v>18450</v>
      </c>
    </row>
    <row r="237" spans="1:10" x14ac:dyDescent="0.3">
      <c r="A237" s="115">
        <v>233</v>
      </c>
      <c r="B237" s="121">
        <v>296</v>
      </c>
      <c r="C237" s="122">
        <v>46137</v>
      </c>
      <c r="D237" s="123" t="s">
        <v>641</v>
      </c>
      <c r="E237" s="122">
        <v>46137</v>
      </c>
      <c r="F237" s="123" t="s">
        <v>642</v>
      </c>
      <c r="G237" s="123" t="s">
        <v>537</v>
      </c>
      <c r="H237" s="124">
        <v>14010</v>
      </c>
      <c r="I237" s="124">
        <v>33020</v>
      </c>
      <c r="J237" s="124">
        <v>19010</v>
      </c>
    </row>
    <row r="238" spans="1:10" x14ac:dyDescent="0.3">
      <c r="A238" s="115">
        <v>234</v>
      </c>
      <c r="B238" s="121">
        <v>290</v>
      </c>
      <c r="C238" s="122">
        <v>46137</v>
      </c>
      <c r="D238" s="123" t="s">
        <v>643</v>
      </c>
      <c r="E238" s="122">
        <v>46137</v>
      </c>
      <c r="F238" s="123" t="s">
        <v>644</v>
      </c>
      <c r="G238" s="123" t="s">
        <v>143</v>
      </c>
      <c r="H238" s="124">
        <v>14170</v>
      </c>
      <c r="I238" s="124">
        <v>33290</v>
      </c>
      <c r="J238" s="124">
        <v>19120</v>
      </c>
    </row>
    <row r="239" spans="1:10" x14ac:dyDescent="0.3">
      <c r="A239" s="115">
        <v>235</v>
      </c>
      <c r="B239" s="121">
        <v>80</v>
      </c>
      <c r="C239" s="122">
        <v>46134</v>
      </c>
      <c r="D239" s="123">
        <v>0.23895833333333333</v>
      </c>
      <c r="E239" s="122">
        <v>46134</v>
      </c>
      <c r="F239" s="123">
        <v>0.24737268518518518</v>
      </c>
      <c r="G239" s="123" t="s">
        <v>71</v>
      </c>
      <c r="H239" s="124">
        <v>13930</v>
      </c>
      <c r="I239" s="124">
        <v>34020</v>
      </c>
      <c r="J239" s="124">
        <v>20090</v>
      </c>
    </row>
    <row r="240" spans="1:10" x14ac:dyDescent="0.3">
      <c r="A240" s="115">
        <v>236</v>
      </c>
      <c r="B240" s="121">
        <v>289</v>
      </c>
      <c r="C240" s="122">
        <v>46137</v>
      </c>
      <c r="D240" s="123" t="s">
        <v>645</v>
      </c>
      <c r="E240" s="122">
        <v>46137</v>
      </c>
      <c r="F240" s="123" t="s">
        <v>646</v>
      </c>
      <c r="G240" s="123" t="s">
        <v>71</v>
      </c>
      <c r="H240" s="124">
        <v>13860</v>
      </c>
      <c r="I240" s="124">
        <v>33100</v>
      </c>
      <c r="J240" s="124">
        <v>19240</v>
      </c>
    </row>
    <row r="241" spans="1:10" x14ac:dyDescent="0.3">
      <c r="A241" s="115">
        <v>237</v>
      </c>
      <c r="B241" s="121">
        <v>286</v>
      </c>
      <c r="C241" s="122">
        <v>46137</v>
      </c>
      <c r="D241" s="123" t="s">
        <v>647</v>
      </c>
      <c r="E241" s="122">
        <v>46137</v>
      </c>
      <c r="F241" s="123" t="s">
        <v>648</v>
      </c>
      <c r="G241" s="123" t="s">
        <v>537</v>
      </c>
      <c r="H241" s="124">
        <v>14060</v>
      </c>
      <c r="I241" s="124">
        <v>32730</v>
      </c>
      <c r="J241" s="124">
        <v>18670</v>
      </c>
    </row>
    <row r="242" spans="1:10" x14ac:dyDescent="0.3">
      <c r="A242" s="115">
        <v>238</v>
      </c>
      <c r="B242" s="121">
        <v>83</v>
      </c>
      <c r="C242" s="122">
        <v>46134</v>
      </c>
      <c r="D242" s="123">
        <v>0.30693287037037037</v>
      </c>
      <c r="E242" s="122">
        <v>46134</v>
      </c>
      <c r="F242" s="123">
        <v>0.31739583333333332</v>
      </c>
      <c r="G242" s="123" t="s">
        <v>537</v>
      </c>
      <c r="H242" s="124">
        <v>14040</v>
      </c>
      <c r="I242" s="124">
        <v>31200</v>
      </c>
      <c r="J242" s="124">
        <v>17160</v>
      </c>
    </row>
    <row r="243" spans="1:10" x14ac:dyDescent="0.3">
      <c r="A243" s="115">
        <v>239</v>
      </c>
      <c r="B243" s="121">
        <v>282</v>
      </c>
      <c r="C243" s="122">
        <v>46136</v>
      </c>
      <c r="D243" s="123" t="s">
        <v>649</v>
      </c>
      <c r="E243" s="122">
        <v>46136</v>
      </c>
      <c r="F243" s="123" t="s">
        <v>650</v>
      </c>
      <c r="G243" s="123" t="s">
        <v>71</v>
      </c>
      <c r="H243" s="124">
        <v>13920</v>
      </c>
      <c r="I243" s="124">
        <v>34080</v>
      </c>
      <c r="J243" s="124">
        <v>20160</v>
      </c>
    </row>
    <row r="244" spans="1:10" x14ac:dyDescent="0.3">
      <c r="A244" s="115">
        <v>240</v>
      </c>
      <c r="B244" s="121">
        <v>85</v>
      </c>
      <c r="C244" s="122">
        <v>46134</v>
      </c>
      <c r="D244" s="123">
        <v>0.34749999999999998</v>
      </c>
      <c r="E244" s="122">
        <v>46134</v>
      </c>
      <c r="F244" s="123">
        <v>0.35357638888888887</v>
      </c>
      <c r="G244" s="123" t="s">
        <v>143</v>
      </c>
      <c r="H244" s="124">
        <v>13870</v>
      </c>
      <c r="I244" s="124">
        <v>31890</v>
      </c>
      <c r="J244" s="124">
        <v>18020</v>
      </c>
    </row>
    <row r="245" spans="1:10" x14ac:dyDescent="0.3">
      <c r="A245" s="115">
        <v>241</v>
      </c>
      <c r="B245" s="121">
        <v>281</v>
      </c>
      <c r="C245" s="122">
        <v>46136</v>
      </c>
      <c r="D245" s="123" t="s">
        <v>651</v>
      </c>
      <c r="E245" s="122">
        <v>46136</v>
      </c>
      <c r="F245" s="123" t="s">
        <v>652</v>
      </c>
      <c r="G245" s="123" t="s">
        <v>143</v>
      </c>
      <c r="H245" s="124">
        <v>14050</v>
      </c>
      <c r="I245" s="124">
        <v>34370</v>
      </c>
      <c r="J245" s="124">
        <v>20320</v>
      </c>
    </row>
    <row r="246" spans="1:10" x14ac:dyDescent="0.3">
      <c r="A246" s="115">
        <v>242</v>
      </c>
      <c r="B246" s="121">
        <v>274</v>
      </c>
      <c r="C246" s="122">
        <v>46136</v>
      </c>
      <c r="D246" s="123" t="s">
        <v>653</v>
      </c>
      <c r="E246" s="122">
        <v>46136</v>
      </c>
      <c r="F246" s="123" t="s">
        <v>654</v>
      </c>
      <c r="G246" s="123" t="s">
        <v>537</v>
      </c>
      <c r="H246" s="124">
        <v>13950</v>
      </c>
      <c r="I246" s="124">
        <v>34030</v>
      </c>
      <c r="J246" s="124">
        <v>20080</v>
      </c>
    </row>
    <row r="247" spans="1:10" x14ac:dyDescent="0.3">
      <c r="A247" s="115">
        <v>243</v>
      </c>
      <c r="B247" s="121">
        <v>88</v>
      </c>
      <c r="C247" s="122">
        <v>46134</v>
      </c>
      <c r="D247" s="123">
        <v>0.38559027777777777</v>
      </c>
      <c r="E247" s="122">
        <v>46134</v>
      </c>
      <c r="F247" s="123">
        <v>0.39061342592592591</v>
      </c>
      <c r="G247" s="123" t="s">
        <v>71</v>
      </c>
      <c r="H247" s="124">
        <v>13860</v>
      </c>
      <c r="I247" s="124">
        <v>34040</v>
      </c>
      <c r="J247" s="124">
        <v>20180</v>
      </c>
    </row>
    <row r="248" spans="1:10" x14ac:dyDescent="0.3">
      <c r="A248" s="115">
        <v>244</v>
      </c>
      <c r="B248" s="121">
        <v>272</v>
      </c>
      <c r="C248" s="122">
        <v>46136</v>
      </c>
      <c r="D248" s="123" t="s">
        <v>655</v>
      </c>
      <c r="E248" s="122">
        <v>46136</v>
      </c>
      <c r="F248" s="123" t="s">
        <v>656</v>
      </c>
      <c r="G248" s="123" t="s">
        <v>71</v>
      </c>
      <c r="H248" s="124">
        <v>13920</v>
      </c>
      <c r="I248" s="124">
        <v>34710</v>
      </c>
      <c r="J248" s="124">
        <v>20790</v>
      </c>
    </row>
    <row r="249" spans="1:10" x14ac:dyDescent="0.3">
      <c r="A249" s="115">
        <v>245</v>
      </c>
      <c r="B249" s="121">
        <v>271</v>
      </c>
      <c r="C249" s="122">
        <v>46136</v>
      </c>
      <c r="D249" s="123" t="s">
        <v>657</v>
      </c>
      <c r="E249" s="122">
        <v>46136</v>
      </c>
      <c r="F249" s="123" t="s">
        <v>658</v>
      </c>
      <c r="G249" s="123" t="s">
        <v>143</v>
      </c>
      <c r="H249" s="124">
        <v>13750</v>
      </c>
      <c r="I249" s="124">
        <v>34810</v>
      </c>
      <c r="J249" s="124">
        <v>21060</v>
      </c>
    </row>
    <row r="250" spans="1:10" x14ac:dyDescent="0.3">
      <c r="A250" s="115">
        <v>246</v>
      </c>
      <c r="B250" s="121">
        <v>264</v>
      </c>
      <c r="C250" s="122">
        <v>46136</v>
      </c>
      <c r="D250" s="123" t="s">
        <v>659</v>
      </c>
      <c r="E250" s="122">
        <v>46136</v>
      </c>
      <c r="F250" s="123" t="s">
        <v>660</v>
      </c>
      <c r="G250" s="123" t="s">
        <v>537</v>
      </c>
      <c r="H250" s="124">
        <v>13960</v>
      </c>
      <c r="I250" s="124">
        <v>35310</v>
      </c>
      <c r="J250" s="124">
        <v>21350</v>
      </c>
    </row>
    <row r="251" spans="1:10" x14ac:dyDescent="0.3">
      <c r="A251" s="115">
        <v>247</v>
      </c>
      <c r="B251" s="121">
        <v>262</v>
      </c>
      <c r="C251" s="122">
        <v>46136</v>
      </c>
      <c r="D251" s="123" t="s">
        <v>661</v>
      </c>
      <c r="E251" s="122">
        <v>46136</v>
      </c>
      <c r="F251" s="123" t="s">
        <v>662</v>
      </c>
      <c r="G251" s="123" t="s">
        <v>71</v>
      </c>
      <c r="H251" s="124">
        <v>13960</v>
      </c>
      <c r="I251" s="124">
        <v>34050</v>
      </c>
      <c r="J251" s="124">
        <v>20090</v>
      </c>
    </row>
    <row r="252" spans="1:10" x14ac:dyDescent="0.3">
      <c r="A252" s="115">
        <v>248</v>
      </c>
      <c r="B252" s="121">
        <v>261</v>
      </c>
      <c r="C252" s="122">
        <v>46136</v>
      </c>
      <c r="D252" s="123" t="s">
        <v>663</v>
      </c>
      <c r="E252" s="122">
        <v>46136</v>
      </c>
      <c r="F252" s="123" t="s">
        <v>664</v>
      </c>
      <c r="G252" s="123" t="s">
        <v>143</v>
      </c>
      <c r="H252" s="124">
        <v>13780</v>
      </c>
      <c r="I252" s="124">
        <v>34820</v>
      </c>
      <c r="J252" s="124">
        <v>21040</v>
      </c>
    </row>
    <row r="253" spans="1:10" x14ac:dyDescent="0.3">
      <c r="A253" s="115">
        <v>249</v>
      </c>
      <c r="B253" s="121">
        <v>94</v>
      </c>
      <c r="C253" s="122">
        <v>46134</v>
      </c>
      <c r="D253" s="123">
        <v>0.45258101851851851</v>
      </c>
      <c r="E253" s="122">
        <v>46134</v>
      </c>
      <c r="F253" s="123">
        <v>0.46841435185185187</v>
      </c>
      <c r="G253" s="123" t="s">
        <v>537</v>
      </c>
      <c r="H253" s="124">
        <v>14030</v>
      </c>
      <c r="I253" s="124">
        <v>33190</v>
      </c>
      <c r="J253" s="124">
        <v>19160</v>
      </c>
    </row>
    <row r="254" spans="1:10" x14ac:dyDescent="0.3">
      <c r="A254" s="115">
        <v>250</v>
      </c>
      <c r="B254" s="121">
        <v>95</v>
      </c>
      <c r="C254" s="122">
        <v>46134</v>
      </c>
      <c r="D254" s="123">
        <v>0.47321759259259261</v>
      </c>
      <c r="E254" s="122">
        <v>46134</v>
      </c>
      <c r="F254" s="123">
        <v>0.47711805555555553</v>
      </c>
      <c r="G254" s="123" t="s">
        <v>143</v>
      </c>
      <c r="H254" s="124">
        <v>13800</v>
      </c>
      <c r="I254" s="124">
        <v>32420</v>
      </c>
      <c r="J254" s="124">
        <v>18620</v>
      </c>
    </row>
    <row r="255" spans="1:10" x14ac:dyDescent="0.3">
      <c r="A255" s="115">
        <v>251</v>
      </c>
      <c r="B255" s="121">
        <v>255</v>
      </c>
      <c r="C255" s="122">
        <v>46136</v>
      </c>
      <c r="D255" s="123" t="s">
        <v>665</v>
      </c>
      <c r="E255" s="122">
        <v>46136</v>
      </c>
      <c r="F255" s="123" t="s">
        <v>666</v>
      </c>
      <c r="G255" s="123" t="s">
        <v>537</v>
      </c>
      <c r="H255" s="124">
        <v>13960</v>
      </c>
      <c r="I255" s="124">
        <v>33660</v>
      </c>
      <c r="J255" s="124">
        <v>19700</v>
      </c>
    </row>
    <row r="256" spans="1:10" x14ac:dyDescent="0.3">
      <c r="A256" s="115">
        <v>252</v>
      </c>
      <c r="B256" s="121">
        <v>253</v>
      </c>
      <c r="C256" s="122">
        <v>46136</v>
      </c>
      <c r="D256" s="123" t="s">
        <v>667</v>
      </c>
      <c r="E256" s="122">
        <v>46136</v>
      </c>
      <c r="F256" s="123" t="s">
        <v>668</v>
      </c>
      <c r="G256" s="123" t="s">
        <v>71</v>
      </c>
      <c r="H256" s="124">
        <v>14000</v>
      </c>
      <c r="I256" s="124">
        <v>33680</v>
      </c>
      <c r="J256" s="124">
        <v>19680</v>
      </c>
    </row>
    <row r="257" spans="1:10" x14ac:dyDescent="0.3">
      <c r="A257" s="115">
        <v>253</v>
      </c>
      <c r="B257" s="121">
        <v>251</v>
      </c>
      <c r="C257" s="122">
        <v>46136</v>
      </c>
      <c r="D257" s="123" t="s">
        <v>669</v>
      </c>
      <c r="E257" s="122">
        <v>46136</v>
      </c>
      <c r="F257" s="123" t="s">
        <v>670</v>
      </c>
      <c r="G257" s="123" t="s">
        <v>143</v>
      </c>
      <c r="H257" s="124">
        <v>13860</v>
      </c>
      <c r="I257" s="124">
        <v>33030</v>
      </c>
      <c r="J257" s="124">
        <v>19170</v>
      </c>
    </row>
    <row r="258" spans="1:10" x14ac:dyDescent="0.3">
      <c r="A258" s="115">
        <v>254</v>
      </c>
      <c r="B258" s="121">
        <v>245</v>
      </c>
      <c r="C258" s="122">
        <v>46136</v>
      </c>
      <c r="D258" s="123" t="s">
        <v>578</v>
      </c>
      <c r="E258" s="122">
        <v>46136</v>
      </c>
      <c r="F258" s="123" t="s">
        <v>671</v>
      </c>
      <c r="G258" s="123" t="s">
        <v>537</v>
      </c>
      <c r="H258" s="124">
        <v>14040</v>
      </c>
      <c r="I258" s="124">
        <v>33520</v>
      </c>
      <c r="J258" s="124">
        <v>19480</v>
      </c>
    </row>
    <row r="259" spans="1:10" x14ac:dyDescent="0.3">
      <c r="A259" s="115">
        <v>255</v>
      </c>
      <c r="B259" s="121">
        <v>100</v>
      </c>
      <c r="C259" s="122">
        <v>46134</v>
      </c>
      <c r="D259" s="123">
        <v>0.56269675925925922</v>
      </c>
      <c r="E259" s="122">
        <v>46134</v>
      </c>
      <c r="F259" s="123">
        <v>0.56656249999999997</v>
      </c>
      <c r="G259" s="123" t="s">
        <v>71</v>
      </c>
      <c r="H259" s="124">
        <v>14040</v>
      </c>
      <c r="I259" s="124">
        <v>33540</v>
      </c>
      <c r="J259" s="124">
        <v>19500</v>
      </c>
    </row>
    <row r="260" spans="1:10" x14ac:dyDescent="0.3">
      <c r="A260" s="115">
        <v>256</v>
      </c>
      <c r="B260" s="121">
        <v>243</v>
      </c>
      <c r="C260" s="122">
        <v>46136</v>
      </c>
      <c r="D260" s="123" t="s">
        <v>672</v>
      </c>
      <c r="E260" s="122">
        <v>46136</v>
      </c>
      <c r="F260" s="123" t="s">
        <v>673</v>
      </c>
      <c r="G260" s="123" t="s">
        <v>71</v>
      </c>
      <c r="H260" s="124">
        <v>14010</v>
      </c>
      <c r="I260" s="124">
        <v>34680</v>
      </c>
      <c r="J260" s="124">
        <v>20670</v>
      </c>
    </row>
    <row r="261" spans="1:10" x14ac:dyDescent="0.3">
      <c r="A261" s="115">
        <v>257</v>
      </c>
      <c r="B261" s="121">
        <v>240</v>
      </c>
      <c r="C261" s="122">
        <v>46136</v>
      </c>
      <c r="D261" s="123" t="s">
        <v>674</v>
      </c>
      <c r="E261" s="122">
        <v>46136</v>
      </c>
      <c r="F261" s="123" t="s">
        <v>675</v>
      </c>
      <c r="G261" s="123" t="s">
        <v>143</v>
      </c>
      <c r="H261" s="124">
        <v>13870</v>
      </c>
      <c r="I261" s="124">
        <v>34400</v>
      </c>
      <c r="J261" s="124">
        <v>20530</v>
      </c>
    </row>
    <row r="262" spans="1:10" x14ac:dyDescent="0.3">
      <c r="A262" s="115">
        <v>258</v>
      </c>
      <c r="B262" s="121">
        <v>103</v>
      </c>
      <c r="C262" s="122">
        <v>46134</v>
      </c>
      <c r="D262" s="123">
        <v>0.59090277777777778</v>
      </c>
      <c r="E262" s="122">
        <v>46134</v>
      </c>
      <c r="F262" s="123">
        <v>0.59506944444444443</v>
      </c>
      <c r="G262" s="123" t="s">
        <v>537</v>
      </c>
      <c r="H262" s="124">
        <v>14040</v>
      </c>
      <c r="I262" s="124">
        <v>33350</v>
      </c>
      <c r="J262" s="124">
        <v>19310</v>
      </c>
    </row>
    <row r="263" spans="1:10" x14ac:dyDescent="0.3">
      <c r="A263" s="115">
        <v>259</v>
      </c>
      <c r="B263" s="121">
        <v>236</v>
      </c>
      <c r="C263" s="122">
        <v>46136</v>
      </c>
      <c r="D263" s="123" t="s">
        <v>676</v>
      </c>
      <c r="E263" s="122">
        <v>46136</v>
      </c>
      <c r="F263" s="123" t="s">
        <v>677</v>
      </c>
      <c r="G263" s="123" t="s">
        <v>537</v>
      </c>
      <c r="H263" s="124">
        <v>14020</v>
      </c>
      <c r="I263" s="124">
        <v>33380</v>
      </c>
      <c r="J263" s="124">
        <v>19360</v>
      </c>
    </row>
    <row r="264" spans="1:10" x14ac:dyDescent="0.3">
      <c r="A264" s="115">
        <v>260</v>
      </c>
      <c r="B264" s="121">
        <v>105</v>
      </c>
      <c r="C264" s="122">
        <v>46134</v>
      </c>
      <c r="D264" s="123">
        <v>0.61412037037037037</v>
      </c>
      <c r="E264" s="122">
        <v>46134</v>
      </c>
      <c r="F264" s="123">
        <v>0.61818287037037034</v>
      </c>
      <c r="G264" s="123" t="s">
        <v>143</v>
      </c>
      <c r="H264" s="124">
        <v>14090</v>
      </c>
      <c r="I264" s="124">
        <v>32890</v>
      </c>
      <c r="J264" s="124">
        <v>18800</v>
      </c>
    </row>
    <row r="265" spans="1:10" x14ac:dyDescent="0.3">
      <c r="A265" s="115">
        <v>261</v>
      </c>
      <c r="B265" s="121">
        <v>231</v>
      </c>
      <c r="C265" s="122">
        <v>46135</v>
      </c>
      <c r="D265" s="123" t="s">
        <v>678</v>
      </c>
      <c r="E265" s="122">
        <v>46135</v>
      </c>
      <c r="F265" s="123" t="s">
        <v>679</v>
      </c>
      <c r="G265" s="123" t="s">
        <v>143</v>
      </c>
      <c r="H265" s="124">
        <v>13840</v>
      </c>
      <c r="I265" s="124">
        <v>33310</v>
      </c>
      <c r="J265" s="124">
        <v>19470</v>
      </c>
    </row>
    <row r="266" spans="1:10" x14ac:dyDescent="0.3">
      <c r="A266" s="115">
        <v>262</v>
      </c>
      <c r="B266" s="121">
        <v>228</v>
      </c>
      <c r="C266" s="122">
        <v>46135</v>
      </c>
      <c r="D266" s="123">
        <v>0.67268518518518516</v>
      </c>
      <c r="E266" s="122">
        <v>46135</v>
      </c>
      <c r="F266" s="123">
        <v>0.68101851851851847</v>
      </c>
      <c r="G266" s="123" t="s">
        <v>71</v>
      </c>
      <c r="H266" s="124">
        <v>14020</v>
      </c>
      <c r="I266" s="124">
        <v>35160</v>
      </c>
      <c r="J266" s="124">
        <v>21140</v>
      </c>
    </row>
    <row r="267" spans="1:10" x14ac:dyDescent="0.3">
      <c r="A267" s="115">
        <v>263</v>
      </c>
      <c r="B267" s="121">
        <v>226</v>
      </c>
      <c r="C267" s="122">
        <v>46135</v>
      </c>
      <c r="D267" s="123">
        <v>0.66699074074074072</v>
      </c>
      <c r="E267" s="122">
        <v>46135</v>
      </c>
      <c r="F267" s="123">
        <v>0.67164351851851856</v>
      </c>
      <c r="G267" s="123" t="s">
        <v>537</v>
      </c>
      <c r="H267" s="124">
        <v>14040</v>
      </c>
      <c r="I267" s="124">
        <v>33480</v>
      </c>
      <c r="J267" s="124">
        <v>19440</v>
      </c>
    </row>
    <row r="268" spans="1:10" x14ac:dyDescent="0.3">
      <c r="A268" s="115">
        <v>264</v>
      </c>
      <c r="B268" s="121">
        <v>222</v>
      </c>
      <c r="C268" s="122">
        <v>46135</v>
      </c>
      <c r="D268" s="123">
        <v>0.58750000000000002</v>
      </c>
      <c r="E268" s="122">
        <v>46135</v>
      </c>
      <c r="F268" s="123">
        <v>0.59267361111111116</v>
      </c>
      <c r="G268" s="123" t="s">
        <v>143</v>
      </c>
      <c r="H268" s="124">
        <v>13870</v>
      </c>
      <c r="I268" s="124">
        <v>33730</v>
      </c>
      <c r="J268" s="124">
        <v>19860</v>
      </c>
    </row>
    <row r="269" spans="1:10" x14ac:dyDescent="0.3">
      <c r="A269" s="115">
        <v>265</v>
      </c>
      <c r="B269" s="121">
        <v>110</v>
      </c>
      <c r="C269" s="122">
        <v>46134</v>
      </c>
      <c r="D269" s="123" t="s">
        <v>680</v>
      </c>
      <c r="E269" s="122">
        <v>46134</v>
      </c>
      <c r="F269" s="123" t="s">
        <v>681</v>
      </c>
      <c r="G269" s="123" t="s">
        <v>71</v>
      </c>
      <c r="H269" s="124">
        <v>14020</v>
      </c>
      <c r="I269" s="124">
        <v>33870</v>
      </c>
      <c r="J269" s="124">
        <v>19850</v>
      </c>
    </row>
    <row r="270" spans="1:10" x14ac:dyDescent="0.3">
      <c r="A270" s="115">
        <v>266</v>
      </c>
      <c r="B270" s="121">
        <v>218</v>
      </c>
      <c r="C270" s="122">
        <v>46135</v>
      </c>
      <c r="D270" s="123">
        <v>0.54618055555555556</v>
      </c>
      <c r="E270" s="122">
        <v>46135</v>
      </c>
      <c r="F270" s="123">
        <v>0.55068287037037034</v>
      </c>
      <c r="G270" s="123" t="s">
        <v>71</v>
      </c>
      <c r="H270" s="124">
        <v>13690</v>
      </c>
      <c r="I270" s="124">
        <v>33660</v>
      </c>
      <c r="J270" s="124">
        <v>19970</v>
      </c>
    </row>
    <row r="271" spans="1:10" x14ac:dyDescent="0.3">
      <c r="A271" s="115">
        <v>267</v>
      </c>
      <c r="B271" s="121">
        <v>216</v>
      </c>
      <c r="C271" s="122">
        <v>46135</v>
      </c>
      <c r="D271" s="123">
        <v>0.53899305555555554</v>
      </c>
      <c r="E271" s="122">
        <v>46135</v>
      </c>
      <c r="F271" s="123">
        <v>0.54358796296296297</v>
      </c>
      <c r="G271" s="123" t="s">
        <v>537</v>
      </c>
      <c r="H271" s="124">
        <v>13760</v>
      </c>
      <c r="I271" s="124">
        <v>33090</v>
      </c>
      <c r="J271" s="124">
        <v>19330</v>
      </c>
    </row>
    <row r="272" spans="1:10" x14ac:dyDescent="0.3">
      <c r="A272" s="115">
        <v>268</v>
      </c>
      <c r="B272" s="121">
        <v>113</v>
      </c>
      <c r="C272" s="122">
        <v>46134</v>
      </c>
      <c r="D272" s="123" t="s">
        <v>682</v>
      </c>
      <c r="E272" s="122">
        <v>46134</v>
      </c>
      <c r="F272" s="123" t="s">
        <v>683</v>
      </c>
      <c r="G272" s="123" t="s">
        <v>537</v>
      </c>
      <c r="H272" s="124">
        <v>13980</v>
      </c>
      <c r="I272" s="124">
        <v>33260</v>
      </c>
      <c r="J272" s="124">
        <v>19280</v>
      </c>
    </row>
    <row r="273" spans="1:10" x14ac:dyDescent="0.3">
      <c r="A273" s="115">
        <v>269</v>
      </c>
      <c r="B273" s="121">
        <v>212</v>
      </c>
      <c r="C273" s="122">
        <v>46135</v>
      </c>
      <c r="D273" s="123">
        <v>0.45541666666666669</v>
      </c>
      <c r="E273" s="122">
        <v>46135</v>
      </c>
      <c r="F273" s="123">
        <v>0.46913194444444445</v>
      </c>
      <c r="G273" s="123" t="s">
        <v>143</v>
      </c>
      <c r="H273" s="124">
        <v>13860</v>
      </c>
      <c r="I273" s="124">
        <v>32750</v>
      </c>
      <c r="J273" s="124">
        <v>18890</v>
      </c>
    </row>
    <row r="274" spans="1:10" x14ac:dyDescent="0.3">
      <c r="A274" s="115">
        <v>270</v>
      </c>
      <c r="B274" s="121">
        <v>115</v>
      </c>
      <c r="C274" s="122">
        <v>46134</v>
      </c>
      <c r="D274" s="123" t="s">
        <v>684</v>
      </c>
      <c r="E274" s="122">
        <v>46134</v>
      </c>
      <c r="F274" s="123" t="s">
        <v>685</v>
      </c>
      <c r="G274" s="123" t="s">
        <v>143</v>
      </c>
      <c r="H274" s="124">
        <v>13990</v>
      </c>
      <c r="I274" s="124">
        <v>33430</v>
      </c>
      <c r="J274" s="124">
        <v>19440</v>
      </c>
    </row>
    <row r="275" spans="1:10" x14ac:dyDescent="0.3">
      <c r="A275" s="115">
        <v>271</v>
      </c>
      <c r="B275" s="121">
        <v>208</v>
      </c>
      <c r="C275" s="122">
        <v>46135</v>
      </c>
      <c r="D275" s="123">
        <v>0.42778935185185185</v>
      </c>
      <c r="E275" s="122">
        <v>46135</v>
      </c>
      <c r="F275" s="123">
        <v>0.43239583333333331</v>
      </c>
      <c r="G275" s="123" t="s">
        <v>71</v>
      </c>
      <c r="H275" s="124">
        <v>13850</v>
      </c>
      <c r="I275" s="124">
        <v>33160</v>
      </c>
      <c r="J275" s="124">
        <v>19310</v>
      </c>
    </row>
    <row r="276" spans="1:10" x14ac:dyDescent="0.3">
      <c r="A276" s="115">
        <v>272</v>
      </c>
      <c r="B276" s="121">
        <v>206</v>
      </c>
      <c r="C276" s="122">
        <v>46135</v>
      </c>
      <c r="D276" s="123">
        <v>0.41168981481481481</v>
      </c>
      <c r="E276" s="122">
        <v>46135</v>
      </c>
      <c r="F276" s="123">
        <v>0.41643518518518519</v>
      </c>
      <c r="G276" s="123" t="s">
        <v>537</v>
      </c>
      <c r="H276" s="124">
        <v>13820</v>
      </c>
      <c r="I276" s="124">
        <v>32560</v>
      </c>
      <c r="J276" s="124">
        <v>18740</v>
      </c>
    </row>
    <row r="277" spans="1:10" x14ac:dyDescent="0.3">
      <c r="A277" s="115">
        <v>273</v>
      </c>
      <c r="B277" s="121">
        <v>118</v>
      </c>
      <c r="C277" s="122">
        <v>46134</v>
      </c>
      <c r="D277" s="123" t="s">
        <v>686</v>
      </c>
      <c r="E277" s="122">
        <v>46134</v>
      </c>
      <c r="F277" s="123" t="s">
        <v>687</v>
      </c>
      <c r="G277" s="123" t="s">
        <v>71</v>
      </c>
      <c r="H277" s="124">
        <v>14010</v>
      </c>
      <c r="I277" s="124">
        <v>33490</v>
      </c>
      <c r="J277" s="124">
        <v>19480</v>
      </c>
    </row>
    <row r="278" spans="1:10" x14ac:dyDescent="0.3">
      <c r="A278" s="115">
        <v>274</v>
      </c>
      <c r="B278" s="121">
        <v>202</v>
      </c>
      <c r="C278" s="122">
        <v>46135</v>
      </c>
      <c r="D278" s="123">
        <v>0.32881944444444444</v>
      </c>
      <c r="E278" s="122">
        <v>46135</v>
      </c>
      <c r="F278" s="123">
        <v>0.33437499999999998</v>
      </c>
      <c r="G278" s="123" t="s">
        <v>143</v>
      </c>
      <c r="H278" s="124">
        <v>13950</v>
      </c>
      <c r="I278" s="124">
        <v>33100</v>
      </c>
      <c r="J278" s="124">
        <v>19150</v>
      </c>
    </row>
    <row r="279" spans="1:10" x14ac:dyDescent="0.3">
      <c r="A279" s="115">
        <v>275</v>
      </c>
      <c r="B279" s="121">
        <v>198</v>
      </c>
      <c r="C279" s="122">
        <v>46135</v>
      </c>
      <c r="D279" s="123">
        <v>0.29996527777777776</v>
      </c>
      <c r="E279" s="122">
        <v>46135</v>
      </c>
      <c r="F279" s="123">
        <v>0.30563657407407407</v>
      </c>
      <c r="G279" s="123" t="s">
        <v>71</v>
      </c>
      <c r="H279" s="124">
        <v>13910</v>
      </c>
      <c r="I279" s="124">
        <v>31820</v>
      </c>
      <c r="J279" s="124">
        <v>17910</v>
      </c>
    </row>
    <row r="280" spans="1:10" x14ac:dyDescent="0.3">
      <c r="A280" s="115">
        <v>276</v>
      </c>
      <c r="B280" s="121">
        <v>196</v>
      </c>
      <c r="C280" s="122">
        <v>46135</v>
      </c>
      <c r="D280" s="123">
        <v>0.2759375</v>
      </c>
      <c r="E280" s="122">
        <v>46135</v>
      </c>
      <c r="F280" s="123">
        <v>0.28747685185185184</v>
      </c>
      <c r="G280" s="123" t="s">
        <v>537</v>
      </c>
      <c r="H280" s="124">
        <v>13880</v>
      </c>
      <c r="I280" s="124">
        <v>31870</v>
      </c>
      <c r="J280" s="124">
        <v>17990</v>
      </c>
    </row>
    <row r="281" spans="1:10" x14ac:dyDescent="0.3">
      <c r="A281" s="115">
        <v>277</v>
      </c>
      <c r="B281" s="121">
        <v>176</v>
      </c>
      <c r="C281" s="122">
        <v>46135</v>
      </c>
      <c r="D281" s="123">
        <v>4.2465277777777775E-2</v>
      </c>
      <c r="E281" s="122">
        <v>46135</v>
      </c>
      <c r="F281" s="123">
        <v>5.2835648148148145E-2</v>
      </c>
      <c r="G281" s="123" t="s">
        <v>537</v>
      </c>
      <c r="H281" s="124">
        <v>13970</v>
      </c>
      <c r="I281" s="124">
        <v>33170</v>
      </c>
      <c r="J281" s="124">
        <v>19200</v>
      </c>
    </row>
    <row r="282" spans="1:10" x14ac:dyDescent="0.3">
      <c r="A282" s="115">
        <v>278</v>
      </c>
      <c r="B282" s="121">
        <v>192</v>
      </c>
      <c r="C282" s="122">
        <v>46135</v>
      </c>
      <c r="D282" s="123">
        <v>0.20369212962962963</v>
      </c>
      <c r="E282" s="122">
        <v>46135</v>
      </c>
      <c r="F282" s="123">
        <v>0.21042824074074074</v>
      </c>
      <c r="G282" s="123" t="s">
        <v>143</v>
      </c>
      <c r="H282" s="124">
        <v>13970</v>
      </c>
      <c r="I282" s="124">
        <v>32080</v>
      </c>
      <c r="J282" s="124">
        <v>18110</v>
      </c>
    </row>
    <row r="283" spans="1:10" x14ac:dyDescent="0.3">
      <c r="A283" s="115">
        <v>279</v>
      </c>
      <c r="B283" s="121">
        <v>189</v>
      </c>
      <c r="C283" s="122">
        <v>46135</v>
      </c>
      <c r="D283" s="123">
        <v>0.17791666666666667</v>
      </c>
      <c r="E283" s="122">
        <v>46135</v>
      </c>
      <c r="F283" s="123">
        <v>0.18391203703703704</v>
      </c>
      <c r="G283" s="123" t="s">
        <v>71</v>
      </c>
      <c r="H283" s="124">
        <v>13930</v>
      </c>
      <c r="I283" s="124">
        <v>33870</v>
      </c>
      <c r="J283" s="124">
        <v>19940</v>
      </c>
    </row>
    <row r="284" spans="1:10" x14ac:dyDescent="0.3">
      <c r="A284" s="115">
        <v>280</v>
      </c>
      <c r="B284" s="121">
        <v>186</v>
      </c>
      <c r="C284" s="122">
        <v>46135</v>
      </c>
      <c r="D284" s="123">
        <v>0.15680555555555556</v>
      </c>
      <c r="E284" s="122">
        <v>46135</v>
      </c>
      <c r="F284" s="123">
        <v>0.16361111111111112</v>
      </c>
      <c r="G284" s="123" t="s">
        <v>537</v>
      </c>
      <c r="H284" s="124">
        <v>13900</v>
      </c>
      <c r="I284" s="124">
        <v>33840</v>
      </c>
      <c r="J284" s="124">
        <v>19940</v>
      </c>
    </row>
    <row r="285" spans="1:10" x14ac:dyDescent="0.3">
      <c r="A285" s="115">
        <v>281</v>
      </c>
      <c r="B285" s="121">
        <v>180</v>
      </c>
      <c r="C285" s="122">
        <v>46135</v>
      </c>
      <c r="D285" s="123">
        <v>4.4363425925925924E-2</v>
      </c>
      <c r="E285" s="122">
        <v>46135</v>
      </c>
      <c r="F285" s="123">
        <v>7.0046296296296301E-2</v>
      </c>
      <c r="G285" s="123" t="s">
        <v>71</v>
      </c>
      <c r="H285" s="124">
        <v>13960</v>
      </c>
      <c r="I285" s="124">
        <v>33490</v>
      </c>
      <c r="J285" s="124">
        <v>19530</v>
      </c>
    </row>
    <row r="286" spans="1:10" x14ac:dyDescent="0.3">
      <c r="A286" s="115">
        <v>282</v>
      </c>
      <c r="B286" s="121">
        <v>182</v>
      </c>
      <c r="C286" s="122">
        <v>46135</v>
      </c>
      <c r="D286" s="123">
        <v>4.7708333333333332E-2</v>
      </c>
      <c r="E286" s="122">
        <v>46135</v>
      </c>
      <c r="F286" s="123">
        <v>7.8935185185185192E-2</v>
      </c>
      <c r="G286" s="123" t="s">
        <v>143</v>
      </c>
      <c r="H286" s="124">
        <v>13990</v>
      </c>
      <c r="I286" s="124">
        <v>33330</v>
      </c>
      <c r="J286" s="124">
        <v>19340</v>
      </c>
    </row>
    <row r="287" spans="1:10" x14ac:dyDescent="0.3">
      <c r="A287" s="115">
        <v>283</v>
      </c>
      <c r="B287" s="121">
        <v>2</v>
      </c>
      <c r="C287" s="125">
        <v>46132</v>
      </c>
      <c r="D287" s="121" t="s">
        <v>688</v>
      </c>
      <c r="E287" s="125">
        <v>46132</v>
      </c>
      <c r="F287" s="121" t="s">
        <v>689</v>
      </c>
      <c r="G287" s="121" t="s">
        <v>85</v>
      </c>
      <c r="H287" s="126">
        <v>14020</v>
      </c>
      <c r="I287" s="126">
        <v>30870</v>
      </c>
      <c r="J287" s="126">
        <v>16850</v>
      </c>
    </row>
    <row r="288" spans="1:10" x14ac:dyDescent="0.3">
      <c r="A288" s="115">
        <v>284</v>
      </c>
      <c r="B288" s="121">
        <v>4</v>
      </c>
      <c r="C288" s="125">
        <v>46133</v>
      </c>
      <c r="D288" s="121">
        <v>4.2650462962962966E-2</v>
      </c>
      <c r="E288" s="125">
        <v>46133</v>
      </c>
      <c r="F288" s="121">
        <v>5.8159722222222224E-2</v>
      </c>
      <c r="G288" s="121" t="s">
        <v>80</v>
      </c>
      <c r="H288" s="126">
        <v>14180</v>
      </c>
      <c r="I288" s="126">
        <v>31990</v>
      </c>
      <c r="J288" s="126">
        <v>17810</v>
      </c>
    </row>
    <row r="289" spans="1:10" x14ac:dyDescent="0.3">
      <c r="A289" s="115">
        <v>285</v>
      </c>
      <c r="B289" s="121">
        <v>8</v>
      </c>
      <c r="C289" s="125">
        <v>46133</v>
      </c>
      <c r="D289" s="121">
        <v>6.0937499999999999E-2</v>
      </c>
      <c r="E289" s="125">
        <v>46133</v>
      </c>
      <c r="F289" s="121">
        <v>7.8483796296296301E-2</v>
      </c>
      <c r="G289" s="121" t="s">
        <v>64</v>
      </c>
      <c r="H289" s="126">
        <v>14070</v>
      </c>
      <c r="I289" s="126">
        <v>32310</v>
      </c>
      <c r="J289" s="126">
        <v>18240</v>
      </c>
    </row>
    <row r="290" spans="1:10" x14ac:dyDescent="0.3">
      <c r="A290" s="115">
        <v>286</v>
      </c>
      <c r="B290" s="121">
        <v>13</v>
      </c>
      <c r="C290" s="125">
        <v>46133</v>
      </c>
      <c r="D290" s="121">
        <v>0.16473379629629631</v>
      </c>
      <c r="E290" s="125">
        <v>46133</v>
      </c>
      <c r="F290" s="121">
        <v>0.17472222222222222</v>
      </c>
      <c r="G290" s="121" t="s">
        <v>80</v>
      </c>
      <c r="H290" s="126">
        <v>14150</v>
      </c>
      <c r="I290" s="126">
        <v>33090</v>
      </c>
      <c r="J290" s="126">
        <v>18940</v>
      </c>
    </row>
    <row r="291" spans="1:10" x14ac:dyDescent="0.3">
      <c r="A291" s="115">
        <v>287</v>
      </c>
      <c r="B291" s="121">
        <v>14</v>
      </c>
      <c r="C291" s="125">
        <v>46133</v>
      </c>
      <c r="D291" s="121">
        <v>0.17590277777777777</v>
      </c>
      <c r="E291" s="125">
        <v>46133</v>
      </c>
      <c r="F291" s="121">
        <v>0.18155092592592592</v>
      </c>
      <c r="G291" s="121" t="s">
        <v>85</v>
      </c>
      <c r="H291" s="126">
        <v>14010</v>
      </c>
      <c r="I291" s="126">
        <v>32070</v>
      </c>
      <c r="J291" s="126">
        <v>18060</v>
      </c>
    </row>
    <row r="292" spans="1:10" x14ac:dyDescent="0.3">
      <c r="A292" s="115">
        <v>288</v>
      </c>
      <c r="B292" s="121">
        <v>18</v>
      </c>
      <c r="C292" s="125">
        <v>46133</v>
      </c>
      <c r="D292" s="121">
        <v>0.20590277777777777</v>
      </c>
      <c r="E292" s="125">
        <v>46133</v>
      </c>
      <c r="F292" s="121">
        <v>0.21444444444444444</v>
      </c>
      <c r="G292" s="121" t="s">
        <v>64</v>
      </c>
      <c r="H292" s="126">
        <v>14080</v>
      </c>
      <c r="I292" s="126">
        <v>33300</v>
      </c>
      <c r="J292" s="126">
        <v>19220</v>
      </c>
    </row>
    <row r="293" spans="1:10" x14ac:dyDescent="0.3">
      <c r="A293" s="115">
        <v>289</v>
      </c>
      <c r="B293" s="121">
        <v>23</v>
      </c>
      <c r="C293" s="125">
        <v>46133</v>
      </c>
      <c r="D293" s="121">
        <v>0.29151620370370368</v>
      </c>
      <c r="E293" s="125">
        <v>46133</v>
      </c>
      <c r="F293" s="121">
        <v>0.2983912037037037</v>
      </c>
      <c r="G293" s="121" t="s">
        <v>80</v>
      </c>
      <c r="H293" s="126">
        <v>14120</v>
      </c>
      <c r="I293" s="126">
        <v>31400</v>
      </c>
      <c r="J293" s="126">
        <v>17280</v>
      </c>
    </row>
    <row r="294" spans="1:10" x14ac:dyDescent="0.3">
      <c r="A294" s="115">
        <v>290</v>
      </c>
      <c r="B294" s="121">
        <v>25</v>
      </c>
      <c r="C294" s="125">
        <v>46133</v>
      </c>
      <c r="D294" s="121">
        <v>0.31344907407407407</v>
      </c>
      <c r="E294" s="125">
        <v>46133</v>
      </c>
      <c r="F294" s="121">
        <v>0.32167824074074075</v>
      </c>
      <c r="G294" s="121" t="s">
        <v>85</v>
      </c>
      <c r="H294" s="126">
        <v>14030</v>
      </c>
      <c r="I294" s="126">
        <v>32030</v>
      </c>
      <c r="J294" s="126">
        <v>18000</v>
      </c>
    </row>
    <row r="295" spans="1:10" x14ac:dyDescent="0.3">
      <c r="A295" s="115">
        <v>291</v>
      </c>
      <c r="B295" s="121">
        <v>28</v>
      </c>
      <c r="C295" s="125">
        <v>46133</v>
      </c>
      <c r="D295" s="121">
        <v>0.34006944444444442</v>
      </c>
      <c r="E295" s="125">
        <v>46133</v>
      </c>
      <c r="F295" s="121">
        <v>0.34562500000000002</v>
      </c>
      <c r="G295" s="121" t="s">
        <v>64</v>
      </c>
      <c r="H295" s="126">
        <v>14020</v>
      </c>
      <c r="I295" s="126">
        <v>32950</v>
      </c>
      <c r="J295" s="126">
        <v>18930</v>
      </c>
    </row>
    <row r="296" spans="1:10" x14ac:dyDescent="0.3">
      <c r="A296" s="115">
        <v>292</v>
      </c>
      <c r="B296" s="121">
        <v>33</v>
      </c>
      <c r="C296" s="125">
        <v>46133</v>
      </c>
      <c r="D296" s="121">
        <v>0.41540509259259262</v>
      </c>
      <c r="E296" s="125">
        <v>46133</v>
      </c>
      <c r="F296" s="121">
        <v>0.42023148148148148</v>
      </c>
      <c r="G296" s="121" t="s">
        <v>80</v>
      </c>
      <c r="H296" s="126">
        <v>14100</v>
      </c>
      <c r="I296" s="126">
        <v>32690</v>
      </c>
      <c r="J296" s="126">
        <v>18590</v>
      </c>
    </row>
    <row r="297" spans="1:10" x14ac:dyDescent="0.3">
      <c r="A297" s="115">
        <v>293</v>
      </c>
      <c r="B297" s="121">
        <v>35</v>
      </c>
      <c r="C297" s="125">
        <v>46133</v>
      </c>
      <c r="D297" s="121">
        <v>0.4458449074074074</v>
      </c>
      <c r="E297" s="125">
        <v>46133</v>
      </c>
      <c r="F297" s="121">
        <v>0.45635416666666667</v>
      </c>
      <c r="G297" s="121" t="s">
        <v>85</v>
      </c>
      <c r="H297" s="126">
        <v>13960</v>
      </c>
      <c r="I297" s="126">
        <v>32370</v>
      </c>
      <c r="J297" s="126">
        <v>18410</v>
      </c>
    </row>
    <row r="298" spans="1:10" x14ac:dyDescent="0.3">
      <c r="A298" s="115">
        <v>294</v>
      </c>
      <c r="B298" s="121">
        <v>38</v>
      </c>
      <c r="C298" s="125">
        <v>46133</v>
      </c>
      <c r="D298" s="121">
        <v>0.46763888888888888</v>
      </c>
      <c r="E298" s="125">
        <v>46133</v>
      </c>
      <c r="F298" s="121">
        <v>0.48174768518518518</v>
      </c>
      <c r="G298" s="121" t="s">
        <v>64</v>
      </c>
      <c r="H298" s="126">
        <v>13970</v>
      </c>
      <c r="I298" s="126">
        <v>32720</v>
      </c>
      <c r="J298" s="126">
        <v>18750</v>
      </c>
    </row>
    <row r="299" spans="1:10" x14ac:dyDescent="0.3">
      <c r="A299" s="115">
        <v>295</v>
      </c>
      <c r="B299" s="121">
        <v>43</v>
      </c>
      <c r="C299" s="125">
        <v>46133</v>
      </c>
      <c r="D299" s="121">
        <v>0.55170138888888887</v>
      </c>
      <c r="E299" s="125">
        <v>46133</v>
      </c>
      <c r="F299" s="121">
        <v>0.55630787037037033</v>
      </c>
      <c r="G299" s="121" t="s">
        <v>80</v>
      </c>
      <c r="H299" s="126">
        <v>14070</v>
      </c>
      <c r="I299" s="126">
        <v>31540</v>
      </c>
      <c r="J299" s="126">
        <v>17470</v>
      </c>
    </row>
    <row r="300" spans="1:10" x14ac:dyDescent="0.3">
      <c r="A300" s="115">
        <v>296</v>
      </c>
      <c r="B300" s="121">
        <v>46</v>
      </c>
      <c r="C300" s="125">
        <v>46133</v>
      </c>
      <c r="D300" s="121">
        <v>0.58217592592592593</v>
      </c>
      <c r="E300" s="125">
        <v>46133</v>
      </c>
      <c r="F300" s="121">
        <v>0.58765046296296297</v>
      </c>
      <c r="G300" s="121" t="s">
        <v>85</v>
      </c>
      <c r="H300" s="126">
        <v>13930</v>
      </c>
      <c r="I300" s="126">
        <v>30990</v>
      </c>
      <c r="J300" s="126">
        <v>17060</v>
      </c>
    </row>
    <row r="301" spans="1:10" x14ac:dyDescent="0.3">
      <c r="A301" s="115">
        <v>297</v>
      </c>
      <c r="B301" s="121">
        <v>48</v>
      </c>
      <c r="C301" s="125">
        <v>46133</v>
      </c>
      <c r="D301" s="121">
        <v>0.59766203703703702</v>
      </c>
      <c r="E301" s="125">
        <v>46133</v>
      </c>
      <c r="F301" s="121">
        <v>0.60222222222222221</v>
      </c>
      <c r="G301" s="121" t="s">
        <v>64</v>
      </c>
      <c r="H301" s="126">
        <v>13950</v>
      </c>
      <c r="I301" s="126">
        <v>32160</v>
      </c>
      <c r="J301" s="126">
        <v>18210</v>
      </c>
    </row>
    <row r="302" spans="1:10" x14ac:dyDescent="0.3">
      <c r="A302" s="115">
        <v>298</v>
      </c>
      <c r="B302" s="121">
        <v>56</v>
      </c>
      <c r="C302" s="125">
        <v>46133</v>
      </c>
      <c r="D302" s="121">
        <v>0.73146990740740736</v>
      </c>
      <c r="E302" s="125">
        <v>46133</v>
      </c>
      <c r="F302" s="121">
        <v>0.7369444444444444</v>
      </c>
      <c r="G302" s="121" t="s">
        <v>64</v>
      </c>
      <c r="H302" s="126">
        <v>13920</v>
      </c>
      <c r="I302" s="126">
        <v>32330</v>
      </c>
      <c r="J302" s="126">
        <v>18410</v>
      </c>
    </row>
    <row r="303" spans="1:10" x14ac:dyDescent="0.3">
      <c r="A303" s="115">
        <v>299</v>
      </c>
      <c r="B303" s="121">
        <v>59</v>
      </c>
      <c r="C303" s="125">
        <v>46133</v>
      </c>
      <c r="D303" s="121">
        <v>0.76579861111111114</v>
      </c>
      <c r="E303" s="125">
        <v>46133</v>
      </c>
      <c r="F303" s="121">
        <v>0.77532407407407411</v>
      </c>
      <c r="G303" s="121" t="s">
        <v>85</v>
      </c>
      <c r="H303" s="126">
        <v>13870</v>
      </c>
      <c r="I303" s="126">
        <v>31500</v>
      </c>
      <c r="J303" s="126">
        <v>17630</v>
      </c>
    </row>
    <row r="304" spans="1:10" x14ac:dyDescent="0.3">
      <c r="A304" s="115">
        <v>300</v>
      </c>
      <c r="B304" s="121">
        <v>60</v>
      </c>
      <c r="C304" s="125">
        <v>46133</v>
      </c>
      <c r="D304" s="121">
        <v>0.78726851851851853</v>
      </c>
      <c r="E304" s="125">
        <v>46133</v>
      </c>
      <c r="F304" s="121">
        <v>0.794525462962963</v>
      </c>
      <c r="G304" s="121" t="s">
        <v>80</v>
      </c>
      <c r="H304" s="126">
        <v>14040</v>
      </c>
      <c r="I304" s="126">
        <v>31650</v>
      </c>
      <c r="J304" s="126">
        <v>17610</v>
      </c>
    </row>
    <row r="305" spans="1:10" x14ac:dyDescent="0.3">
      <c r="A305" s="115">
        <v>301</v>
      </c>
      <c r="B305" s="121">
        <v>61</v>
      </c>
      <c r="C305" s="125">
        <v>46134</v>
      </c>
      <c r="D305" s="121">
        <v>4.1782407407407407E-2</v>
      </c>
      <c r="E305" s="125">
        <v>46134</v>
      </c>
      <c r="F305" s="121">
        <v>5.2743055555555557E-2</v>
      </c>
      <c r="G305" s="121" t="s">
        <v>80</v>
      </c>
      <c r="H305" s="126">
        <v>14000</v>
      </c>
      <c r="I305" s="126">
        <v>33020</v>
      </c>
      <c r="J305" s="126">
        <v>19020</v>
      </c>
    </row>
    <row r="306" spans="1:10" x14ac:dyDescent="0.3">
      <c r="A306" s="115">
        <v>302</v>
      </c>
      <c r="B306" s="121">
        <v>63</v>
      </c>
      <c r="C306" s="125">
        <v>46134</v>
      </c>
      <c r="D306" s="121">
        <v>4.2673611111111114E-2</v>
      </c>
      <c r="E306" s="125">
        <v>46134</v>
      </c>
      <c r="F306" s="121">
        <v>6.5868055555555555E-2</v>
      </c>
      <c r="G306" s="121" t="s">
        <v>64</v>
      </c>
      <c r="H306" s="126">
        <v>13890</v>
      </c>
      <c r="I306" s="126">
        <v>33660</v>
      </c>
      <c r="J306" s="126">
        <v>19770</v>
      </c>
    </row>
    <row r="307" spans="1:10" x14ac:dyDescent="0.3">
      <c r="A307" s="115">
        <v>303</v>
      </c>
      <c r="B307" s="121">
        <v>64</v>
      </c>
      <c r="C307" s="125">
        <v>46134</v>
      </c>
      <c r="D307" s="121">
        <v>4.3078703703703702E-2</v>
      </c>
      <c r="E307" s="125">
        <v>46134</v>
      </c>
      <c r="F307" s="121">
        <v>7.1701388888888884E-2</v>
      </c>
      <c r="G307" s="121" t="s">
        <v>85</v>
      </c>
      <c r="H307" s="126">
        <v>13860</v>
      </c>
      <c r="I307" s="126">
        <v>33400</v>
      </c>
      <c r="J307" s="126">
        <v>19540</v>
      </c>
    </row>
    <row r="308" spans="1:10" x14ac:dyDescent="0.3">
      <c r="A308" s="115">
        <v>304</v>
      </c>
      <c r="B308" s="121">
        <v>71</v>
      </c>
      <c r="C308" s="125">
        <v>46134</v>
      </c>
      <c r="D308" s="121">
        <v>0.15087962962962964</v>
      </c>
      <c r="E308" s="125">
        <v>46134</v>
      </c>
      <c r="F308" s="121">
        <v>0.15799768518518517</v>
      </c>
      <c r="G308" s="121" t="s">
        <v>80</v>
      </c>
      <c r="H308" s="126">
        <v>13980</v>
      </c>
      <c r="I308" s="126">
        <v>32000</v>
      </c>
      <c r="J308" s="126">
        <v>18020</v>
      </c>
    </row>
    <row r="309" spans="1:10" x14ac:dyDescent="0.3">
      <c r="A309" s="115">
        <v>305</v>
      </c>
      <c r="B309" s="121">
        <v>73</v>
      </c>
      <c r="C309" s="125">
        <v>46134</v>
      </c>
      <c r="D309" s="121">
        <v>0.17432870370370371</v>
      </c>
      <c r="E309" s="125">
        <v>46134</v>
      </c>
      <c r="F309" s="121">
        <v>0.18148148148148149</v>
      </c>
      <c r="G309" s="121" t="s">
        <v>64</v>
      </c>
      <c r="H309" s="126">
        <v>13860</v>
      </c>
      <c r="I309" s="126">
        <v>32620</v>
      </c>
      <c r="J309" s="126">
        <v>18760</v>
      </c>
    </row>
    <row r="310" spans="1:10" x14ac:dyDescent="0.3">
      <c r="A310" s="115">
        <v>306</v>
      </c>
      <c r="B310" s="121">
        <v>76</v>
      </c>
      <c r="C310" s="125">
        <v>46134</v>
      </c>
      <c r="D310" s="121">
        <v>0.20728009259259259</v>
      </c>
      <c r="E310" s="125">
        <v>46134</v>
      </c>
      <c r="F310" s="121">
        <v>0.21909722222222222</v>
      </c>
      <c r="G310" s="121" t="s">
        <v>85</v>
      </c>
      <c r="H310" s="126">
        <v>13840</v>
      </c>
      <c r="I310" s="126">
        <v>32770</v>
      </c>
      <c r="J310" s="126">
        <v>18930</v>
      </c>
    </row>
    <row r="311" spans="1:10" x14ac:dyDescent="0.3">
      <c r="A311" s="115">
        <v>307</v>
      </c>
      <c r="B311" s="121">
        <v>81</v>
      </c>
      <c r="C311" s="125">
        <v>46134</v>
      </c>
      <c r="D311" s="121">
        <v>0.27457175925925925</v>
      </c>
      <c r="E311" s="125">
        <v>46134</v>
      </c>
      <c r="F311" s="121">
        <v>0.28216435185185185</v>
      </c>
      <c r="G311" s="121" t="s">
        <v>80</v>
      </c>
      <c r="H311" s="126">
        <v>13960</v>
      </c>
      <c r="I311" s="126">
        <v>34030</v>
      </c>
      <c r="J311" s="126">
        <v>20070</v>
      </c>
    </row>
    <row r="312" spans="1:10" x14ac:dyDescent="0.3">
      <c r="A312" s="115">
        <v>308</v>
      </c>
      <c r="B312" s="121">
        <v>82</v>
      </c>
      <c r="C312" s="125">
        <v>46134</v>
      </c>
      <c r="D312" s="121">
        <v>0.30557870370370371</v>
      </c>
      <c r="E312" s="125">
        <v>46134</v>
      </c>
      <c r="F312" s="121">
        <v>0.31247685185185187</v>
      </c>
      <c r="G312" s="121" t="s">
        <v>64</v>
      </c>
      <c r="H312" s="126">
        <v>13860</v>
      </c>
      <c r="I312" s="126">
        <v>32480</v>
      </c>
      <c r="J312" s="126">
        <v>18620</v>
      </c>
    </row>
    <row r="313" spans="1:10" x14ac:dyDescent="0.3">
      <c r="A313" s="115">
        <v>309</v>
      </c>
      <c r="B313" s="121">
        <v>86</v>
      </c>
      <c r="C313" s="125">
        <v>46134</v>
      </c>
      <c r="D313" s="121">
        <v>0.35499999999999998</v>
      </c>
      <c r="E313" s="125">
        <v>46134</v>
      </c>
      <c r="F313" s="121">
        <v>0.35991898148148149</v>
      </c>
      <c r="G313" s="121" t="s">
        <v>85</v>
      </c>
      <c r="H313" s="126">
        <v>14100</v>
      </c>
      <c r="I313" s="126">
        <v>33550</v>
      </c>
      <c r="J313" s="126">
        <v>19450</v>
      </c>
    </row>
    <row r="314" spans="1:10" x14ac:dyDescent="0.3">
      <c r="A314" s="115">
        <v>310</v>
      </c>
      <c r="B314" s="121">
        <v>91</v>
      </c>
      <c r="C314" s="125">
        <v>46134</v>
      </c>
      <c r="D314" s="121">
        <v>0.41530092592592593</v>
      </c>
      <c r="E314" s="125">
        <v>46134</v>
      </c>
      <c r="F314" s="121">
        <v>0.41980324074074077</v>
      </c>
      <c r="G314" s="121" t="s">
        <v>80</v>
      </c>
      <c r="H314" s="126">
        <v>14240</v>
      </c>
      <c r="I314" s="126">
        <v>32850</v>
      </c>
      <c r="J314" s="126">
        <v>18610</v>
      </c>
    </row>
    <row r="315" spans="1:10" x14ac:dyDescent="0.3">
      <c r="A315" s="115">
        <v>311</v>
      </c>
      <c r="B315" s="121">
        <v>92</v>
      </c>
      <c r="C315" s="125">
        <v>46134</v>
      </c>
      <c r="D315" s="121">
        <v>0.44349537037037035</v>
      </c>
      <c r="E315" s="125">
        <v>46134</v>
      </c>
      <c r="F315" s="121">
        <v>0.45658564814814817</v>
      </c>
      <c r="G315" s="121" t="s">
        <v>64</v>
      </c>
      <c r="H315" s="126">
        <v>14110</v>
      </c>
      <c r="I315" s="126">
        <v>33460</v>
      </c>
      <c r="J315" s="126">
        <v>19350</v>
      </c>
    </row>
    <row r="316" spans="1:10" x14ac:dyDescent="0.3">
      <c r="A316" s="115">
        <v>312</v>
      </c>
      <c r="B316" s="121">
        <v>96</v>
      </c>
      <c r="C316" s="125">
        <v>46134</v>
      </c>
      <c r="D316" s="121">
        <v>0.49966435185185187</v>
      </c>
      <c r="E316" s="125">
        <v>46134</v>
      </c>
      <c r="F316" s="121">
        <v>0.50399305555555551</v>
      </c>
      <c r="G316" s="121" t="s">
        <v>85</v>
      </c>
      <c r="H316" s="126">
        <v>14020</v>
      </c>
      <c r="I316" s="126">
        <v>33130</v>
      </c>
      <c r="J316" s="126">
        <v>19110</v>
      </c>
    </row>
    <row r="317" spans="1:10" x14ac:dyDescent="0.3">
      <c r="A317" s="115">
        <v>313</v>
      </c>
      <c r="B317" s="121">
        <v>98</v>
      </c>
      <c r="C317" s="125">
        <v>46134</v>
      </c>
      <c r="D317" s="121">
        <v>0.54618055555555556</v>
      </c>
      <c r="E317" s="125">
        <v>46134</v>
      </c>
      <c r="F317" s="121">
        <v>0.55103009259259261</v>
      </c>
      <c r="G317" s="121" t="s">
        <v>80</v>
      </c>
      <c r="H317" s="126">
        <v>14200</v>
      </c>
      <c r="I317" s="126">
        <v>32060</v>
      </c>
      <c r="J317" s="126">
        <v>17860</v>
      </c>
    </row>
    <row r="318" spans="1:10" x14ac:dyDescent="0.3">
      <c r="A318" s="115">
        <v>314</v>
      </c>
      <c r="B318" s="121">
        <v>101</v>
      </c>
      <c r="C318" s="125">
        <v>46134</v>
      </c>
      <c r="D318" s="121">
        <v>0.57482638888888893</v>
      </c>
      <c r="E318" s="125">
        <v>46134</v>
      </c>
      <c r="F318" s="121">
        <v>0.57879629629629625</v>
      </c>
      <c r="G318" s="121" t="s">
        <v>64</v>
      </c>
      <c r="H318" s="126">
        <v>14100</v>
      </c>
      <c r="I318" s="126">
        <v>32940</v>
      </c>
      <c r="J318" s="126">
        <v>18840</v>
      </c>
    </row>
    <row r="319" spans="1:10" x14ac:dyDescent="0.3">
      <c r="A319" s="115">
        <v>315</v>
      </c>
      <c r="B319" s="121">
        <v>107</v>
      </c>
      <c r="C319" s="125">
        <v>46134</v>
      </c>
      <c r="D319" s="121">
        <v>0.64230324074074074</v>
      </c>
      <c r="E319" s="125">
        <v>46134</v>
      </c>
      <c r="F319" s="121">
        <v>0.64696759259259262</v>
      </c>
      <c r="G319" s="121" t="s">
        <v>85</v>
      </c>
      <c r="H319" s="126">
        <v>13980</v>
      </c>
      <c r="I319" s="126">
        <v>34200</v>
      </c>
      <c r="J319" s="126">
        <v>20220</v>
      </c>
    </row>
    <row r="320" spans="1:10" x14ac:dyDescent="0.3">
      <c r="A320" s="115">
        <v>316</v>
      </c>
      <c r="B320" s="121">
        <v>108</v>
      </c>
      <c r="C320" s="125">
        <v>46134</v>
      </c>
      <c r="D320" s="121">
        <v>0.66651620370370368</v>
      </c>
      <c r="E320" s="125">
        <v>46134</v>
      </c>
      <c r="F320" s="121">
        <v>0.67178240740740736</v>
      </c>
      <c r="G320" s="121" t="s">
        <v>80</v>
      </c>
      <c r="H320" s="126">
        <v>14210</v>
      </c>
      <c r="I320" s="126">
        <v>32630</v>
      </c>
      <c r="J320" s="126">
        <v>18420</v>
      </c>
    </row>
    <row r="321" spans="1:10" x14ac:dyDescent="0.3">
      <c r="A321" s="115">
        <v>317</v>
      </c>
      <c r="B321" s="121">
        <v>111</v>
      </c>
      <c r="C321" s="125">
        <v>46134</v>
      </c>
      <c r="D321" s="121" t="s">
        <v>690</v>
      </c>
      <c r="E321" s="125">
        <v>46134</v>
      </c>
      <c r="F321" s="121" t="s">
        <v>691</v>
      </c>
      <c r="G321" s="121" t="s">
        <v>64</v>
      </c>
      <c r="H321" s="126">
        <v>13990</v>
      </c>
      <c r="I321" s="126">
        <v>33140</v>
      </c>
      <c r="J321" s="126">
        <v>19150</v>
      </c>
    </row>
    <row r="322" spans="1:10" x14ac:dyDescent="0.3">
      <c r="A322" s="115">
        <v>318</v>
      </c>
      <c r="B322" s="121">
        <v>117</v>
      </c>
      <c r="C322" s="125">
        <v>46134</v>
      </c>
      <c r="D322" s="121" t="s">
        <v>692</v>
      </c>
      <c r="E322" s="125">
        <v>46134</v>
      </c>
      <c r="F322" s="121" t="s">
        <v>521</v>
      </c>
      <c r="G322" s="121" t="s">
        <v>85</v>
      </c>
      <c r="H322" s="126">
        <v>13880</v>
      </c>
      <c r="I322" s="126">
        <v>32360</v>
      </c>
      <c r="J322" s="126">
        <v>18480</v>
      </c>
    </row>
    <row r="323" spans="1:10" x14ac:dyDescent="0.3">
      <c r="A323" s="115">
        <v>319</v>
      </c>
      <c r="B323" s="121">
        <v>175</v>
      </c>
      <c r="C323" s="125">
        <v>46135</v>
      </c>
      <c r="D323" s="121">
        <v>4.1875000000000002E-2</v>
      </c>
      <c r="E323" s="125">
        <v>46135</v>
      </c>
      <c r="F323" s="121">
        <v>4.853009259259259E-2</v>
      </c>
      <c r="G323" s="121" t="s">
        <v>80</v>
      </c>
      <c r="H323" s="126">
        <v>14140</v>
      </c>
      <c r="I323" s="126">
        <v>32590</v>
      </c>
      <c r="J323" s="126">
        <v>18450</v>
      </c>
    </row>
    <row r="324" spans="1:10" x14ac:dyDescent="0.3">
      <c r="A324" s="115">
        <v>320</v>
      </c>
      <c r="B324" s="121">
        <v>177</v>
      </c>
      <c r="C324" s="125">
        <v>46135</v>
      </c>
      <c r="D324" s="121">
        <v>4.2905092592592592E-2</v>
      </c>
      <c r="E324" s="125">
        <v>46135</v>
      </c>
      <c r="F324" s="121">
        <v>5.6423611111111112E-2</v>
      </c>
      <c r="G324" s="121" t="s">
        <v>64</v>
      </c>
      <c r="H324" s="126">
        <v>14020</v>
      </c>
      <c r="I324" s="126">
        <v>32610</v>
      </c>
      <c r="J324" s="126">
        <v>18590</v>
      </c>
    </row>
    <row r="325" spans="1:10" x14ac:dyDescent="0.3">
      <c r="A325" s="115">
        <v>321</v>
      </c>
      <c r="B325" s="121">
        <v>179</v>
      </c>
      <c r="C325" s="125">
        <v>46135</v>
      </c>
      <c r="D325" s="121">
        <v>4.3761574074074071E-2</v>
      </c>
      <c r="E325" s="125">
        <v>46135</v>
      </c>
      <c r="F325" s="121">
        <v>6.5416666666666665E-2</v>
      </c>
      <c r="G325" s="121" t="s">
        <v>85</v>
      </c>
      <c r="H325" s="126">
        <v>13900</v>
      </c>
      <c r="I325" s="126">
        <v>32830</v>
      </c>
      <c r="J325" s="126">
        <v>18930</v>
      </c>
    </row>
    <row r="326" spans="1:10" x14ac:dyDescent="0.3">
      <c r="A326" s="115">
        <v>322</v>
      </c>
      <c r="B326" s="121">
        <v>184</v>
      </c>
      <c r="C326" s="125">
        <v>46135</v>
      </c>
      <c r="D326" s="121">
        <v>0.14305555555555555</v>
      </c>
      <c r="E326" s="125">
        <v>46135</v>
      </c>
      <c r="F326" s="121">
        <v>0.14844907407407407</v>
      </c>
      <c r="G326" s="121" t="s">
        <v>80</v>
      </c>
      <c r="H326" s="126">
        <v>14110</v>
      </c>
      <c r="I326" s="126">
        <v>33450</v>
      </c>
      <c r="J326" s="126">
        <v>19340</v>
      </c>
    </row>
    <row r="327" spans="1:10" x14ac:dyDescent="0.3">
      <c r="A327" s="115">
        <v>323</v>
      </c>
      <c r="B327" s="121">
        <v>187</v>
      </c>
      <c r="C327" s="125">
        <v>46135</v>
      </c>
      <c r="D327" s="121">
        <v>0.16260416666666666</v>
      </c>
      <c r="E327" s="125">
        <v>46135</v>
      </c>
      <c r="F327" s="121">
        <v>0.16840277777777779</v>
      </c>
      <c r="G327" s="121" t="s">
        <v>64</v>
      </c>
      <c r="H327" s="126">
        <v>13980</v>
      </c>
      <c r="I327" s="126">
        <v>33890</v>
      </c>
      <c r="J327" s="126">
        <v>19910</v>
      </c>
    </row>
    <row r="328" spans="1:10" x14ac:dyDescent="0.3">
      <c r="A328" s="115">
        <v>324</v>
      </c>
      <c r="B328" s="121">
        <v>190</v>
      </c>
      <c r="C328" s="125">
        <v>46135</v>
      </c>
      <c r="D328" s="121">
        <v>0.18708333333333332</v>
      </c>
      <c r="E328" s="125">
        <v>46135</v>
      </c>
      <c r="F328" s="121">
        <v>0.19218750000000001</v>
      </c>
      <c r="G328" s="121" t="s">
        <v>85</v>
      </c>
      <c r="H328" s="126">
        <v>13890</v>
      </c>
      <c r="I328" s="126">
        <v>33790</v>
      </c>
      <c r="J328" s="126">
        <v>19900</v>
      </c>
    </row>
    <row r="329" spans="1:10" x14ac:dyDescent="0.3">
      <c r="A329" s="115">
        <v>325</v>
      </c>
      <c r="B329" s="121">
        <v>194</v>
      </c>
      <c r="C329" s="125">
        <v>46135</v>
      </c>
      <c r="D329" s="121">
        <v>0.25068287037037035</v>
      </c>
      <c r="E329" s="125">
        <v>46135</v>
      </c>
      <c r="F329" s="121">
        <v>0.25644675925925925</v>
      </c>
      <c r="G329" s="121" t="s">
        <v>80</v>
      </c>
      <c r="H329" s="126">
        <v>14090</v>
      </c>
      <c r="I329" s="126">
        <v>31920</v>
      </c>
      <c r="J329" s="126">
        <v>17830</v>
      </c>
    </row>
    <row r="330" spans="1:10" x14ac:dyDescent="0.3">
      <c r="A330" s="115">
        <v>326</v>
      </c>
      <c r="B330" s="121">
        <v>197</v>
      </c>
      <c r="C330" s="125">
        <v>46135</v>
      </c>
      <c r="D330" s="121">
        <v>0.28944444444444445</v>
      </c>
      <c r="E330" s="125">
        <v>46135</v>
      </c>
      <c r="F330" s="121">
        <v>0.29603009259259261</v>
      </c>
      <c r="G330" s="121" t="s">
        <v>64</v>
      </c>
      <c r="H330" s="126">
        <v>13960</v>
      </c>
      <c r="I330" s="126">
        <v>33010</v>
      </c>
      <c r="J330" s="126">
        <v>19050</v>
      </c>
    </row>
    <row r="331" spans="1:10" x14ac:dyDescent="0.3">
      <c r="A331" s="115">
        <v>327</v>
      </c>
      <c r="B331" s="121">
        <v>201</v>
      </c>
      <c r="C331" s="125">
        <v>46135</v>
      </c>
      <c r="D331" s="121">
        <v>0.31563657407407408</v>
      </c>
      <c r="E331" s="125">
        <v>46135</v>
      </c>
      <c r="F331" s="121">
        <v>0.32983796296296297</v>
      </c>
      <c r="G331" s="121" t="s">
        <v>85</v>
      </c>
      <c r="H331" s="126">
        <v>13860</v>
      </c>
      <c r="I331" s="126">
        <v>33000</v>
      </c>
      <c r="J331" s="126">
        <v>19140</v>
      </c>
    </row>
    <row r="332" spans="1:10" x14ac:dyDescent="0.3">
      <c r="A332" s="115">
        <v>328</v>
      </c>
      <c r="B332" s="121">
        <v>204</v>
      </c>
      <c r="C332" s="125">
        <v>46135</v>
      </c>
      <c r="D332" s="121">
        <v>0.38994212962962965</v>
      </c>
      <c r="E332" s="125">
        <v>46135</v>
      </c>
      <c r="F332" s="121">
        <v>0.39483796296296297</v>
      </c>
      <c r="G332" s="121" t="s">
        <v>80</v>
      </c>
      <c r="H332" s="126">
        <v>14060</v>
      </c>
      <c r="I332" s="126">
        <v>33220</v>
      </c>
      <c r="J332" s="126">
        <v>19160</v>
      </c>
    </row>
    <row r="333" spans="1:10" x14ac:dyDescent="0.3">
      <c r="A333" s="115">
        <v>329</v>
      </c>
      <c r="B333" s="121">
        <v>207</v>
      </c>
      <c r="C333" s="125">
        <v>46135</v>
      </c>
      <c r="D333" s="121">
        <v>0.41538194444444443</v>
      </c>
      <c r="E333" s="125">
        <v>46135</v>
      </c>
      <c r="F333" s="121">
        <v>0.42015046296296299</v>
      </c>
      <c r="G333" s="121" t="s">
        <v>64</v>
      </c>
      <c r="H333" s="126">
        <v>13930</v>
      </c>
      <c r="I333" s="126">
        <v>33080</v>
      </c>
      <c r="J333" s="126">
        <v>19150</v>
      </c>
    </row>
    <row r="334" spans="1:10" x14ac:dyDescent="0.3">
      <c r="A334" s="115">
        <v>330</v>
      </c>
      <c r="B334" s="121">
        <v>210</v>
      </c>
      <c r="C334" s="125">
        <v>46135</v>
      </c>
      <c r="D334" s="121">
        <v>0.44916666666666666</v>
      </c>
      <c r="E334" s="125">
        <v>46135</v>
      </c>
      <c r="F334" s="121">
        <v>0.46141203703703704</v>
      </c>
      <c r="G334" s="121" t="s">
        <v>85</v>
      </c>
      <c r="H334" s="126">
        <v>13830</v>
      </c>
      <c r="I334" s="126">
        <v>32300</v>
      </c>
      <c r="J334" s="126">
        <v>18470</v>
      </c>
    </row>
    <row r="335" spans="1:10" x14ac:dyDescent="0.3">
      <c r="A335" s="115">
        <v>331</v>
      </c>
      <c r="B335" s="121">
        <v>214</v>
      </c>
      <c r="C335" s="125">
        <v>46135</v>
      </c>
      <c r="D335" s="121">
        <v>0.51576388888888891</v>
      </c>
      <c r="E335" s="125">
        <v>46135</v>
      </c>
      <c r="F335" s="121">
        <v>0.5209259259259259</v>
      </c>
      <c r="G335" s="121" t="s">
        <v>80</v>
      </c>
      <c r="H335" s="126">
        <v>14030</v>
      </c>
      <c r="I335" s="126">
        <v>32990</v>
      </c>
      <c r="J335" s="126">
        <v>18960</v>
      </c>
    </row>
    <row r="336" spans="1:10" x14ac:dyDescent="0.3">
      <c r="A336" s="115">
        <v>332</v>
      </c>
      <c r="B336" s="121">
        <v>217</v>
      </c>
      <c r="C336" s="125">
        <v>46135</v>
      </c>
      <c r="D336" s="121">
        <v>0.54090277777777773</v>
      </c>
      <c r="E336" s="125">
        <v>46135</v>
      </c>
      <c r="F336" s="121">
        <v>0.54682870370370373</v>
      </c>
      <c r="G336" s="121" t="s">
        <v>64</v>
      </c>
      <c r="H336" s="126">
        <v>13900</v>
      </c>
      <c r="I336" s="126">
        <v>32470</v>
      </c>
      <c r="J336" s="126">
        <v>18570</v>
      </c>
    </row>
    <row r="337" spans="1:10" x14ac:dyDescent="0.3">
      <c r="A337" s="115">
        <v>333</v>
      </c>
      <c r="B337" s="121">
        <v>220</v>
      </c>
      <c r="C337" s="125">
        <v>46135</v>
      </c>
      <c r="D337" s="121">
        <v>0.58004629629629634</v>
      </c>
      <c r="E337" s="125">
        <v>46135</v>
      </c>
      <c r="F337" s="121">
        <v>0.58511574074074069</v>
      </c>
      <c r="G337" s="121" t="s">
        <v>85</v>
      </c>
      <c r="H337" s="126">
        <v>14020</v>
      </c>
      <c r="I337" s="126">
        <v>32470</v>
      </c>
      <c r="J337" s="126">
        <v>18450</v>
      </c>
    </row>
    <row r="338" spans="1:10" x14ac:dyDescent="0.3">
      <c r="A338" s="115">
        <v>334</v>
      </c>
      <c r="B338" s="121">
        <v>224</v>
      </c>
      <c r="C338" s="125">
        <v>46135</v>
      </c>
      <c r="D338" s="121">
        <v>0.64048611111111109</v>
      </c>
      <c r="E338" s="125">
        <v>46135</v>
      </c>
      <c r="F338" s="121">
        <v>0.64645833333333336</v>
      </c>
      <c r="G338" s="121" t="s">
        <v>80</v>
      </c>
      <c r="H338" s="126">
        <v>14210</v>
      </c>
      <c r="I338" s="126">
        <v>33030</v>
      </c>
      <c r="J338" s="126">
        <v>18820</v>
      </c>
    </row>
    <row r="339" spans="1:10" x14ac:dyDescent="0.3">
      <c r="A339" s="115">
        <v>335</v>
      </c>
      <c r="B339" s="121">
        <v>227</v>
      </c>
      <c r="C339" s="125">
        <v>46135</v>
      </c>
      <c r="D339" s="121">
        <v>0.67215277777777782</v>
      </c>
      <c r="E339" s="125">
        <v>46135</v>
      </c>
      <c r="F339" s="121">
        <v>0.67692129629629627</v>
      </c>
      <c r="G339" s="121" t="s">
        <v>64</v>
      </c>
      <c r="H339" s="126">
        <v>13860</v>
      </c>
      <c r="I339" s="126">
        <v>33210</v>
      </c>
      <c r="J339" s="126">
        <v>19350</v>
      </c>
    </row>
    <row r="340" spans="1:10" x14ac:dyDescent="0.3">
      <c r="A340" s="115">
        <v>336</v>
      </c>
      <c r="B340" s="121">
        <v>230</v>
      </c>
      <c r="C340" s="125">
        <v>46135</v>
      </c>
      <c r="D340" s="121" t="s">
        <v>693</v>
      </c>
      <c r="E340" s="125">
        <v>46135</v>
      </c>
      <c r="F340" s="121" t="s">
        <v>694</v>
      </c>
      <c r="G340" s="121" t="s">
        <v>85</v>
      </c>
      <c r="H340" s="126">
        <v>14010</v>
      </c>
      <c r="I340" s="126">
        <v>34340</v>
      </c>
      <c r="J340" s="126">
        <v>20330</v>
      </c>
    </row>
    <row r="341" spans="1:10" x14ac:dyDescent="0.3">
      <c r="A341" s="115">
        <v>337</v>
      </c>
      <c r="B341" s="121">
        <v>234</v>
      </c>
      <c r="C341" s="125">
        <v>46136</v>
      </c>
      <c r="D341" s="121" t="s">
        <v>695</v>
      </c>
      <c r="E341" s="125">
        <v>46136</v>
      </c>
      <c r="F341" s="121" t="s">
        <v>696</v>
      </c>
      <c r="G341" s="121" t="s">
        <v>64</v>
      </c>
      <c r="H341" s="126">
        <v>13820</v>
      </c>
      <c r="I341" s="126">
        <v>32230</v>
      </c>
      <c r="J341" s="126">
        <v>18410</v>
      </c>
    </row>
    <row r="342" spans="1:10" x14ac:dyDescent="0.3">
      <c r="A342" s="115">
        <v>338</v>
      </c>
      <c r="B342" s="121">
        <v>235</v>
      </c>
      <c r="C342" s="125">
        <v>46136</v>
      </c>
      <c r="D342" s="121" t="s">
        <v>647</v>
      </c>
      <c r="E342" s="125">
        <v>46136</v>
      </c>
      <c r="F342" s="121" t="s">
        <v>697</v>
      </c>
      <c r="G342" s="121" t="s">
        <v>85</v>
      </c>
      <c r="H342" s="126">
        <v>13980</v>
      </c>
      <c r="I342" s="126">
        <v>32260</v>
      </c>
      <c r="J342" s="126">
        <v>18280</v>
      </c>
    </row>
    <row r="343" spans="1:10" x14ac:dyDescent="0.3">
      <c r="A343" s="115">
        <v>339</v>
      </c>
      <c r="B343" s="121">
        <v>237</v>
      </c>
      <c r="C343" s="125">
        <v>46136</v>
      </c>
      <c r="D343" s="121" t="s">
        <v>698</v>
      </c>
      <c r="E343" s="125">
        <v>46136</v>
      </c>
      <c r="F343" s="121" t="s">
        <v>699</v>
      </c>
      <c r="G343" s="121" t="s">
        <v>80</v>
      </c>
      <c r="H343" s="126">
        <v>14130</v>
      </c>
      <c r="I343" s="126">
        <v>34220</v>
      </c>
      <c r="J343" s="126">
        <v>20090</v>
      </c>
    </row>
    <row r="344" spans="1:10" x14ac:dyDescent="0.3">
      <c r="A344" s="115">
        <v>340</v>
      </c>
      <c r="B344" s="121">
        <v>238</v>
      </c>
      <c r="C344" s="125">
        <v>46136</v>
      </c>
      <c r="D344" s="121" t="s">
        <v>700</v>
      </c>
      <c r="E344" s="125">
        <v>46136</v>
      </c>
      <c r="F344" s="121" t="s">
        <v>701</v>
      </c>
      <c r="G344" s="121" t="s">
        <v>64</v>
      </c>
      <c r="H344" s="126">
        <v>13760</v>
      </c>
      <c r="I344" s="126">
        <v>32280</v>
      </c>
      <c r="J344" s="126">
        <v>18520</v>
      </c>
    </row>
    <row r="345" spans="1:10" x14ac:dyDescent="0.3">
      <c r="A345" s="115">
        <v>341</v>
      </c>
      <c r="B345" s="121">
        <v>244</v>
      </c>
      <c r="C345" s="125">
        <v>46136</v>
      </c>
      <c r="D345" s="121" t="s">
        <v>702</v>
      </c>
      <c r="E345" s="125">
        <v>46136</v>
      </c>
      <c r="F345" s="121" t="s">
        <v>703</v>
      </c>
      <c r="G345" s="121" t="s">
        <v>64</v>
      </c>
      <c r="H345" s="126">
        <v>13790</v>
      </c>
      <c r="I345" s="126">
        <v>33350</v>
      </c>
      <c r="J345" s="126">
        <v>19560</v>
      </c>
    </row>
    <row r="346" spans="1:10" x14ac:dyDescent="0.3">
      <c r="A346" s="115">
        <v>342</v>
      </c>
      <c r="B346" s="121">
        <v>246</v>
      </c>
      <c r="C346" s="125">
        <v>46136</v>
      </c>
      <c r="D346" s="121" t="s">
        <v>704</v>
      </c>
      <c r="E346" s="125">
        <v>46136</v>
      </c>
      <c r="F346" s="121" t="s">
        <v>705</v>
      </c>
      <c r="G346" s="121" t="s">
        <v>85</v>
      </c>
      <c r="H346" s="126">
        <v>13960</v>
      </c>
      <c r="I346" s="126">
        <v>33120</v>
      </c>
      <c r="J346" s="126">
        <v>19160</v>
      </c>
    </row>
    <row r="347" spans="1:10" x14ac:dyDescent="0.3">
      <c r="A347" s="115">
        <v>343</v>
      </c>
      <c r="B347" s="121">
        <v>247</v>
      </c>
      <c r="C347" s="125">
        <v>46136</v>
      </c>
      <c r="D347" s="121" t="s">
        <v>706</v>
      </c>
      <c r="E347" s="125">
        <v>46136</v>
      </c>
      <c r="F347" s="121" t="s">
        <v>707</v>
      </c>
      <c r="G347" s="121" t="s">
        <v>80</v>
      </c>
      <c r="H347" s="126">
        <v>14130</v>
      </c>
      <c r="I347" s="126">
        <v>33080</v>
      </c>
      <c r="J347" s="126">
        <v>18950</v>
      </c>
    </row>
    <row r="348" spans="1:10" x14ac:dyDescent="0.3">
      <c r="A348" s="115">
        <v>344</v>
      </c>
      <c r="B348" s="121">
        <v>254</v>
      </c>
      <c r="C348" s="125">
        <v>46136</v>
      </c>
      <c r="D348" s="121" t="s">
        <v>708</v>
      </c>
      <c r="E348" s="125">
        <v>46136</v>
      </c>
      <c r="F348" s="121" t="s">
        <v>709</v>
      </c>
      <c r="G348" s="121" t="s">
        <v>64</v>
      </c>
      <c r="H348" s="126">
        <v>13770</v>
      </c>
      <c r="I348" s="126">
        <v>33960</v>
      </c>
      <c r="J348" s="126">
        <v>20190</v>
      </c>
    </row>
    <row r="349" spans="1:10" x14ac:dyDescent="0.3">
      <c r="A349" s="115">
        <v>345</v>
      </c>
      <c r="B349" s="121">
        <v>256</v>
      </c>
      <c r="C349" s="125">
        <v>46136</v>
      </c>
      <c r="D349" s="121" t="s">
        <v>710</v>
      </c>
      <c r="E349" s="125">
        <v>46136</v>
      </c>
      <c r="F349" s="121" t="s">
        <v>711</v>
      </c>
      <c r="G349" s="121" t="s">
        <v>85</v>
      </c>
      <c r="H349" s="126">
        <v>13930</v>
      </c>
      <c r="I349" s="126">
        <v>34250</v>
      </c>
      <c r="J349" s="126">
        <v>20320</v>
      </c>
    </row>
    <row r="350" spans="1:10" x14ac:dyDescent="0.3">
      <c r="A350" s="115">
        <v>346</v>
      </c>
      <c r="B350" s="121">
        <v>257</v>
      </c>
      <c r="C350" s="125">
        <v>46136</v>
      </c>
      <c r="D350" s="121" t="s">
        <v>712</v>
      </c>
      <c r="E350" s="125">
        <v>46136</v>
      </c>
      <c r="F350" s="121" t="s">
        <v>713</v>
      </c>
      <c r="G350" s="121" t="s">
        <v>80</v>
      </c>
      <c r="H350" s="126">
        <v>14110</v>
      </c>
      <c r="I350" s="126">
        <v>33930</v>
      </c>
      <c r="J350" s="126">
        <v>19820</v>
      </c>
    </row>
    <row r="351" spans="1:10" x14ac:dyDescent="0.3">
      <c r="A351" s="115">
        <v>347</v>
      </c>
      <c r="B351" s="121">
        <v>265</v>
      </c>
      <c r="C351" s="125">
        <v>46136</v>
      </c>
      <c r="D351" s="121" t="s">
        <v>714</v>
      </c>
      <c r="E351" s="125">
        <v>46136</v>
      </c>
      <c r="F351" s="121" t="s">
        <v>715</v>
      </c>
      <c r="G351" s="121" t="s">
        <v>64</v>
      </c>
      <c r="H351" s="126">
        <v>14110</v>
      </c>
      <c r="I351" s="126">
        <v>35020</v>
      </c>
      <c r="J351" s="126">
        <v>20910</v>
      </c>
    </row>
    <row r="352" spans="1:10" x14ac:dyDescent="0.3">
      <c r="A352" s="115">
        <v>348</v>
      </c>
      <c r="B352" s="121">
        <v>266</v>
      </c>
      <c r="C352" s="125">
        <v>46136</v>
      </c>
      <c r="D352" s="121" t="s">
        <v>716</v>
      </c>
      <c r="E352" s="125">
        <v>46136</v>
      </c>
      <c r="F352" s="121" t="s">
        <v>717</v>
      </c>
      <c r="G352" s="121" t="s">
        <v>85</v>
      </c>
      <c r="H352" s="126">
        <v>13830</v>
      </c>
      <c r="I352" s="126">
        <v>34440</v>
      </c>
      <c r="J352" s="126">
        <v>20610</v>
      </c>
    </row>
    <row r="353" spans="1:10" x14ac:dyDescent="0.3">
      <c r="A353" s="115">
        <v>349</v>
      </c>
      <c r="B353" s="121">
        <v>268</v>
      </c>
      <c r="C353" s="125">
        <v>46136</v>
      </c>
      <c r="D353" s="121" t="s">
        <v>718</v>
      </c>
      <c r="E353" s="125">
        <v>46136</v>
      </c>
      <c r="F353" s="121" t="s">
        <v>719</v>
      </c>
      <c r="G353" s="121" t="s">
        <v>80</v>
      </c>
      <c r="H353" s="126">
        <v>14040</v>
      </c>
      <c r="I353" s="126">
        <v>35280</v>
      </c>
      <c r="J353" s="126">
        <v>21240</v>
      </c>
    </row>
    <row r="354" spans="1:10" x14ac:dyDescent="0.3">
      <c r="A354" s="115">
        <v>350</v>
      </c>
      <c r="B354" s="121">
        <v>275</v>
      </c>
      <c r="C354" s="125">
        <v>46136</v>
      </c>
      <c r="D354" s="121" t="s">
        <v>720</v>
      </c>
      <c r="E354" s="125">
        <v>46136</v>
      </c>
      <c r="F354" s="121" t="s">
        <v>721</v>
      </c>
      <c r="G354" s="121" t="s">
        <v>64</v>
      </c>
      <c r="H354" s="126">
        <v>14070</v>
      </c>
      <c r="I354" s="126">
        <v>33980</v>
      </c>
      <c r="J354" s="126">
        <v>19910</v>
      </c>
    </row>
    <row r="355" spans="1:10" x14ac:dyDescent="0.3">
      <c r="A355" s="115">
        <v>351</v>
      </c>
      <c r="B355" s="121">
        <v>276</v>
      </c>
      <c r="C355" s="125">
        <v>46136</v>
      </c>
      <c r="D355" s="121" t="s">
        <v>722</v>
      </c>
      <c r="E355" s="125">
        <v>46136</v>
      </c>
      <c r="F355" s="121" t="s">
        <v>723</v>
      </c>
      <c r="G355" s="121" t="s">
        <v>85</v>
      </c>
      <c r="H355" s="126">
        <v>13850</v>
      </c>
      <c r="I355" s="126">
        <v>33030</v>
      </c>
      <c r="J355" s="126">
        <v>19180</v>
      </c>
    </row>
    <row r="356" spans="1:10" x14ac:dyDescent="0.3">
      <c r="A356" s="115">
        <v>352</v>
      </c>
      <c r="B356" s="121">
        <v>278</v>
      </c>
      <c r="C356" s="125">
        <v>46136</v>
      </c>
      <c r="D356" s="121" t="s">
        <v>724</v>
      </c>
      <c r="E356" s="125">
        <v>46136</v>
      </c>
      <c r="F356" s="121" t="s">
        <v>725</v>
      </c>
      <c r="G356" s="121" t="s">
        <v>80</v>
      </c>
      <c r="H356" s="126">
        <v>14030</v>
      </c>
      <c r="I356" s="126">
        <v>34390</v>
      </c>
      <c r="J356" s="126">
        <v>20360</v>
      </c>
    </row>
    <row r="357" spans="1:10" x14ac:dyDescent="0.3">
      <c r="A357" s="115">
        <v>353</v>
      </c>
      <c r="B357" s="121">
        <v>285</v>
      </c>
      <c r="C357" s="125">
        <v>46137</v>
      </c>
      <c r="D357" s="121" t="s">
        <v>726</v>
      </c>
      <c r="E357" s="125">
        <v>46137</v>
      </c>
      <c r="F357" s="121" t="s">
        <v>727</v>
      </c>
      <c r="G357" s="121" t="s">
        <v>80</v>
      </c>
      <c r="H357" s="126">
        <v>14000</v>
      </c>
      <c r="I357" s="126">
        <v>32780</v>
      </c>
      <c r="J357" s="126">
        <v>18780</v>
      </c>
    </row>
    <row r="358" spans="1:10" x14ac:dyDescent="0.3">
      <c r="A358" s="115">
        <v>354</v>
      </c>
      <c r="B358" s="121">
        <v>288</v>
      </c>
      <c r="C358" s="125">
        <v>46137</v>
      </c>
      <c r="D358" s="121" t="s">
        <v>728</v>
      </c>
      <c r="E358" s="125">
        <v>46137</v>
      </c>
      <c r="F358" s="121" t="s">
        <v>729</v>
      </c>
      <c r="G358" s="121" t="s">
        <v>64</v>
      </c>
      <c r="H358" s="126">
        <v>14040</v>
      </c>
      <c r="I358" s="126">
        <v>33950</v>
      </c>
      <c r="J358" s="126">
        <v>19910</v>
      </c>
    </row>
    <row r="359" spans="1:10" x14ac:dyDescent="0.3">
      <c r="A359" s="115">
        <v>355</v>
      </c>
      <c r="B359" s="121">
        <v>292</v>
      </c>
      <c r="C359" s="125">
        <v>46137</v>
      </c>
      <c r="D359" s="121" t="s">
        <v>730</v>
      </c>
      <c r="E359" s="125">
        <v>46137</v>
      </c>
      <c r="F359" s="121" t="s">
        <v>731</v>
      </c>
      <c r="G359" s="121" t="s">
        <v>85</v>
      </c>
      <c r="H359" s="126">
        <v>13820</v>
      </c>
      <c r="I359" s="126">
        <v>33250</v>
      </c>
      <c r="J359" s="126">
        <v>19430</v>
      </c>
    </row>
    <row r="360" spans="1:10" x14ac:dyDescent="0.3">
      <c r="A360" s="115">
        <v>356</v>
      </c>
      <c r="B360" s="121">
        <v>295</v>
      </c>
      <c r="C360" s="125">
        <v>46137</v>
      </c>
      <c r="D360" s="121" t="s">
        <v>732</v>
      </c>
      <c r="E360" s="125">
        <v>46137</v>
      </c>
      <c r="F360" s="121" t="s">
        <v>733</v>
      </c>
      <c r="G360" s="121" t="s">
        <v>80</v>
      </c>
      <c r="H360" s="126">
        <v>13950</v>
      </c>
      <c r="I360" s="126">
        <v>32810</v>
      </c>
      <c r="J360" s="126">
        <v>18860</v>
      </c>
    </row>
    <row r="361" spans="1:10" x14ac:dyDescent="0.3">
      <c r="A361" s="115">
        <v>357</v>
      </c>
      <c r="B361" s="121">
        <v>298</v>
      </c>
      <c r="C361" s="125">
        <v>46137</v>
      </c>
      <c r="D361" s="121" t="s">
        <v>734</v>
      </c>
      <c r="E361" s="125">
        <v>46137</v>
      </c>
      <c r="F361" s="121" t="s">
        <v>735</v>
      </c>
      <c r="G361" s="121" t="s">
        <v>64</v>
      </c>
      <c r="H361" s="126">
        <v>14030</v>
      </c>
      <c r="I361" s="126">
        <v>32740</v>
      </c>
      <c r="J361" s="126">
        <v>18710</v>
      </c>
    </row>
    <row r="362" spans="1:10" x14ac:dyDescent="0.3">
      <c r="A362" s="115">
        <v>358</v>
      </c>
      <c r="B362" s="121">
        <v>302</v>
      </c>
      <c r="C362" s="125">
        <v>46137</v>
      </c>
      <c r="D362" s="121" t="s">
        <v>736</v>
      </c>
      <c r="E362" s="125">
        <v>46137</v>
      </c>
      <c r="F362" s="121" t="s">
        <v>737</v>
      </c>
      <c r="G362" s="121" t="s">
        <v>85</v>
      </c>
      <c r="H362" s="126">
        <v>13820</v>
      </c>
      <c r="I362" s="126">
        <v>33290</v>
      </c>
      <c r="J362" s="126">
        <v>19470</v>
      </c>
    </row>
    <row r="363" spans="1:10" x14ac:dyDescent="0.3">
      <c r="A363" s="115">
        <v>359</v>
      </c>
      <c r="B363" s="121">
        <v>305</v>
      </c>
      <c r="C363" s="125">
        <v>46137</v>
      </c>
      <c r="D363" s="121" t="s">
        <v>738</v>
      </c>
      <c r="E363" s="125">
        <v>46137</v>
      </c>
      <c r="F363" s="121" t="s">
        <v>739</v>
      </c>
      <c r="G363" s="121" t="s">
        <v>80</v>
      </c>
      <c r="H363" s="126">
        <v>13930</v>
      </c>
      <c r="I363" s="126">
        <v>32710</v>
      </c>
      <c r="J363" s="126">
        <v>18780</v>
      </c>
    </row>
    <row r="364" spans="1:10" x14ac:dyDescent="0.3">
      <c r="A364" s="115">
        <v>360</v>
      </c>
      <c r="B364" s="121">
        <v>309</v>
      </c>
      <c r="C364" s="125">
        <v>46137</v>
      </c>
      <c r="D364" s="121" t="s">
        <v>740</v>
      </c>
      <c r="E364" s="125">
        <v>46137</v>
      </c>
      <c r="F364" s="121" t="s">
        <v>741</v>
      </c>
      <c r="G364" s="121" t="s">
        <v>64</v>
      </c>
      <c r="H364" s="126">
        <v>13990</v>
      </c>
      <c r="I364" s="126">
        <v>33290</v>
      </c>
      <c r="J364" s="126">
        <v>19300</v>
      </c>
    </row>
    <row r="365" spans="1:10" x14ac:dyDescent="0.3">
      <c r="A365" s="115">
        <v>361</v>
      </c>
      <c r="B365" s="121">
        <v>312</v>
      </c>
      <c r="C365" s="125">
        <v>46137</v>
      </c>
      <c r="D365" s="121" t="s">
        <v>742</v>
      </c>
      <c r="E365" s="125">
        <v>46137</v>
      </c>
      <c r="F365" s="121" t="s">
        <v>743</v>
      </c>
      <c r="G365" s="121" t="s">
        <v>85</v>
      </c>
      <c r="H365" s="126">
        <v>13770</v>
      </c>
      <c r="I365" s="126">
        <v>32220</v>
      </c>
      <c r="J365" s="126">
        <v>18450</v>
      </c>
    </row>
    <row r="366" spans="1:10" x14ac:dyDescent="0.3">
      <c r="A366" s="115">
        <v>362</v>
      </c>
      <c r="B366" s="121">
        <v>315</v>
      </c>
      <c r="C366" s="125">
        <v>46137</v>
      </c>
      <c r="D366" s="121" t="s">
        <v>744</v>
      </c>
      <c r="E366" s="125">
        <v>46137</v>
      </c>
      <c r="F366" s="121" t="s">
        <v>745</v>
      </c>
      <c r="G366" s="121" t="s">
        <v>80</v>
      </c>
      <c r="H366" s="126">
        <v>14220</v>
      </c>
      <c r="I366" s="126">
        <v>32760</v>
      </c>
      <c r="J366" s="126">
        <v>18540</v>
      </c>
    </row>
    <row r="367" spans="1:10" x14ac:dyDescent="0.3">
      <c r="A367" s="115">
        <v>363</v>
      </c>
      <c r="B367" s="121">
        <v>320</v>
      </c>
      <c r="C367" s="125">
        <v>46137</v>
      </c>
      <c r="D367" s="121" t="s">
        <v>746</v>
      </c>
      <c r="E367" s="125">
        <v>46137</v>
      </c>
      <c r="F367" s="121" t="s">
        <v>747</v>
      </c>
      <c r="G367" s="121" t="s">
        <v>64</v>
      </c>
      <c r="H367" s="126">
        <v>13950</v>
      </c>
      <c r="I367" s="126">
        <v>34470</v>
      </c>
      <c r="J367" s="126">
        <v>20520</v>
      </c>
    </row>
    <row r="368" spans="1:10" x14ac:dyDescent="0.3">
      <c r="A368" s="115">
        <v>364</v>
      </c>
      <c r="B368" s="121">
        <v>322</v>
      </c>
      <c r="C368" s="125">
        <v>46137</v>
      </c>
      <c r="D368" s="121" t="s">
        <v>748</v>
      </c>
      <c r="E368" s="125">
        <v>46137</v>
      </c>
      <c r="F368" s="121" t="s">
        <v>749</v>
      </c>
      <c r="G368" s="121" t="s">
        <v>85</v>
      </c>
      <c r="H368" s="126">
        <v>13720</v>
      </c>
      <c r="I368" s="126">
        <v>33860</v>
      </c>
      <c r="J368" s="126">
        <v>20140</v>
      </c>
    </row>
    <row r="369" spans="1:10" x14ac:dyDescent="0.3">
      <c r="A369" s="115">
        <v>365</v>
      </c>
      <c r="B369" s="121">
        <v>325</v>
      </c>
      <c r="C369" s="125">
        <v>46137</v>
      </c>
      <c r="D369" s="121" t="s">
        <v>750</v>
      </c>
      <c r="E369" s="125">
        <v>46137</v>
      </c>
      <c r="F369" s="121" t="s">
        <v>751</v>
      </c>
      <c r="G369" s="121" t="s">
        <v>80</v>
      </c>
      <c r="H369" s="126">
        <v>14270</v>
      </c>
      <c r="I369" s="126">
        <v>33300</v>
      </c>
      <c r="J369" s="126">
        <v>19030</v>
      </c>
    </row>
    <row r="370" spans="1:10" x14ac:dyDescent="0.3">
      <c r="A370" s="115">
        <v>366</v>
      </c>
      <c r="B370" s="121">
        <v>329</v>
      </c>
      <c r="C370" s="125">
        <v>46137</v>
      </c>
      <c r="D370" s="121" t="s">
        <v>752</v>
      </c>
      <c r="E370" s="125">
        <v>46137</v>
      </c>
      <c r="F370" s="121" t="s">
        <v>753</v>
      </c>
      <c r="G370" s="121" t="s">
        <v>64</v>
      </c>
      <c r="H370" s="126">
        <v>13920</v>
      </c>
      <c r="I370" s="126">
        <v>33930</v>
      </c>
      <c r="J370" s="126">
        <v>20010</v>
      </c>
    </row>
    <row r="371" spans="1:10" x14ac:dyDescent="0.3">
      <c r="A371" s="115">
        <v>367</v>
      </c>
      <c r="B371" s="121">
        <v>331</v>
      </c>
      <c r="C371" s="125">
        <v>46137</v>
      </c>
      <c r="D371" s="121" t="s">
        <v>754</v>
      </c>
      <c r="E371" s="125">
        <v>46137</v>
      </c>
      <c r="F371" s="121" t="s">
        <v>755</v>
      </c>
      <c r="G371" s="121" t="s">
        <v>85</v>
      </c>
      <c r="H371" s="126">
        <v>14020</v>
      </c>
      <c r="I371" s="126">
        <v>34350</v>
      </c>
      <c r="J371" s="126">
        <v>20330</v>
      </c>
    </row>
    <row r="372" spans="1:10" x14ac:dyDescent="0.3">
      <c r="A372" s="115">
        <v>368</v>
      </c>
      <c r="B372" s="121">
        <v>334</v>
      </c>
      <c r="C372" s="125">
        <v>46137</v>
      </c>
      <c r="D372" s="121" t="s">
        <v>756</v>
      </c>
      <c r="E372" s="125">
        <v>46137</v>
      </c>
      <c r="F372" s="121" t="s">
        <v>757</v>
      </c>
      <c r="G372" s="121" t="s">
        <v>80</v>
      </c>
      <c r="H372" s="126">
        <v>14150</v>
      </c>
      <c r="I372" s="126">
        <v>33690</v>
      </c>
      <c r="J372" s="126">
        <v>19540</v>
      </c>
    </row>
    <row r="373" spans="1:10" x14ac:dyDescent="0.3">
      <c r="A373" s="115">
        <v>369</v>
      </c>
      <c r="B373" s="121">
        <v>340</v>
      </c>
      <c r="C373" s="125">
        <v>46137</v>
      </c>
      <c r="D373" s="121" t="s">
        <v>758</v>
      </c>
      <c r="E373" s="125">
        <v>46137</v>
      </c>
      <c r="F373" s="121" t="s">
        <v>759</v>
      </c>
      <c r="G373" s="121" t="s">
        <v>64</v>
      </c>
      <c r="H373" s="126">
        <v>13890</v>
      </c>
      <c r="I373" s="126">
        <v>32640</v>
      </c>
      <c r="J373" s="126">
        <v>18750</v>
      </c>
    </row>
    <row r="374" spans="1:10" x14ac:dyDescent="0.3">
      <c r="A374" s="115">
        <v>370</v>
      </c>
      <c r="B374" s="121">
        <v>342</v>
      </c>
      <c r="C374" s="125">
        <v>46137</v>
      </c>
      <c r="D374" s="121" t="s">
        <v>760</v>
      </c>
      <c r="E374" s="125">
        <v>46137</v>
      </c>
      <c r="F374" s="121" t="s">
        <v>761</v>
      </c>
      <c r="G374" s="121" t="s">
        <v>85</v>
      </c>
      <c r="H374" s="126">
        <v>13970</v>
      </c>
      <c r="I374" s="126">
        <v>33130</v>
      </c>
      <c r="J374" s="126">
        <v>19160</v>
      </c>
    </row>
    <row r="375" spans="1:10" x14ac:dyDescent="0.3">
      <c r="A375" s="115">
        <v>371</v>
      </c>
      <c r="B375" s="121">
        <v>348</v>
      </c>
      <c r="C375" s="125">
        <v>46139</v>
      </c>
      <c r="D375" s="121" t="s">
        <v>762</v>
      </c>
      <c r="E375" s="125">
        <v>46139</v>
      </c>
      <c r="F375" s="121" t="s">
        <v>763</v>
      </c>
      <c r="G375" s="121" t="s">
        <v>64</v>
      </c>
      <c r="H375" s="126">
        <v>13860</v>
      </c>
      <c r="I375" s="126">
        <v>34380</v>
      </c>
      <c r="J375" s="126">
        <v>20520</v>
      </c>
    </row>
    <row r="376" spans="1:10" x14ac:dyDescent="0.3">
      <c r="A376" s="115">
        <v>372</v>
      </c>
      <c r="B376" s="121">
        <v>349</v>
      </c>
      <c r="C376" s="125">
        <v>46139</v>
      </c>
      <c r="D376" s="121" t="s">
        <v>764</v>
      </c>
      <c r="E376" s="125">
        <v>46139</v>
      </c>
      <c r="F376" s="121" t="s">
        <v>765</v>
      </c>
      <c r="G376" s="121" t="s">
        <v>80</v>
      </c>
      <c r="H376" s="126">
        <v>14120</v>
      </c>
      <c r="I376" s="126">
        <v>34120</v>
      </c>
      <c r="J376" s="126">
        <v>20000</v>
      </c>
    </row>
    <row r="377" spans="1:10" x14ac:dyDescent="0.3">
      <c r="A377" s="115">
        <v>373</v>
      </c>
      <c r="B377" s="121">
        <v>357</v>
      </c>
      <c r="C377" s="125">
        <v>46139</v>
      </c>
      <c r="D377" s="121" t="s">
        <v>766</v>
      </c>
      <c r="E377" s="125">
        <v>46139</v>
      </c>
      <c r="F377" s="121" t="s">
        <v>767</v>
      </c>
      <c r="G377" s="121" t="s">
        <v>85</v>
      </c>
      <c r="H377" s="126">
        <v>13940</v>
      </c>
      <c r="I377" s="126">
        <v>35230</v>
      </c>
      <c r="J377" s="126">
        <v>21290</v>
      </c>
    </row>
    <row r="378" spans="1:10" x14ac:dyDescent="0.3">
      <c r="A378" s="115">
        <v>374</v>
      </c>
      <c r="B378" s="121">
        <v>358</v>
      </c>
      <c r="C378" s="125">
        <v>46139</v>
      </c>
      <c r="D378" s="121" t="s">
        <v>768</v>
      </c>
      <c r="E378" s="125">
        <v>46139</v>
      </c>
      <c r="F378" s="121" t="s">
        <v>769</v>
      </c>
      <c r="G378" s="121" t="s">
        <v>85</v>
      </c>
      <c r="H378" s="126">
        <v>13940</v>
      </c>
      <c r="I378" s="126">
        <v>35310</v>
      </c>
      <c r="J378" s="126">
        <v>21370</v>
      </c>
    </row>
    <row r="379" spans="1:10" x14ac:dyDescent="0.3">
      <c r="A379" s="115">
        <v>375</v>
      </c>
      <c r="B379" s="121">
        <v>359</v>
      </c>
      <c r="C379" s="125">
        <v>46139</v>
      </c>
      <c r="D379" s="121" t="s">
        <v>770</v>
      </c>
      <c r="E379" s="125">
        <v>46139</v>
      </c>
      <c r="F379" s="121" t="s">
        <v>771</v>
      </c>
      <c r="G379" s="121" t="s">
        <v>64</v>
      </c>
      <c r="H379" s="126">
        <v>14110</v>
      </c>
      <c r="I379" s="126">
        <v>34810</v>
      </c>
      <c r="J379" s="126">
        <v>20700</v>
      </c>
    </row>
    <row r="380" spans="1:10" x14ac:dyDescent="0.3">
      <c r="A380" s="115">
        <v>376</v>
      </c>
      <c r="B380" s="121">
        <v>360</v>
      </c>
      <c r="C380" s="125">
        <v>46139</v>
      </c>
      <c r="D380" s="121" t="s">
        <v>772</v>
      </c>
      <c r="E380" s="125">
        <v>46139</v>
      </c>
      <c r="F380" s="121" t="s">
        <v>773</v>
      </c>
      <c r="G380" s="121" t="s">
        <v>80</v>
      </c>
      <c r="H380" s="126">
        <v>14080</v>
      </c>
      <c r="I380" s="126">
        <v>35080</v>
      </c>
      <c r="J380" s="126">
        <v>21000</v>
      </c>
    </row>
    <row r="381" spans="1:10" x14ac:dyDescent="0.3">
      <c r="A381" s="115">
        <v>377</v>
      </c>
      <c r="B381" s="121">
        <v>367</v>
      </c>
      <c r="C381" s="125">
        <v>46139</v>
      </c>
      <c r="D381" s="121" t="s">
        <v>774</v>
      </c>
      <c r="E381" s="125">
        <v>46139</v>
      </c>
      <c r="F381" s="121" t="s">
        <v>775</v>
      </c>
      <c r="G381" s="121" t="s">
        <v>85</v>
      </c>
      <c r="H381" s="126">
        <v>13860</v>
      </c>
      <c r="I381" s="126">
        <v>34350</v>
      </c>
      <c r="J381" s="126">
        <v>20490</v>
      </c>
    </row>
    <row r="382" spans="1:10" x14ac:dyDescent="0.3">
      <c r="A382" s="115">
        <v>378</v>
      </c>
      <c r="B382" s="121">
        <v>370</v>
      </c>
      <c r="C382" s="125">
        <v>46139</v>
      </c>
      <c r="D382" s="121" t="s">
        <v>776</v>
      </c>
      <c r="E382" s="125">
        <v>46139</v>
      </c>
      <c r="F382" s="121" t="s">
        <v>777</v>
      </c>
      <c r="G382" s="121" t="s">
        <v>64</v>
      </c>
      <c r="H382" s="126">
        <v>14060</v>
      </c>
      <c r="I382" s="126">
        <v>34370</v>
      </c>
      <c r="J382" s="126">
        <v>20310</v>
      </c>
    </row>
    <row r="383" spans="1:10" x14ac:dyDescent="0.3">
      <c r="A383" s="115">
        <v>379</v>
      </c>
      <c r="B383" s="121">
        <v>371</v>
      </c>
      <c r="C383" s="125">
        <v>46139</v>
      </c>
      <c r="D383" s="121" t="s">
        <v>778</v>
      </c>
      <c r="E383" s="125">
        <v>46139</v>
      </c>
      <c r="F383" s="121" t="s">
        <v>779</v>
      </c>
      <c r="G383" s="121" t="s">
        <v>80</v>
      </c>
      <c r="H383" s="126">
        <v>14010</v>
      </c>
      <c r="I383" s="126">
        <v>34220</v>
      </c>
      <c r="J383" s="126">
        <v>20210</v>
      </c>
    </row>
    <row r="384" spans="1:10" x14ac:dyDescent="0.3">
      <c r="A384" s="115">
        <v>380</v>
      </c>
      <c r="B384" s="121">
        <v>379</v>
      </c>
      <c r="C384" s="125">
        <v>46139</v>
      </c>
      <c r="D384" s="121" t="s">
        <v>780</v>
      </c>
      <c r="E384" s="125">
        <v>46139</v>
      </c>
      <c r="F384" s="121" t="s">
        <v>781</v>
      </c>
      <c r="G384" s="121" t="s">
        <v>85</v>
      </c>
      <c r="H384" s="126">
        <v>13900</v>
      </c>
      <c r="I384" s="126">
        <v>34070</v>
      </c>
      <c r="J384" s="126">
        <v>20170</v>
      </c>
    </row>
    <row r="385" spans="1:10" x14ac:dyDescent="0.3">
      <c r="A385" s="115">
        <v>381</v>
      </c>
      <c r="B385" s="121">
        <v>380</v>
      </c>
      <c r="C385" s="125">
        <v>46139</v>
      </c>
      <c r="D385" s="121" t="s">
        <v>782</v>
      </c>
      <c r="E385" s="125">
        <v>46139</v>
      </c>
      <c r="F385" s="121" t="s">
        <v>783</v>
      </c>
      <c r="G385" s="121" t="s">
        <v>64</v>
      </c>
      <c r="H385" s="126">
        <v>14020</v>
      </c>
      <c r="I385" s="126">
        <v>34920</v>
      </c>
      <c r="J385" s="126">
        <v>20900</v>
      </c>
    </row>
    <row r="386" spans="1:10" x14ac:dyDescent="0.3">
      <c r="A386" s="115">
        <v>382</v>
      </c>
      <c r="B386" s="121">
        <v>382</v>
      </c>
      <c r="C386" s="125">
        <v>46139</v>
      </c>
      <c r="D386" s="121" t="s">
        <v>784</v>
      </c>
      <c r="E386" s="125">
        <v>46139</v>
      </c>
      <c r="F386" s="121" t="s">
        <v>785</v>
      </c>
      <c r="G386" s="121" t="s">
        <v>80</v>
      </c>
      <c r="H386" s="126">
        <v>13930</v>
      </c>
      <c r="I386" s="126">
        <v>35310</v>
      </c>
      <c r="J386" s="126">
        <v>21380</v>
      </c>
    </row>
    <row r="387" spans="1:10" x14ac:dyDescent="0.3">
      <c r="A387" s="115">
        <v>383</v>
      </c>
      <c r="B387" s="121">
        <v>388</v>
      </c>
      <c r="C387" s="125">
        <v>46140</v>
      </c>
      <c r="D387" s="121" t="s">
        <v>786</v>
      </c>
      <c r="E387" s="125">
        <v>46140</v>
      </c>
      <c r="F387" s="121" t="s">
        <v>787</v>
      </c>
      <c r="G387" s="121" t="s">
        <v>80</v>
      </c>
      <c r="H387" s="126">
        <v>13980</v>
      </c>
      <c r="I387" s="126">
        <v>35040</v>
      </c>
      <c r="J387" s="126">
        <v>21060</v>
      </c>
    </row>
    <row r="388" spans="1:10" x14ac:dyDescent="0.3">
      <c r="A388" s="115">
        <v>384</v>
      </c>
      <c r="B388" s="121">
        <v>393</v>
      </c>
      <c r="C388" s="125">
        <v>46140</v>
      </c>
      <c r="D388" s="121" t="s">
        <v>788</v>
      </c>
      <c r="E388" s="125">
        <v>46140</v>
      </c>
      <c r="F388" s="121" t="s">
        <v>789</v>
      </c>
      <c r="G388" s="121" t="s">
        <v>85</v>
      </c>
      <c r="H388" s="126">
        <v>14010</v>
      </c>
      <c r="I388" s="126">
        <v>33790</v>
      </c>
      <c r="J388" s="126">
        <v>19780</v>
      </c>
    </row>
    <row r="389" spans="1:10" x14ac:dyDescent="0.3">
      <c r="A389" s="115">
        <v>385</v>
      </c>
      <c r="B389" s="121">
        <v>394</v>
      </c>
      <c r="C389" s="125">
        <v>46140</v>
      </c>
      <c r="D389" s="121" t="s">
        <v>790</v>
      </c>
      <c r="E389" s="125">
        <v>46140</v>
      </c>
      <c r="F389" s="121" t="s">
        <v>791</v>
      </c>
      <c r="G389" s="121" t="s">
        <v>64</v>
      </c>
      <c r="H389" s="126">
        <v>14010</v>
      </c>
      <c r="I389" s="126">
        <v>33000</v>
      </c>
      <c r="J389" s="126">
        <v>18990</v>
      </c>
    </row>
    <row r="390" spans="1:10" x14ac:dyDescent="0.3">
      <c r="A390" s="115">
        <v>386</v>
      </c>
      <c r="B390" s="121">
        <v>402</v>
      </c>
      <c r="C390" s="125">
        <v>46140</v>
      </c>
      <c r="D390" s="121" t="s">
        <v>792</v>
      </c>
      <c r="E390" s="125">
        <v>46140</v>
      </c>
      <c r="F390" s="121" t="s">
        <v>793</v>
      </c>
      <c r="G390" s="121" t="s">
        <v>80</v>
      </c>
      <c r="H390" s="126">
        <v>13940</v>
      </c>
      <c r="I390" s="126">
        <v>31530</v>
      </c>
      <c r="J390" s="126">
        <v>17590</v>
      </c>
    </row>
    <row r="391" spans="1:10" x14ac:dyDescent="0.3">
      <c r="A391" s="115">
        <v>387</v>
      </c>
      <c r="B391" s="121">
        <v>404</v>
      </c>
      <c r="C391" s="125">
        <v>46140</v>
      </c>
      <c r="D391" s="121" t="s">
        <v>794</v>
      </c>
      <c r="E391" s="125">
        <v>46140</v>
      </c>
      <c r="F391" s="121" t="s">
        <v>795</v>
      </c>
      <c r="G391" s="121" t="s">
        <v>85</v>
      </c>
      <c r="H391" s="126">
        <v>13970</v>
      </c>
      <c r="I391" s="126">
        <v>32360</v>
      </c>
      <c r="J391" s="126">
        <v>18390</v>
      </c>
    </row>
    <row r="392" spans="1:10" x14ac:dyDescent="0.3">
      <c r="A392" s="115">
        <v>388</v>
      </c>
      <c r="B392" s="121">
        <v>405</v>
      </c>
      <c r="C392" s="125">
        <v>46140</v>
      </c>
      <c r="D392" s="121" t="s">
        <v>796</v>
      </c>
      <c r="E392" s="125">
        <v>46140</v>
      </c>
      <c r="F392" s="121" t="s">
        <v>797</v>
      </c>
      <c r="G392" s="121" t="s">
        <v>64</v>
      </c>
      <c r="H392" s="126">
        <v>13960</v>
      </c>
      <c r="I392" s="126">
        <v>33040</v>
      </c>
      <c r="J392" s="126">
        <v>19080</v>
      </c>
    </row>
    <row r="393" spans="1:10" x14ac:dyDescent="0.3">
      <c r="A393" s="115">
        <v>389</v>
      </c>
      <c r="B393" s="121">
        <v>415</v>
      </c>
      <c r="C393" s="125">
        <v>46140</v>
      </c>
      <c r="D393" s="121" t="s">
        <v>798</v>
      </c>
      <c r="E393" s="125">
        <v>46140</v>
      </c>
      <c r="F393" s="121" t="s">
        <v>799</v>
      </c>
      <c r="G393" s="121" t="s">
        <v>85</v>
      </c>
      <c r="H393" s="126">
        <v>13940</v>
      </c>
      <c r="I393" s="126">
        <v>32140</v>
      </c>
      <c r="J393" s="126">
        <v>18200</v>
      </c>
    </row>
    <row r="394" spans="1:10" x14ac:dyDescent="0.3">
      <c r="A394" s="115">
        <v>390</v>
      </c>
      <c r="B394" s="121">
        <v>416</v>
      </c>
      <c r="C394" s="125">
        <v>46140</v>
      </c>
      <c r="D394" s="121" t="s">
        <v>800</v>
      </c>
      <c r="E394" s="125">
        <v>46140</v>
      </c>
      <c r="F394" s="121" t="s">
        <v>801</v>
      </c>
      <c r="G394" s="121" t="s">
        <v>80</v>
      </c>
      <c r="H394" s="126">
        <v>13920</v>
      </c>
      <c r="I394" s="126">
        <v>33080</v>
      </c>
      <c r="J394" s="126">
        <v>19160</v>
      </c>
    </row>
    <row r="395" spans="1:10" x14ac:dyDescent="0.3">
      <c r="A395" s="115">
        <v>391</v>
      </c>
      <c r="B395" s="121">
        <v>417</v>
      </c>
      <c r="C395" s="125">
        <v>46140</v>
      </c>
      <c r="D395" s="121" t="s">
        <v>802</v>
      </c>
      <c r="E395" s="125">
        <v>46140</v>
      </c>
      <c r="F395" s="121" t="s">
        <v>803</v>
      </c>
      <c r="G395" s="121" t="s">
        <v>64</v>
      </c>
      <c r="H395" s="126">
        <v>13940</v>
      </c>
      <c r="I395" s="126">
        <v>33470</v>
      </c>
      <c r="J395" s="126">
        <v>19530</v>
      </c>
    </row>
    <row r="396" spans="1:10" x14ac:dyDescent="0.3">
      <c r="A396" s="115">
        <v>392</v>
      </c>
      <c r="B396" s="121">
        <v>427</v>
      </c>
      <c r="C396" s="125">
        <v>46140</v>
      </c>
      <c r="D396" s="121" t="s">
        <v>804</v>
      </c>
      <c r="E396" s="125">
        <v>46140</v>
      </c>
      <c r="F396" s="121" t="s">
        <v>805</v>
      </c>
      <c r="G396" s="121" t="s">
        <v>85</v>
      </c>
      <c r="H396" s="126">
        <v>13900</v>
      </c>
      <c r="I396" s="126">
        <v>31920</v>
      </c>
      <c r="J396" s="126">
        <v>18020</v>
      </c>
    </row>
    <row r="397" spans="1:10" x14ac:dyDescent="0.3">
      <c r="A397" s="115">
        <v>393</v>
      </c>
      <c r="B397" s="121">
        <v>428</v>
      </c>
      <c r="C397" s="125">
        <v>46140</v>
      </c>
      <c r="D397" s="121" t="s">
        <v>806</v>
      </c>
      <c r="E397" s="125">
        <v>46140</v>
      </c>
      <c r="F397" s="121" t="s">
        <v>807</v>
      </c>
      <c r="G397" s="121" t="s">
        <v>80</v>
      </c>
      <c r="H397" s="126">
        <v>14210</v>
      </c>
      <c r="I397" s="126">
        <v>33540</v>
      </c>
      <c r="J397" s="126">
        <v>19330</v>
      </c>
    </row>
    <row r="398" spans="1:10" x14ac:dyDescent="0.3">
      <c r="A398" s="115">
        <v>394</v>
      </c>
      <c r="B398" s="121">
        <v>429</v>
      </c>
      <c r="C398" s="125">
        <v>46140</v>
      </c>
      <c r="D398" s="121" t="s">
        <v>808</v>
      </c>
      <c r="E398" s="125">
        <v>46140</v>
      </c>
      <c r="F398" s="121" t="s">
        <v>809</v>
      </c>
      <c r="G398" s="121" t="s">
        <v>64</v>
      </c>
      <c r="H398" s="126">
        <v>13910</v>
      </c>
      <c r="I398" s="126">
        <v>33300</v>
      </c>
      <c r="J398" s="126">
        <v>19390</v>
      </c>
    </row>
    <row r="399" spans="1:10" x14ac:dyDescent="0.3">
      <c r="A399" s="115">
        <v>395</v>
      </c>
      <c r="B399" s="121">
        <v>438</v>
      </c>
      <c r="C399" s="125">
        <v>46140</v>
      </c>
      <c r="D399" s="121" t="s">
        <v>810</v>
      </c>
      <c r="E399" s="125">
        <v>46140</v>
      </c>
      <c r="F399" s="121" t="s">
        <v>811</v>
      </c>
      <c r="G399" s="121" t="s">
        <v>85</v>
      </c>
      <c r="H399" s="126">
        <v>13830</v>
      </c>
      <c r="I399" s="126">
        <v>33030</v>
      </c>
      <c r="J399" s="126">
        <v>19200</v>
      </c>
    </row>
    <row r="400" spans="1:10" x14ac:dyDescent="0.3">
      <c r="A400" s="115">
        <v>396</v>
      </c>
      <c r="B400" s="121">
        <v>439</v>
      </c>
      <c r="C400" s="125">
        <v>46140</v>
      </c>
      <c r="D400" s="121" t="s">
        <v>812</v>
      </c>
      <c r="E400" s="125">
        <v>46140</v>
      </c>
      <c r="F400" s="121" t="s">
        <v>813</v>
      </c>
      <c r="G400" s="121" t="s">
        <v>80</v>
      </c>
      <c r="H400" s="126">
        <v>14200</v>
      </c>
      <c r="I400" s="126">
        <v>32610</v>
      </c>
      <c r="J400" s="126">
        <v>18410</v>
      </c>
    </row>
    <row r="401" spans="1:10" x14ac:dyDescent="0.3">
      <c r="A401" s="115">
        <v>397</v>
      </c>
      <c r="B401" s="121">
        <v>442</v>
      </c>
      <c r="C401" s="125">
        <v>46140</v>
      </c>
      <c r="D401" s="121" t="s">
        <v>814</v>
      </c>
      <c r="E401" s="125">
        <v>46140</v>
      </c>
      <c r="F401" s="121" t="s">
        <v>815</v>
      </c>
      <c r="G401" s="121" t="s">
        <v>64</v>
      </c>
      <c r="H401" s="126">
        <v>13840</v>
      </c>
      <c r="I401" s="126">
        <v>33250</v>
      </c>
      <c r="J401" s="126">
        <v>19410</v>
      </c>
    </row>
    <row r="402" spans="1:10" x14ac:dyDescent="0.3">
      <c r="A402" s="115">
        <v>398</v>
      </c>
      <c r="B402" s="121">
        <v>450</v>
      </c>
      <c r="C402" s="125">
        <v>46140</v>
      </c>
      <c r="D402" s="121" t="s">
        <v>816</v>
      </c>
      <c r="E402" s="125">
        <v>46140</v>
      </c>
      <c r="F402" s="121" t="s">
        <v>817</v>
      </c>
      <c r="G402" s="121" t="s">
        <v>85</v>
      </c>
      <c r="H402" s="126">
        <v>13830</v>
      </c>
      <c r="I402" s="126">
        <v>34980</v>
      </c>
      <c r="J402" s="126">
        <v>21150</v>
      </c>
    </row>
    <row r="403" spans="1:10" x14ac:dyDescent="0.3">
      <c r="A403" s="115">
        <v>399</v>
      </c>
      <c r="B403" s="121">
        <v>451</v>
      </c>
      <c r="C403" s="125">
        <v>46140</v>
      </c>
      <c r="D403" s="121" t="s">
        <v>818</v>
      </c>
      <c r="E403" s="125">
        <v>46140</v>
      </c>
      <c r="F403" s="121" t="s">
        <v>819</v>
      </c>
      <c r="G403" s="121" t="s">
        <v>80</v>
      </c>
      <c r="H403" s="126">
        <v>14150</v>
      </c>
      <c r="I403" s="126">
        <v>34590</v>
      </c>
      <c r="J403" s="126">
        <v>20440</v>
      </c>
    </row>
    <row r="404" spans="1:10" x14ac:dyDescent="0.3">
      <c r="A404" s="115">
        <v>400</v>
      </c>
      <c r="B404" s="121">
        <v>453</v>
      </c>
      <c r="C404" s="125">
        <v>46140</v>
      </c>
      <c r="D404" s="121" t="s">
        <v>820</v>
      </c>
      <c r="E404" s="125">
        <v>46140</v>
      </c>
      <c r="F404" s="121" t="s">
        <v>821</v>
      </c>
      <c r="G404" s="121" t="s">
        <v>64</v>
      </c>
      <c r="H404" s="126">
        <v>14050</v>
      </c>
      <c r="I404" s="126">
        <v>34360</v>
      </c>
      <c r="J404" s="126">
        <v>20310</v>
      </c>
    </row>
    <row r="405" spans="1:10" s="106" customFormat="1" x14ac:dyDescent="0.3">
      <c r="A405" s="267" t="s">
        <v>320</v>
      </c>
      <c r="B405" s="267"/>
      <c r="C405" s="267"/>
      <c r="D405" s="267"/>
      <c r="E405" s="267"/>
      <c r="F405" s="267"/>
      <c r="G405" s="267"/>
      <c r="H405" s="267"/>
      <c r="I405" s="267"/>
      <c r="J405" s="127">
        <f>SUM(J5:J404)</f>
        <v>7701540</v>
      </c>
    </row>
    <row r="406" spans="1:10" x14ac:dyDescent="0.3">
      <c r="A406" s="110"/>
      <c r="B406" s="110"/>
      <c r="C406" s="104"/>
      <c r="D406" s="101"/>
      <c r="E406" s="101"/>
      <c r="F406" s="101"/>
      <c r="G406" s="268" t="s">
        <v>835</v>
      </c>
      <c r="H406" s="268"/>
      <c r="I406" s="268"/>
      <c r="J406" s="268"/>
    </row>
    <row r="407" spans="1:10" x14ac:dyDescent="0.3">
      <c r="A407" s="262" t="s">
        <v>333</v>
      </c>
      <c r="B407" s="262"/>
      <c r="C407" s="262"/>
      <c r="D407" s="262"/>
      <c r="E407" s="262"/>
      <c r="F407" s="262"/>
      <c r="G407" s="263" t="s">
        <v>45</v>
      </c>
      <c r="H407" s="263"/>
      <c r="I407" s="263"/>
      <c r="J407" s="263"/>
    </row>
    <row r="408" spans="1:10" x14ac:dyDescent="0.3">
      <c r="A408" s="111"/>
      <c r="B408" s="263" t="s">
        <v>829</v>
      </c>
      <c r="C408" s="263"/>
      <c r="D408" s="263" t="s">
        <v>325</v>
      </c>
      <c r="E408" s="263"/>
      <c r="F408" s="107"/>
      <c r="G408" s="263" t="s">
        <v>830</v>
      </c>
      <c r="H408" s="263"/>
      <c r="I408" s="263" t="s">
        <v>325</v>
      </c>
      <c r="J408" s="263"/>
    </row>
    <row r="409" spans="1:10" x14ac:dyDescent="0.3">
      <c r="A409" s="112"/>
      <c r="B409" s="112"/>
      <c r="C409" s="108"/>
      <c r="D409" s="103"/>
      <c r="E409" s="103"/>
      <c r="F409" s="103"/>
      <c r="G409" s="103"/>
      <c r="H409" s="109"/>
      <c r="I409" s="109"/>
      <c r="J409" s="103"/>
    </row>
    <row r="410" spans="1:10" x14ac:dyDescent="0.3">
      <c r="A410" s="112"/>
      <c r="B410" s="112"/>
      <c r="C410" s="108"/>
      <c r="D410" s="103"/>
      <c r="E410" s="103"/>
      <c r="F410" s="103"/>
      <c r="G410" s="103"/>
      <c r="H410" s="109"/>
      <c r="I410" s="109"/>
      <c r="J410" s="103"/>
    </row>
    <row r="411" spans="1:10" x14ac:dyDescent="0.3">
      <c r="A411" s="112"/>
      <c r="B411" s="112"/>
      <c r="C411" s="108"/>
      <c r="D411" s="103"/>
      <c r="E411" s="103"/>
      <c r="F411" s="103"/>
      <c r="G411" s="103"/>
      <c r="H411" s="109"/>
      <c r="I411" s="109"/>
      <c r="J411" s="103"/>
    </row>
    <row r="412" spans="1:10" x14ac:dyDescent="0.3">
      <c r="A412" s="112"/>
      <c r="B412" s="263"/>
      <c r="C412" s="263"/>
      <c r="D412" s="263" t="s">
        <v>836</v>
      </c>
      <c r="E412" s="263"/>
      <c r="F412" s="103"/>
      <c r="G412" s="103"/>
      <c r="H412" s="109"/>
      <c r="I412" s="109"/>
      <c r="J412" s="103"/>
    </row>
    <row r="413" spans="1:10" x14ac:dyDescent="0.3">
      <c r="A413" s="113"/>
      <c r="B413" s="263" t="s">
        <v>832</v>
      </c>
      <c r="C413" s="263"/>
      <c r="D413" s="263"/>
      <c r="E413" s="263"/>
      <c r="F413" s="102"/>
      <c r="G413" s="263" t="s">
        <v>833</v>
      </c>
      <c r="H413" s="263"/>
      <c r="I413" s="269" t="s">
        <v>831</v>
      </c>
      <c r="J413" s="269"/>
    </row>
  </sheetData>
  <mergeCells count="16">
    <mergeCell ref="B412:C412"/>
    <mergeCell ref="D412:E413"/>
    <mergeCell ref="B413:C413"/>
    <mergeCell ref="G413:H413"/>
    <mergeCell ref="I413:J413"/>
    <mergeCell ref="A1:F1"/>
    <mergeCell ref="A2:F2"/>
    <mergeCell ref="A3:J3"/>
    <mergeCell ref="A405:I405"/>
    <mergeCell ref="G406:J406"/>
    <mergeCell ref="A407:F407"/>
    <mergeCell ref="G407:J407"/>
    <mergeCell ref="B408:C408"/>
    <mergeCell ref="D408:E408"/>
    <mergeCell ref="G408:H408"/>
    <mergeCell ref="I408:J408"/>
  </mergeCells>
  <pageMargins left="0.7" right="0.7" top="0.75" bottom="0.75" header="0.3" footer="0.3"/>
  <pageSetup paperSize="9" scale="62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6210-8BC8-47C6-BDE8-E1B6FFC8231F}">
  <dimension ref="A1:J774"/>
  <sheetViews>
    <sheetView zoomScaleNormal="100" workbookViewId="0">
      <selection activeCell="A765" sqref="A765"/>
    </sheetView>
  </sheetViews>
  <sheetFormatPr defaultRowHeight="18.75" x14ac:dyDescent="0.3"/>
  <cols>
    <col min="3" max="3" width="10.77734375" style="180" customWidth="1"/>
    <col min="4" max="4" width="10.44140625" style="180" customWidth="1"/>
    <col min="5" max="5" width="11.44140625" style="180" customWidth="1"/>
    <col min="6" max="6" width="11.109375" style="180" customWidth="1"/>
    <col min="7" max="7" width="12.77734375" customWidth="1"/>
    <col min="8" max="9" width="11.6640625" customWidth="1"/>
    <col min="10" max="10" width="13.5546875" customWidth="1"/>
  </cols>
  <sheetData>
    <row r="1" spans="1:10" x14ac:dyDescent="0.3">
      <c r="A1" s="270" t="s">
        <v>333</v>
      </c>
      <c r="B1" s="270"/>
      <c r="C1" s="270"/>
      <c r="D1" s="270"/>
      <c r="E1" s="270"/>
      <c r="F1" s="270"/>
    </row>
    <row r="2" spans="1:10" x14ac:dyDescent="0.3">
      <c r="A2" s="270" t="s">
        <v>834</v>
      </c>
      <c r="B2" s="270"/>
      <c r="C2" s="270"/>
      <c r="D2" s="270"/>
      <c r="E2" s="270"/>
      <c r="F2" s="270"/>
    </row>
    <row r="3" spans="1:10" ht="60.75" customHeight="1" x14ac:dyDescent="0.3">
      <c r="A3" s="265" t="s">
        <v>3081</v>
      </c>
      <c r="B3" s="266"/>
      <c r="C3" s="266"/>
      <c r="D3" s="266"/>
      <c r="E3" s="266"/>
      <c r="F3" s="266"/>
      <c r="G3" s="266"/>
      <c r="H3" s="266"/>
      <c r="I3" s="266"/>
      <c r="J3" s="266"/>
    </row>
    <row r="4" spans="1:10" x14ac:dyDescent="0.3">
      <c r="A4" s="128" t="s">
        <v>0</v>
      </c>
      <c r="B4" s="128" t="s">
        <v>1</v>
      </c>
      <c r="C4" s="128" t="s">
        <v>2</v>
      </c>
      <c r="D4" s="128" t="s">
        <v>3</v>
      </c>
      <c r="E4" s="128" t="s">
        <v>4</v>
      </c>
      <c r="F4" s="128" t="s">
        <v>5</v>
      </c>
      <c r="G4" s="129" t="s">
        <v>6</v>
      </c>
      <c r="H4" s="129" t="s">
        <v>7</v>
      </c>
      <c r="I4" s="129" t="s">
        <v>8</v>
      </c>
      <c r="J4" s="129" t="s">
        <v>9</v>
      </c>
    </row>
    <row r="5" spans="1:10" x14ac:dyDescent="0.3">
      <c r="A5" s="171">
        <v>1</v>
      </c>
      <c r="B5" s="171">
        <v>2378</v>
      </c>
      <c r="C5" s="172">
        <v>46192</v>
      </c>
      <c r="D5" s="173" t="s">
        <v>910</v>
      </c>
      <c r="E5" s="172">
        <v>46192</v>
      </c>
      <c r="F5" s="173" t="s">
        <v>911</v>
      </c>
      <c r="G5" s="174" t="s">
        <v>80</v>
      </c>
      <c r="H5" s="175">
        <v>14130</v>
      </c>
      <c r="I5" s="175">
        <v>32000</v>
      </c>
      <c r="J5" s="175">
        <v>17870</v>
      </c>
    </row>
    <row r="6" spans="1:10" x14ac:dyDescent="0.3">
      <c r="A6" s="171">
        <v>2</v>
      </c>
      <c r="B6" s="171">
        <v>2379</v>
      </c>
      <c r="C6" s="172">
        <v>46192</v>
      </c>
      <c r="D6" s="173" t="s">
        <v>912</v>
      </c>
      <c r="E6" s="172">
        <v>46192</v>
      </c>
      <c r="F6" s="173" t="s">
        <v>913</v>
      </c>
      <c r="G6" s="174" t="s">
        <v>43</v>
      </c>
      <c r="H6" s="175">
        <v>13970</v>
      </c>
      <c r="I6" s="175">
        <v>31960</v>
      </c>
      <c r="J6" s="175">
        <v>17990</v>
      </c>
    </row>
    <row r="7" spans="1:10" x14ac:dyDescent="0.3">
      <c r="A7" s="171">
        <v>3</v>
      </c>
      <c r="B7" s="171">
        <v>2380</v>
      </c>
      <c r="C7" s="172">
        <v>46192</v>
      </c>
      <c r="D7" s="173" t="s">
        <v>914</v>
      </c>
      <c r="E7" s="172">
        <v>46192</v>
      </c>
      <c r="F7" s="173" t="s">
        <v>915</v>
      </c>
      <c r="G7" s="174" t="s">
        <v>842</v>
      </c>
      <c r="H7" s="175">
        <v>13880</v>
      </c>
      <c r="I7" s="175">
        <v>31180</v>
      </c>
      <c r="J7" s="175">
        <v>17300</v>
      </c>
    </row>
    <row r="8" spans="1:10" x14ac:dyDescent="0.3">
      <c r="A8" s="171">
        <v>4</v>
      </c>
      <c r="B8" s="171">
        <v>2381</v>
      </c>
      <c r="C8" s="172">
        <v>46193</v>
      </c>
      <c r="D8" s="173" t="s">
        <v>916</v>
      </c>
      <c r="E8" s="172">
        <v>46193</v>
      </c>
      <c r="F8" s="173" t="s">
        <v>917</v>
      </c>
      <c r="G8" s="174" t="s">
        <v>143</v>
      </c>
      <c r="H8" s="175">
        <v>13790</v>
      </c>
      <c r="I8" s="175">
        <v>30900</v>
      </c>
      <c r="J8" s="175">
        <v>17110</v>
      </c>
    </row>
    <row r="9" spans="1:10" x14ac:dyDescent="0.3">
      <c r="A9" s="171">
        <v>5</v>
      </c>
      <c r="B9" s="171">
        <v>2382</v>
      </c>
      <c r="C9" s="172">
        <v>46193</v>
      </c>
      <c r="D9" s="173" t="s">
        <v>918</v>
      </c>
      <c r="E9" s="172">
        <v>46193</v>
      </c>
      <c r="F9" s="173" t="s">
        <v>919</v>
      </c>
      <c r="G9" s="174" t="s">
        <v>335</v>
      </c>
      <c r="H9" s="175">
        <v>13700</v>
      </c>
      <c r="I9" s="175">
        <v>30900</v>
      </c>
      <c r="J9" s="175">
        <v>17200</v>
      </c>
    </row>
    <row r="10" spans="1:10" x14ac:dyDescent="0.3">
      <c r="A10" s="171">
        <v>6</v>
      </c>
      <c r="B10" s="171">
        <v>2383</v>
      </c>
      <c r="C10" s="172">
        <v>46193</v>
      </c>
      <c r="D10" s="173" t="s">
        <v>920</v>
      </c>
      <c r="E10" s="172">
        <v>46193</v>
      </c>
      <c r="F10" s="173" t="s">
        <v>871</v>
      </c>
      <c r="G10" s="174" t="s">
        <v>537</v>
      </c>
      <c r="H10" s="175">
        <v>13940</v>
      </c>
      <c r="I10" s="175">
        <v>31090</v>
      </c>
      <c r="J10" s="175">
        <v>17150</v>
      </c>
    </row>
    <row r="11" spans="1:10" x14ac:dyDescent="0.3">
      <c r="A11" s="171">
        <v>7</v>
      </c>
      <c r="B11" s="171">
        <v>2384</v>
      </c>
      <c r="C11" s="172">
        <v>46193</v>
      </c>
      <c r="D11" s="173" t="s">
        <v>921</v>
      </c>
      <c r="E11" s="172">
        <v>46193</v>
      </c>
      <c r="F11" s="173" t="s">
        <v>922</v>
      </c>
      <c r="G11" s="174" t="s">
        <v>844</v>
      </c>
      <c r="H11" s="175">
        <v>13910</v>
      </c>
      <c r="I11" s="175">
        <v>30640</v>
      </c>
      <c r="J11" s="175">
        <v>16730</v>
      </c>
    </row>
    <row r="12" spans="1:10" x14ac:dyDescent="0.3">
      <c r="A12" s="171">
        <v>8</v>
      </c>
      <c r="B12" s="171">
        <v>2385</v>
      </c>
      <c r="C12" s="172">
        <v>46193</v>
      </c>
      <c r="D12" s="173" t="s">
        <v>923</v>
      </c>
      <c r="E12" s="172">
        <v>46193</v>
      </c>
      <c r="F12" s="173" t="s">
        <v>924</v>
      </c>
      <c r="G12" s="174" t="s">
        <v>64</v>
      </c>
      <c r="H12" s="175">
        <v>13990</v>
      </c>
      <c r="I12" s="175">
        <v>31370</v>
      </c>
      <c r="J12" s="175">
        <v>17380</v>
      </c>
    </row>
    <row r="13" spans="1:10" x14ac:dyDescent="0.3">
      <c r="A13" s="171">
        <v>9</v>
      </c>
      <c r="B13" s="171" t="s">
        <v>925</v>
      </c>
      <c r="C13" s="172">
        <v>46194</v>
      </c>
      <c r="D13" s="173" t="s">
        <v>926</v>
      </c>
      <c r="E13" s="172">
        <v>46194</v>
      </c>
      <c r="F13" s="173" t="s">
        <v>927</v>
      </c>
      <c r="G13" s="174" t="s">
        <v>80</v>
      </c>
      <c r="H13" s="175">
        <v>14190</v>
      </c>
      <c r="I13" s="175">
        <v>30130</v>
      </c>
      <c r="J13" s="175">
        <v>15940</v>
      </c>
    </row>
    <row r="14" spans="1:10" x14ac:dyDescent="0.3">
      <c r="A14" s="171">
        <v>10</v>
      </c>
      <c r="B14" s="171" t="s">
        <v>928</v>
      </c>
      <c r="C14" s="172">
        <v>46194</v>
      </c>
      <c r="D14" s="173" t="s">
        <v>929</v>
      </c>
      <c r="E14" s="172">
        <v>46194</v>
      </c>
      <c r="F14" s="173" t="s">
        <v>930</v>
      </c>
      <c r="G14" s="174" t="s">
        <v>335</v>
      </c>
      <c r="H14" s="175">
        <v>14020</v>
      </c>
      <c r="I14" s="175">
        <v>30140</v>
      </c>
      <c r="J14" s="175">
        <v>16120</v>
      </c>
    </row>
    <row r="15" spans="1:10" x14ac:dyDescent="0.3">
      <c r="A15" s="171">
        <v>11</v>
      </c>
      <c r="B15" s="171" t="s">
        <v>931</v>
      </c>
      <c r="C15" s="172">
        <v>46194</v>
      </c>
      <c r="D15" s="173" t="s">
        <v>932</v>
      </c>
      <c r="E15" s="172">
        <v>46194</v>
      </c>
      <c r="F15" s="173" t="s">
        <v>933</v>
      </c>
      <c r="G15" s="174" t="s">
        <v>43</v>
      </c>
      <c r="H15" s="175">
        <v>13930</v>
      </c>
      <c r="I15" s="175">
        <v>30170</v>
      </c>
      <c r="J15" s="175">
        <v>16240</v>
      </c>
    </row>
    <row r="16" spans="1:10" x14ac:dyDescent="0.3">
      <c r="A16" s="171">
        <v>12</v>
      </c>
      <c r="B16" s="171" t="s">
        <v>934</v>
      </c>
      <c r="C16" s="172">
        <v>46194</v>
      </c>
      <c r="D16" s="173" t="s">
        <v>366</v>
      </c>
      <c r="E16" s="172">
        <v>46194</v>
      </c>
      <c r="F16" s="173" t="s">
        <v>935</v>
      </c>
      <c r="G16" s="174" t="s">
        <v>90</v>
      </c>
      <c r="H16" s="175">
        <v>14010</v>
      </c>
      <c r="I16" s="175">
        <v>32070</v>
      </c>
      <c r="J16" s="175">
        <v>18060</v>
      </c>
    </row>
    <row r="17" spans="1:10" x14ac:dyDescent="0.3">
      <c r="A17" s="171">
        <v>13</v>
      </c>
      <c r="B17" s="171" t="s">
        <v>936</v>
      </c>
      <c r="C17" s="172">
        <v>46194</v>
      </c>
      <c r="D17" s="173" t="s">
        <v>937</v>
      </c>
      <c r="E17" s="172">
        <v>46194</v>
      </c>
      <c r="F17" s="173" t="s">
        <v>938</v>
      </c>
      <c r="G17" s="174" t="s">
        <v>839</v>
      </c>
      <c r="H17" s="175">
        <v>14070</v>
      </c>
      <c r="I17" s="175">
        <v>32020</v>
      </c>
      <c r="J17" s="175">
        <v>17950</v>
      </c>
    </row>
    <row r="18" spans="1:10" x14ac:dyDescent="0.3">
      <c r="A18" s="171">
        <v>14</v>
      </c>
      <c r="B18" s="171" t="s">
        <v>939</v>
      </c>
      <c r="C18" s="172">
        <v>46194</v>
      </c>
      <c r="D18" s="173" t="s">
        <v>940</v>
      </c>
      <c r="E18" s="172">
        <v>46194</v>
      </c>
      <c r="F18" s="173" t="s">
        <v>941</v>
      </c>
      <c r="G18" s="174" t="s">
        <v>842</v>
      </c>
      <c r="H18" s="175">
        <v>14230</v>
      </c>
      <c r="I18" s="175">
        <v>32770</v>
      </c>
      <c r="J18" s="175">
        <v>18540</v>
      </c>
    </row>
    <row r="19" spans="1:10" x14ac:dyDescent="0.3">
      <c r="A19" s="171">
        <v>15</v>
      </c>
      <c r="B19" s="171" t="s">
        <v>942</v>
      </c>
      <c r="C19" s="172">
        <v>46194</v>
      </c>
      <c r="D19" s="173" t="s">
        <v>943</v>
      </c>
      <c r="E19" s="172">
        <v>46194</v>
      </c>
      <c r="F19" s="173" t="s">
        <v>944</v>
      </c>
      <c r="G19" s="174" t="s">
        <v>55</v>
      </c>
      <c r="H19" s="175">
        <v>13720</v>
      </c>
      <c r="I19" s="175">
        <v>31700</v>
      </c>
      <c r="J19" s="175">
        <v>17980</v>
      </c>
    </row>
    <row r="20" spans="1:10" x14ac:dyDescent="0.3">
      <c r="A20" s="171">
        <v>16</v>
      </c>
      <c r="B20" s="171" t="s">
        <v>945</v>
      </c>
      <c r="C20" s="172">
        <v>46194</v>
      </c>
      <c r="D20" s="173" t="s">
        <v>946</v>
      </c>
      <c r="E20" s="172">
        <v>46194</v>
      </c>
      <c r="F20" s="173" t="s">
        <v>947</v>
      </c>
      <c r="G20" s="174" t="s">
        <v>143</v>
      </c>
      <c r="H20" s="175">
        <v>13760</v>
      </c>
      <c r="I20" s="175">
        <v>31150</v>
      </c>
      <c r="J20" s="175">
        <v>17390</v>
      </c>
    </row>
    <row r="21" spans="1:10" x14ac:dyDescent="0.3">
      <c r="A21" s="171">
        <v>17</v>
      </c>
      <c r="B21" s="171" t="s">
        <v>948</v>
      </c>
      <c r="C21" s="172">
        <v>46194</v>
      </c>
      <c r="D21" s="173" t="s">
        <v>949</v>
      </c>
      <c r="E21" s="172">
        <v>46194</v>
      </c>
      <c r="F21" s="173" t="s">
        <v>950</v>
      </c>
      <c r="G21" s="174" t="s">
        <v>841</v>
      </c>
      <c r="H21" s="175">
        <v>13750</v>
      </c>
      <c r="I21" s="175">
        <v>30460</v>
      </c>
      <c r="J21" s="175">
        <v>16710</v>
      </c>
    </row>
    <row r="22" spans="1:10" x14ac:dyDescent="0.3">
      <c r="A22" s="171">
        <v>18</v>
      </c>
      <c r="B22" s="171" t="s">
        <v>951</v>
      </c>
      <c r="C22" s="172">
        <v>46194</v>
      </c>
      <c r="D22" s="173" t="s">
        <v>952</v>
      </c>
      <c r="E22" s="172">
        <v>46194</v>
      </c>
      <c r="F22" s="173" t="s">
        <v>953</v>
      </c>
      <c r="G22" s="174" t="s">
        <v>337</v>
      </c>
      <c r="H22" s="175">
        <v>13850</v>
      </c>
      <c r="I22" s="175">
        <v>31660</v>
      </c>
      <c r="J22" s="175">
        <v>17810</v>
      </c>
    </row>
    <row r="23" spans="1:10" x14ac:dyDescent="0.3">
      <c r="A23" s="171">
        <v>19</v>
      </c>
      <c r="B23" s="171" t="s">
        <v>954</v>
      </c>
      <c r="C23" s="172">
        <v>46194</v>
      </c>
      <c r="D23" s="173" t="s">
        <v>955</v>
      </c>
      <c r="E23" s="172">
        <v>46194</v>
      </c>
      <c r="F23" s="173" t="s">
        <v>956</v>
      </c>
      <c r="G23" s="174" t="s">
        <v>76</v>
      </c>
      <c r="H23" s="175">
        <v>13970</v>
      </c>
      <c r="I23" s="175">
        <v>31940</v>
      </c>
      <c r="J23" s="175">
        <v>17970</v>
      </c>
    </row>
    <row r="24" spans="1:10" x14ac:dyDescent="0.3">
      <c r="A24" s="171">
        <v>20</v>
      </c>
      <c r="B24" s="171" t="s">
        <v>957</v>
      </c>
      <c r="C24" s="172">
        <v>46194</v>
      </c>
      <c r="D24" s="173" t="s">
        <v>958</v>
      </c>
      <c r="E24" s="172">
        <v>46194</v>
      </c>
      <c r="F24" s="173" t="s">
        <v>959</v>
      </c>
      <c r="G24" s="174" t="s">
        <v>64</v>
      </c>
      <c r="H24" s="175">
        <v>13970</v>
      </c>
      <c r="I24" s="175">
        <v>31170</v>
      </c>
      <c r="J24" s="175">
        <v>17200</v>
      </c>
    </row>
    <row r="25" spans="1:10" x14ac:dyDescent="0.3">
      <c r="A25" s="171">
        <v>21</v>
      </c>
      <c r="B25" s="171" t="s">
        <v>960</v>
      </c>
      <c r="C25" s="172">
        <v>46194</v>
      </c>
      <c r="D25" s="173" t="s">
        <v>961</v>
      </c>
      <c r="E25" s="172">
        <v>46194</v>
      </c>
      <c r="F25" s="173" t="s">
        <v>962</v>
      </c>
      <c r="G25" s="174" t="s">
        <v>85</v>
      </c>
      <c r="H25" s="175">
        <v>13860</v>
      </c>
      <c r="I25" s="175">
        <v>30920</v>
      </c>
      <c r="J25" s="175">
        <v>17060</v>
      </c>
    </row>
    <row r="26" spans="1:10" x14ac:dyDescent="0.3">
      <c r="A26" s="171">
        <v>22</v>
      </c>
      <c r="B26" s="171" t="s">
        <v>963</v>
      </c>
      <c r="C26" s="172">
        <v>46194</v>
      </c>
      <c r="D26" s="173" t="s">
        <v>964</v>
      </c>
      <c r="E26" s="172">
        <v>46194</v>
      </c>
      <c r="F26" s="173" t="s">
        <v>897</v>
      </c>
      <c r="G26" s="174" t="s">
        <v>336</v>
      </c>
      <c r="H26" s="175">
        <v>13770</v>
      </c>
      <c r="I26" s="175">
        <v>31010</v>
      </c>
      <c r="J26" s="175">
        <v>17240</v>
      </c>
    </row>
    <row r="27" spans="1:10" x14ac:dyDescent="0.3">
      <c r="A27" s="171">
        <v>23</v>
      </c>
      <c r="B27" s="171" t="s">
        <v>965</v>
      </c>
      <c r="C27" s="172">
        <v>46194</v>
      </c>
      <c r="D27" s="173" t="s">
        <v>636</v>
      </c>
      <c r="E27" s="172">
        <v>46194</v>
      </c>
      <c r="F27" s="173" t="s">
        <v>966</v>
      </c>
      <c r="G27" s="174" t="s">
        <v>844</v>
      </c>
      <c r="H27" s="175">
        <v>13840</v>
      </c>
      <c r="I27" s="175">
        <v>31730</v>
      </c>
      <c r="J27" s="175">
        <v>17890</v>
      </c>
    </row>
    <row r="28" spans="1:10" x14ac:dyDescent="0.3">
      <c r="A28" s="171">
        <v>24</v>
      </c>
      <c r="B28" s="171" t="s">
        <v>967</v>
      </c>
      <c r="C28" s="172">
        <v>46194</v>
      </c>
      <c r="D28" s="173" t="s">
        <v>968</v>
      </c>
      <c r="E28" s="172">
        <v>46194</v>
      </c>
      <c r="F28" s="173" t="s">
        <v>969</v>
      </c>
      <c r="G28" s="174" t="s">
        <v>80</v>
      </c>
      <c r="H28" s="175">
        <v>14170</v>
      </c>
      <c r="I28" s="175">
        <v>29890</v>
      </c>
      <c r="J28" s="175">
        <v>15720</v>
      </c>
    </row>
    <row r="29" spans="1:10" x14ac:dyDescent="0.3">
      <c r="A29" s="171">
        <v>25</v>
      </c>
      <c r="B29" s="171" t="s">
        <v>970</v>
      </c>
      <c r="C29" s="172">
        <v>46194</v>
      </c>
      <c r="D29" s="173" t="s">
        <v>971</v>
      </c>
      <c r="E29" s="172">
        <v>46194</v>
      </c>
      <c r="F29" s="173" t="s">
        <v>972</v>
      </c>
      <c r="G29" s="174" t="s">
        <v>335</v>
      </c>
      <c r="H29" s="175">
        <v>13990</v>
      </c>
      <c r="I29" s="175">
        <v>31010</v>
      </c>
      <c r="J29" s="175">
        <v>17020</v>
      </c>
    </row>
    <row r="30" spans="1:10" x14ac:dyDescent="0.3">
      <c r="A30" s="171">
        <v>26</v>
      </c>
      <c r="B30" s="171" t="s">
        <v>973</v>
      </c>
      <c r="C30" s="172">
        <v>46194</v>
      </c>
      <c r="D30" s="173" t="s">
        <v>974</v>
      </c>
      <c r="E30" s="172">
        <v>46194</v>
      </c>
      <c r="F30" s="173" t="s">
        <v>975</v>
      </c>
      <c r="G30" s="174" t="s">
        <v>43</v>
      </c>
      <c r="H30" s="175">
        <v>13890</v>
      </c>
      <c r="I30" s="175">
        <v>31540</v>
      </c>
      <c r="J30" s="175">
        <v>17650</v>
      </c>
    </row>
    <row r="31" spans="1:10" x14ac:dyDescent="0.3">
      <c r="A31" s="171">
        <v>27</v>
      </c>
      <c r="B31" s="171" t="s">
        <v>976</v>
      </c>
      <c r="C31" s="172">
        <v>46194</v>
      </c>
      <c r="D31" s="173" t="s">
        <v>977</v>
      </c>
      <c r="E31" s="172">
        <v>46194</v>
      </c>
      <c r="F31" s="173" t="s">
        <v>978</v>
      </c>
      <c r="G31" s="174" t="s">
        <v>839</v>
      </c>
      <c r="H31" s="175">
        <v>13980</v>
      </c>
      <c r="I31" s="175">
        <v>32200</v>
      </c>
      <c r="J31" s="175">
        <v>18220</v>
      </c>
    </row>
    <row r="32" spans="1:10" x14ac:dyDescent="0.3">
      <c r="A32" s="171">
        <v>28</v>
      </c>
      <c r="B32" s="171" t="s">
        <v>979</v>
      </c>
      <c r="C32" s="172">
        <v>46194</v>
      </c>
      <c r="D32" s="173" t="s">
        <v>980</v>
      </c>
      <c r="E32" s="172">
        <v>46194</v>
      </c>
      <c r="F32" s="173" t="s">
        <v>981</v>
      </c>
      <c r="G32" s="174" t="s">
        <v>90</v>
      </c>
      <c r="H32" s="175">
        <v>13980</v>
      </c>
      <c r="I32" s="175">
        <v>31070</v>
      </c>
      <c r="J32" s="175">
        <v>17090</v>
      </c>
    </row>
    <row r="33" spans="1:10" x14ac:dyDescent="0.3">
      <c r="A33" s="171">
        <v>29</v>
      </c>
      <c r="B33" s="171" t="s">
        <v>982</v>
      </c>
      <c r="C33" s="172">
        <v>46194</v>
      </c>
      <c r="D33" s="173" t="s">
        <v>415</v>
      </c>
      <c r="E33" s="172">
        <v>46194</v>
      </c>
      <c r="F33" s="173" t="s">
        <v>983</v>
      </c>
      <c r="G33" s="174" t="s">
        <v>842</v>
      </c>
      <c r="H33" s="175">
        <v>14230</v>
      </c>
      <c r="I33" s="175">
        <v>32210</v>
      </c>
      <c r="J33" s="175">
        <v>17980</v>
      </c>
    </row>
    <row r="34" spans="1:10" x14ac:dyDescent="0.3">
      <c r="A34" s="171">
        <v>30</v>
      </c>
      <c r="B34" s="171" t="s">
        <v>984</v>
      </c>
      <c r="C34" s="172">
        <v>46194</v>
      </c>
      <c r="D34" s="173" t="s">
        <v>985</v>
      </c>
      <c r="E34" s="172">
        <v>46194</v>
      </c>
      <c r="F34" s="173" t="s">
        <v>986</v>
      </c>
      <c r="G34" s="174" t="s">
        <v>55</v>
      </c>
      <c r="H34" s="175">
        <v>13690</v>
      </c>
      <c r="I34" s="175">
        <v>31600</v>
      </c>
      <c r="J34" s="175">
        <v>17910</v>
      </c>
    </row>
    <row r="35" spans="1:10" x14ac:dyDescent="0.3">
      <c r="A35" s="171">
        <v>31</v>
      </c>
      <c r="B35" s="171" t="s">
        <v>987</v>
      </c>
      <c r="C35" s="172">
        <v>46194</v>
      </c>
      <c r="D35" s="173" t="s">
        <v>988</v>
      </c>
      <c r="E35" s="172">
        <v>46194</v>
      </c>
      <c r="F35" s="173" t="s">
        <v>989</v>
      </c>
      <c r="G35" s="174" t="s">
        <v>143</v>
      </c>
      <c r="H35" s="175">
        <v>13720</v>
      </c>
      <c r="I35" s="175">
        <v>31720</v>
      </c>
      <c r="J35" s="175">
        <v>18000</v>
      </c>
    </row>
    <row r="36" spans="1:10" x14ac:dyDescent="0.3">
      <c r="A36" s="171">
        <v>32</v>
      </c>
      <c r="B36" s="171" t="s">
        <v>990</v>
      </c>
      <c r="C36" s="172">
        <v>46194</v>
      </c>
      <c r="D36" s="173" t="s">
        <v>991</v>
      </c>
      <c r="E36" s="172">
        <v>46194</v>
      </c>
      <c r="F36" s="173" t="s">
        <v>992</v>
      </c>
      <c r="G36" s="174" t="s">
        <v>337</v>
      </c>
      <c r="H36" s="175">
        <v>13830</v>
      </c>
      <c r="I36" s="175">
        <v>32260</v>
      </c>
      <c r="J36" s="175">
        <v>18430</v>
      </c>
    </row>
    <row r="37" spans="1:10" x14ac:dyDescent="0.3">
      <c r="A37" s="171">
        <v>33</v>
      </c>
      <c r="B37" s="171" t="s">
        <v>993</v>
      </c>
      <c r="C37" s="172">
        <v>46194</v>
      </c>
      <c r="D37" s="173" t="s">
        <v>994</v>
      </c>
      <c r="E37" s="172">
        <v>46194</v>
      </c>
      <c r="F37" s="173" t="s">
        <v>995</v>
      </c>
      <c r="G37" s="174" t="s">
        <v>76</v>
      </c>
      <c r="H37" s="175">
        <v>13930</v>
      </c>
      <c r="I37" s="175">
        <v>31020</v>
      </c>
      <c r="J37" s="175">
        <v>17090</v>
      </c>
    </row>
    <row r="38" spans="1:10" x14ac:dyDescent="0.3">
      <c r="A38" s="171">
        <v>34</v>
      </c>
      <c r="B38" s="171" t="s">
        <v>996</v>
      </c>
      <c r="C38" s="172">
        <v>46194</v>
      </c>
      <c r="D38" s="173" t="s">
        <v>997</v>
      </c>
      <c r="E38" s="172">
        <v>46194</v>
      </c>
      <c r="F38" s="173" t="s">
        <v>998</v>
      </c>
      <c r="G38" s="174" t="s">
        <v>841</v>
      </c>
      <c r="H38" s="175">
        <v>13650</v>
      </c>
      <c r="I38" s="175">
        <v>31430</v>
      </c>
      <c r="J38" s="175">
        <v>17780</v>
      </c>
    </row>
    <row r="39" spans="1:10" x14ac:dyDescent="0.3">
      <c r="A39" s="171">
        <v>35</v>
      </c>
      <c r="B39" s="171" t="s">
        <v>999</v>
      </c>
      <c r="C39" s="172">
        <v>46194</v>
      </c>
      <c r="D39" s="173" t="s">
        <v>1000</v>
      </c>
      <c r="E39" s="172">
        <v>46194</v>
      </c>
      <c r="F39" s="173" t="s">
        <v>1001</v>
      </c>
      <c r="G39" s="174" t="s">
        <v>64</v>
      </c>
      <c r="H39" s="175">
        <v>13940</v>
      </c>
      <c r="I39" s="175">
        <v>32120</v>
      </c>
      <c r="J39" s="175">
        <v>18180</v>
      </c>
    </row>
    <row r="40" spans="1:10" x14ac:dyDescent="0.3">
      <c r="A40" s="171">
        <v>36</v>
      </c>
      <c r="B40" s="171" t="s">
        <v>1002</v>
      </c>
      <c r="C40" s="172">
        <v>46194</v>
      </c>
      <c r="D40" s="173" t="s">
        <v>1003</v>
      </c>
      <c r="E40" s="172">
        <v>46194</v>
      </c>
      <c r="F40" s="173" t="s">
        <v>1004</v>
      </c>
      <c r="G40" s="174" t="s">
        <v>336</v>
      </c>
      <c r="H40" s="175">
        <v>13730</v>
      </c>
      <c r="I40" s="175">
        <v>31690</v>
      </c>
      <c r="J40" s="175">
        <v>17960</v>
      </c>
    </row>
    <row r="41" spans="1:10" x14ac:dyDescent="0.3">
      <c r="A41" s="171">
        <v>37</v>
      </c>
      <c r="B41" s="171" t="s">
        <v>1005</v>
      </c>
      <c r="C41" s="172">
        <v>46194</v>
      </c>
      <c r="D41" s="173" t="s">
        <v>1006</v>
      </c>
      <c r="E41" s="172">
        <v>46194</v>
      </c>
      <c r="F41" s="173" t="s">
        <v>1007</v>
      </c>
      <c r="G41" s="174" t="s">
        <v>85</v>
      </c>
      <c r="H41" s="175">
        <v>13810</v>
      </c>
      <c r="I41" s="175">
        <v>31960</v>
      </c>
      <c r="J41" s="175">
        <v>18150</v>
      </c>
    </row>
    <row r="42" spans="1:10" x14ac:dyDescent="0.3">
      <c r="A42" s="171">
        <v>38</v>
      </c>
      <c r="B42" s="171" t="s">
        <v>1008</v>
      </c>
      <c r="C42" s="172">
        <v>46194</v>
      </c>
      <c r="D42" s="173" t="s">
        <v>1009</v>
      </c>
      <c r="E42" s="172">
        <v>46194</v>
      </c>
      <c r="F42" s="173" t="s">
        <v>1010</v>
      </c>
      <c r="G42" s="174" t="s">
        <v>844</v>
      </c>
      <c r="H42" s="175">
        <v>13830</v>
      </c>
      <c r="I42" s="175">
        <v>30730</v>
      </c>
      <c r="J42" s="175">
        <v>16900</v>
      </c>
    </row>
    <row r="43" spans="1:10" x14ac:dyDescent="0.3">
      <c r="A43" s="171">
        <v>39</v>
      </c>
      <c r="B43" s="171" t="s">
        <v>1011</v>
      </c>
      <c r="C43" s="172">
        <v>46194</v>
      </c>
      <c r="D43" s="173" t="s">
        <v>1012</v>
      </c>
      <c r="E43" s="172">
        <v>46194</v>
      </c>
      <c r="F43" s="173" t="s">
        <v>1013</v>
      </c>
      <c r="G43" s="174" t="s">
        <v>80</v>
      </c>
      <c r="H43" s="175">
        <v>14140</v>
      </c>
      <c r="I43" s="175">
        <v>32620</v>
      </c>
      <c r="J43" s="175">
        <v>18480</v>
      </c>
    </row>
    <row r="44" spans="1:10" x14ac:dyDescent="0.3">
      <c r="A44" s="171">
        <v>40</v>
      </c>
      <c r="B44" s="171" t="s">
        <v>1014</v>
      </c>
      <c r="C44" s="172">
        <v>46194</v>
      </c>
      <c r="D44" s="173" t="s">
        <v>1015</v>
      </c>
      <c r="E44" s="172">
        <v>46194</v>
      </c>
      <c r="F44" s="173" t="s">
        <v>1016</v>
      </c>
      <c r="G44" s="174" t="s">
        <v>335</v>
      </c>
      <c r="H44" s="175">
        <v>13960</v>
      </c>
      <c r="I44" s="175">
        <v>31950</v>
      </c>
      <c r="J44" s="175">
        <v>17990</v>
      </c>
    </row>
    <row r="45" spans="1:10" x14ac:dyDescent="0.3">
      <c r="A45" s="171">
        <v>41</v>
      </c>
      <c r="B45" s="171" t="s">
        <v>1017</v>
      </c>
      <c r="C45" s="172">
        <v>46194</v>
      </c>
      <c r="D45" s="173" t="s">
        <v>1018</v>
      </c>
      <c r="E45" s="172">
        <v>46194</v>
      </c>
      <c r="F45" s="173" t="s">
        <v>1019</v>
      </c>
      <c r="G45" s="174" t="s">
        <v>43</v>
      </c>
      <c r="H45" s="175">
        <v>13890</v>
      </c>
      <c r="I45" s="175">
        <v>32060</v>
      </c>
      <c r="J45" s="175">
        <v>18170</v>
      </c>
    </row>
    <row r="46" spans="1:10" x14ac:dyDescent="0.3">
      <c r="A46" s="171">
        <v>42</v>
      </c>
      <c r="B46" s="171" t="s">
        <v>1020</v>
      </c>
      <c r="C46" s="172">
        <v>46194</v>
      </c>
      <c r="D46" s="173" t="s">
        <v>1021</v>
      </c>
      <c r="E46" s="172">
        <v>46194</v>
      </c>
      <c r="F46" s="173" t="s">
        <v>1022</v>
      </c>
      <c r="G46" s="174" t="s">
        <v>839</v>
      </c>
      <c r="H46" s="175">
        <v>14060</v>
      </c>
      <c r="I46" s="175">
        <v>32240</v>
      </c>
      <c r="J46" s="175">
        <v>18180</v>
      </c>
    </row>
    <row r="47" spans="1:10" x14ac:dyDescent="0.3">
      <c r="A47" s="171">
        <v>43</v>
      </c>
      <c r="B47" s="171" t="s">
        <v>1023</v>
      </c>
      <c r="C47" s="172">
        <v>46194</v>
      </c>
      <c r="D47" s="173" t="s">
        <v>1024</v>
      </c>
      <c r="E47" s="172">
        <v>46194</v>
      </c>
      <c r="F47" s="173" t="s">
        <v>1025</v>
      </c>
      <c r="G47" s="174" t="s">
        <v>90</v>
      </c>
      <c r="H47" s="175">
        <v>13940</v>
      </c>
      <c r="I47" s="175">
        <v>32090</v>
      </c>
      <c r="J47" s="175">
        <v>18150</v>
      </c>
    </row>
    <row r="48" spans="1:10" x14ac:dyDescent="0.3">
      <c r="A48" s="171">
        <v>44</v>
      </c>
      <c r="B48" s="171" t="s">
        <v>1026</v>
      </c>
      <c r="C48" s="172">
        <v>46194</v>
      </c>
      <c r="D48" s="173" t="s">
        <v>1027</v>
      </c>
      <c r="E48" s="172">
        <v>46194</v>
      </c>
      <c r="F48" s="173" t="s">
        <v>1028</v>
      </c>
      <c r="G48" s="174" t="s">
        <v>842</v>
      </c>
      <c r="H48" s="175">
        <v>14210</v>
      </c>
      <c r="I48" s="175">
        <v>32460</v>
      </c>
      <c r="J48" s="175">
        <v>18250</v>
      </c>
    </row>
    <row r="49" spans="1:10" x14ac:dyDescent="0.3">
      <c r="A49" s="171">
        <v>45</v>
      </c>
      <c r="B49" s="171" t="s">
        <v>1029</v>
      </c>
      <c r="C49" s="172">
        <v>46194</v>
      </c>
      <c r="D49" s="173" t="s">
        <v>1030</v>
      </c>
      <c r="E49" s="172">
        <v>46194</v>
      </c>
      <c r="F49" s="173" t="s">
        <v>1031</v>
      </c>
      <c r="G49" s="174" t="s">
        <v>55</v>
      </c>
      <c r="H49" s="175">
        <v>13670</v>
      </c>
      <c r="I49" s="175">
        <v>31930</v>
      </c>
      <c r="J49" s="175">
        <v>18260</v>
      </c>
    </row>
    <row r="50" spans="1:10" x14ac:dyDescent="0.3">
      <c r="A50" s="171">
        <v>46</v>
      </c>
      <c r="B50" s="171" t="s">
        <v>1032</v>
      </c>
      <c r="C50" s="172">
        <v>46194</v>
      </c>
      <c r="D50" s="173" t="s">
        <v>1033</v>
      </c>
      <c r="E50" s="172">
        <v>46194</v>
      </c>
      <c r="F50" s="173" t="s">
        <v>1034</v>
      </c>
      <c r="G50" s="174" t="s">
        <v>337</v>
      </c>
      <c r="H50" s="175">
        <v>13810</v>
      </c>
      <c r="I50" s="175">
        <v>31710</v>
      </c>
      <c r="J50" s="175">
        <v>17900</v>
      </c>
    </row>
    <row r="51" spans="1:10" x14ac:dyDescent="0.3">
      <c r="A51" s="171">
        <v>47</v>
      </c>
      <c r="B51" s="171" t="s">
        <v>1035</v>
      </c>
      <c r="C51" s="172">
        <v>46194</v>
      </c>
      <c r="D51" s="173" t="s">
        <v>1036</v>
      </c>
      <c r="E51" s="172">
        <v>46194</v>
      </c>
      <c r="F51" s="173" t="s">
        <v>1037</v>
      </c>
      <c r="G51" s="174" t="s">
        <v>143</v>
      </c>
      <c r="H51" s="175">
        <v>13700</v>
      </c>
      <c r="I51" s="175">
        <v>31860</v>
      </c>
      <c r="J51" s="175">
        <v>18160</v>
      </c>
    </row>
    <row r="52" spans="1:10" x14ac:dyDescent="0.3">
      <c r="A52" s="171">
        <v>48</v>
      </c>
      <c r="B52" s="171" t="s">
        <v>1038</v>
      </c>
      <c r="C52" s="172">
        <v>46194</v>
      </c>
      <c r="D52" s="173" t="s">
        <v>1039</v>
      </c>
      <c r="E52" s="172">
        <v>46194</v>
      </c>
      <c r="F52" s="173" t="s">
        <v>1040</v>
      </c>
      <c r="G52" s="174" t="s">
        <v>76</v>
      </c>
      <c r="H52" s="175">
        <v>13920</v>
      </c>
      <c r="I52" s="175">
        <v>32060</v>
      </c>
      <c r="J52" s="175">
        <v>18140</v>
      </c>
    </row>
    <row r="53" spans="1:10" x14ac:dyDescent="0.3">
      <c r="A53" s="171">
        <v>49</v>
      </c>
      <c r="B53" s="171" t="s">
        <v>1041</v>
      </c>
      <c r="C53" s="172">
        <v>46194</v>
      </c>
      <c r="D53" s="173" t="s">
        <v>1042</v>
      </c>
      <c r="E53" s="172">
        <v>46194</v>
      </c>
      <c r="F53" s="173" t="s">
        <v>1043</v>
      </c>
      <c r="G53" s="174" t="s">
        <v>841</v>
      </c>
      <c r="H53" s="175">
        <v>14060</v>
      </c>
      <c r="I53" s="175">
        <v>31300</v>
      </c>
      <c r="J53" s="175">
        <v>17240</v>
      </c>
    </row>
    <row r="54" spans="1:10" x14ac:dyDescent="0.3">
      <c r="A54" s="171">
        <v>50</v>
      </c>
      <c r="B54" s="171" t="s">
        <v>1044</v>
      </c>
      <c r="C54" s="172">
        <v>46194</v>
      </c>
      <c r="D54" s="173" t="s">
        <v>1045</v>
      </c>
      <c r="E54" s="172">
        <v>46194</v>
      </c>
      <c r="F54" s="173" t="s">
        <v>1046</v>
      </c>
      <c r="G54" s="174" t="s">
        <v>64</v>
      </c>
      <c r="H54" s="175">
        <v>13900</v>
      </c>
      <c r="I54" s="175">
        <v>31930</v>
      </c>
      <c r="J54" s="175">
        <v>18030</v>
      </c>
    </row>
    <row r="55" spans="1:10" x14ac:dyDescent="0.3">
      <c r="A55" s="171">
        <v>51</v>
      </c>
      <c r="B55" s="171" t="s">
        <v>1047</v>
      </c>
      <c r="C55" s="172">
        <v>46194</v>
      </c>
      <c r="D55" s="173" t="s">
        <v>1048</v>
      </c>
      <c r="E55" s="172">
        <v>46194</v>
      </c>
      <c r="F55" s="173" t="s">
        <v>878</v>
      </c>
      <c r="G55" s="174" t="s">
        <v>336</v>
      </c>
      <c r="H55" s="175">
        <v>13730</v>
      </c>
      <c r="I55" s="175">
        <v>32360</v>
      </c>
      <c r="J55" s="175">
        <v>18630</v>
      </c>
    </row>
    <row r="56" spans="1:10" x14ac:dyDescent="0.3">
      <c r="A56" s="171">
        <v>52</v>
      </c>
      <c r="B56" s="171" t="s">
        <v>1049</v>
      </c>
      <c r="C56" s="172">
        <v>46194</v>
      </c>
      <c r="D56" s="173" t="s">
        <v>1050</v>
      </c>
      <c r="E56" s="172">
        <v>46194</v>
      </c>
      <c r="F56" s="173" t="s">
        <v>1051</v>
      </c>
      <c r="G56" s="174" t="s">
        <v>844</v>
      </c>
      <c r="H56" s="175">
        <v>13940</v>
      </c>
      <c r="I56" s="175">
        <v>32380</v>
      </c>
      <c r="J56" s="175">
        <v>18440</v>
      </c>
    </row>
    <row r="57" spans="1:10" x14ac:dyDescent="0.3">
      <c r="A57" s="171">
        <v>53</v>
      </c>
      <c r="B57" s="171" t="s">
        <v>1052</v>
      </c>
      <c r="C57" s="172">
        <v>46194</v>
      </c>
      <c r="D57" s="173" t="s">
        <v>1053</v>
      </c>
      <c r="E57" s="172">
        <v>46194</v>
      </c>
      <c r="F57" s="173" t="s">
        <v>1054</v>
      </c>
      <c r="G57" s="174" t="s">
        <v>80</v>
      </c>
      <c r="H57" s="175">
        <v>14100</v>
      </c>
      <c r="I57" s="175">
        <v>32460</v>
      </c>
      <c r="J57" s="175">
        <v>18360</v>
      </c>
    </row>
    <row r="58" spans="1:10" x14ac:dyDescent="0.3">
      <c r="A58" s="171">
        <v>54</v>
      </c>
      <c r="B58" s="171" t="s">
        <v>1055</v>
      </c>
      <c r="C58" s="172">
        <v>46194</v>
      </c>
      <c r="D58" s="173" t="s">
        <v>1056</v>
      </c>
      <c r="E58" s="172">
        <v>46194</v>
      </c>
      <c r="F58" s="173" t="s">
        <v>1057</v>
      </c>
      <c r="G58" s="174" t="s">
        <v>335</v>
      </c>
      <c r="H58" s="175">
        <v>13940</v>
      </c>
      <c r="I58" s="175">
        <v>31710</v>
      </c>
      <c r="J58" s="175">
        <v>17770</v>
      </c>
    </row>
    <row r="59" spans="1:10" x14ac:dyDescent="0.3">
      <c r="A59" s="171">
        <v>55</v>
      </c>
      <c r="B59" s="171" t="s">
        <v>1058</v>
      </c>
      <c r="C59" s="172">
        <v>46194</v>
      </c>
      <c r="D59" s="173" t="s">
        <v>1059</v>
      </c>
      <c r="E59" s="172">
        <v>46194</v>
      </c>
      <c r="F59" s="173" t="s">
        <v>1060</v>
      </c>
      <c r="G59" s="174" t="s">
        <v>839</v>
      </c>
      <c r="H59" s="175">
        <v>13990</v>
      </c>
      <c r="I59" s="175">
        <v>30150</v>
      </c>
      <c r="J59" s="175">
        <v>16160</v>
      </c>
    </row>
    <row r="60" spans="1:10" x14ac:dyDescent="0.3">
      <c r="A60" s="171">
        <v>56</v>
      </c>
      <c r="B60" s="171" t="s">
        <v>1061</v>
      </c>
      <c r="C60" s="172">
        <v>46194</v>
      </c>
      <c r="D60" s="173" t="s">
        <v>1062</v>
      </c>
      <c r="E60" s="172">
        <v>46194</v>
      </c>
      <c r="F60" s="173" t="s">
        <v>1063</v>
      </c>
      <c r="G60" s="174" t="s">
        <v>90</v>
      </c>
      <c r="H60" s="175">
        <v>13920</v>
      </c>
      <c r="I60" s="175">
        <v>31210</v>
      </c>
      <c r="J60" s="175">
        <v>17290</v>
      </c>
    </row>
    <row r="61" spans="1:10" x14ac:dyDescent="0.3">
      <c r="A61" s="171">
        <v>57</v>
      </c>
      <c r="B61" s="171" t="s">
        <v>1064</v>
      </c>
      <c r="C61" s="172">
        <v>46194</v>
      </c>
      <c r="D61" s="173" t="s">
        <v>1065</v>
      </c>
      <c r="E61" s="172">
        <v>46194</v>
      </c>
      <c r="F61" s="173" t="s">
        <v>1066</v>
      </c>
      <c r="G61" s="174" t="s">
        <v>43</v>
      </c>
      <c r="H61" s="175">
        <v>29710</v>
      </c>
      <c r="I61" s="175">
        <v>13940</v>
      </c>
      <c r="J61" s="175">
        <v>15770</v>
      </c>
    </row>
    <row r="62" spans="1:10" x14ac:dyDescent="0.3">
      <c r="A62" s="171">
        <v>58</v>
      </c>
      <c r="B62" s="171" t="s">
        <v>1067</v>
      </c>
      <c r="C62" s="172">
        <v>46194</v>
      </c>
      <c r="D62" s="173" t="s">
        <v>1068</v>
      </c>
      <c r="E62" s="172">
        <v>46194</v>
      </c>
      <c r="F62" s="173" t="s">
        <v>1069</v>
      </c>
      <c r="G62" s="174" t="s">
        <v>842</v>
      </c>
      <c r="H62" s="175">
        <v>14160</v>
      </c>
      <c r="I62" s="175">
        <v>31020</v>
      </c>
      <c r="J62" s="175">
        <v>16860</v>
      </c>
    </row>
    <row r="63" spans="1:10" x14ac:dyDescent="0.3">
      <c r="A63" s="171">
        <v>59</v>
      </c>
      <c r="B63" s="171" t="s">
        <v>1070</v>
      </c>
      <c r="C63" s="172">
        <v>46194</v>
      </c>
      <c r="D63" s="173" t="s">
        <v>1071</v>
      </c>
      <c r="E63" s="172">
        <v>46194</v>
      </c>
      <c r="F63" s="173" t="s">
        <v>1072</v>
      </c>
      <c r="G63" s="174" t="s">
        <v>337</v>
      </c>
      <c r="H63" s="175">
        <v>13770</v>
      </c>
      <c r="I63" s="175">
        <v>29570</v>
      </c>
      <c r="J63" s="175">
        <v>15800</v>
      </c>
    </row>
    <row r="64" spans="1:10" x14ac:dyDescent="0.3">
      <c r="A64" s="171">
        <v>60</v>
      </c>
      <c r="B64" s="171" t="s">
        <v>1073</v>
      </c>
      <c r="C64" s="172">
        <v>46194</v>
      </c>
      <c r="D64" s="173" t="s">
        <v>1074</v>
      </c>
      <c r="E64" s="172">
        <v>46194</v>
      </c>
      <c r="F64" s="173" t="s">
        <v>1075</v>
      </c>
      <c r="G64" s="174" t="s">
        <v>143</v>
      </c>
      <c r="H64" s="175">
        <v>13670</v>
      </c>
      <c r="I64" s="175">
        <v>31070</v>
      </c>
      <c r="J64" s="175">
        <v>17400</v>
      </c>
    </row>
    <row r="65" spans="1:10" x14ac:dyDescent="0.3">
      <c r="A65" s="171">
        <v>61</v>
      </c>
      <c r="B65" s="171" t="s">
        <v>1076</v>
      </c>
      <c r="C65" s="172">
        <v>46194</v>
      </c>
      <c r="D65" s="173" t="s">
        <v>1077</v>
      </c>
      <c r="E65" s="172">
        <v>46194</v>
      </c>
      <c r="F65" s="173" t="s">
        <v>1078</v>
      </c>
      <c r="G65" s="174" t="s">
        <v>76</v>
      </c>
      <c r="H65" s="175">
        <v>13890</v>
      </c>
      <c r="I65" s="175">
        <v>31100</v>
      </c>
      <c r="J65" s="175">
        <v>17210</v>
      </c>
    </row>
    <row r="66" spans="1:10" x14ac:dyDescent="0.3">
      <c r="A66" s="171">
        <v>62</v>
      </c>
      <c r="B66" s="171" t="s">
        <v>1079</v>
      </c>
      <c r="C66" s="172">
        <v>46194</v>
      </c>
      <c r="D66" s="173" t="s">
        <v>1080</v>
      </c>
      <c r="E66" s="172">
        <v>46194</v>
      </c>
      <c r="F66" s="173" t="s">
        <v>1081</v>
      </c>
      <c r="G66" s="174" t="s">
        <v>55</v>
      </c>
      <c r="H66" s="175">
        <v>14020</v>
      </c>
      <c r="I66" s="175">
        <v>30190</v>
      </c>
      <c r="J66" s="175">
        <v>16170</v>
      </c>
    </row>
    <row r="67" spans="1:10" x14ac:dyDescent="0.3">
      <c r="A67" s="171">
        <v>63</v>
      </c>
      <c r="B67" s="171" t="s">
        <v>1082</v>
      </c>
      <c r="C67" s="172">
        <v>46194</v>
      </c>
      <c r="D67" s="173" t="s">
        <v>865</v>
      </c>
      <c r="E67" s="172">
        <v>46194</v>
      </c>
      <c r="F67" s="173" t="s">
        <v>1083</v>
      </c>
      <c r="G67" s="174" t="s">
        <v>841</v>
      </c>
      <c r="H67" s="175">
        <v>14030</v>
      </c>
      <c r="I67" s="175">
        <v>30440</v>
      </c>
      <c r="J67" s="175">
        <v>16410</v>
      </c>
    </row>
    <row r="68" spans="1:10" x14ac:dyDescent="0.3">
      <c r="A68" s="171">
        <v>64</v>
      </c>
      <c r="B68" s="171" t="s">
        <v>1084</v>
      </c>
      <c r="C68" s="172">
        <v>46194</v>
      </c>
      <c r="D68" s="173" t="s">
        <v>1085</v>
      </c>
      <c r="E68" s="172">
        <v>46194</v>
      </c>
      <c r="F68" s="173" t="s">
        <v>1086</v>
      </c>
      <c r="G68" s="174" t="s">
        <v>336</v>
      </c>
      <c r="H68" s="175">
        <v>13750</v>
      </c>
      <c r="I68" s="175">
        <v>31250</v>
      </c>
      <c r="J68" s="175">
        <v>17500</v>
      </c>
    </row>
    <row r="69" spans="1:10" x14ac:dyDescent="0.3">
      <c r="A69" s="171">
        <v>65</v>
      </c>
      <c r="B69" s="171" t="s">
        <v>1087</v>
      </c>
      <c r="C69" s="172">
        <v>46194</v>
      </c>
      <c r="D69" s="173" t="s">
        <v>1088</v>
      </c>
      <c r="E69" s="172">
        <v>46194</v>
      </c>
      <c r="F69" s="173" t="s">
        <v>1089</v>
      </c>
      <c r="G69" s="174" t="s">
        <v>844</v>
      </c>
      <c r="H69" s="175">
        <v>13910</v>
      </c>
      <c r="I69" s="175">
        <v>32300</v>
      </c>
      <c r="J69" s="175">
        <v>18390</v>
      </c>
    </row>
    <row r="70" spans="1:10" x14ac:dyDescent="0.3">
      <c r="A70" s="171">
        <v>66</v>
      </c>
      <c r="B70" s="171" t="s">
        <v>1090</v>
      </c>
      <c r="C70" s="172">
        <v>46194</v>
      </c>
      <c r="D70" s="173" t="s">
        <v>1091</v>
      </c>
      <c r="E70" s="172">
        <v>46194</v>
      </c>
      <c r="F70" s="173" t="s">
        <v>1092</v>
      </c>
      <c r="G70" s="174" t="s">
        <v>85</v>
      </c>
      <c r="H70" s="175">
        <v>13850</v>
      </c>
      <c r="I70" s="175">
        <v>31360</v>
      </c>
      <c r="J70" s="175">
        <v>17510</v>
      </c>
    </row>
    <row r="71" spans="1:10" x14ac:dyDescent="0.3">
      <c r="A71" s="171">
        <v>67</v>
      </c>
      <c r="B71" s="171" t="s">
        <v>1093</v>
      </c>
      <c r="C71" s="172">
        <v>46195</v>
      </c>
      <c r="D71" s="173" t="s">
        <v>1094</v>
      </c>
      <c r="E71" s="172">
        <v>46195</v>
      </c>
      <c r="F71" s="173" t="s">
        <v>1095</v>
      </c>
      <c r="G71" s="174" t="s">
        <v>76</v>
      </c>
      <c r="H71" s="175">
        <v>13850</v>
      </c>
      <c r="I71" s="175">
        <v>30560</v>
      </c>
      <c r="J71" s="175">
        <v>16710</v>
      </c>
    </row>
    <row r="72" spans="1:10" x14ac:dyDescent="0.3">
      <c r="A72" s="171">
        <v>68</v>
      </c>
      <c r="B72" s="171" t="s">
        <v>1096</v>
      </c>
      <c r="C72" s="172">
        <v>46195</v>
      </c>
      <c r="D72" s="173" t="s">
        <v>1097</v>
      </c>
      <c r="E72" s="172">
        <v>46195</v>
      </c>
      <c r="F72" s="173" t="s">
        <v>1098</v>
      </c>
      <c r="G72" s="174" t="s">
        <v>839</v>
      </c>
      <c r="H72" s="175">
        <v>13960</v>
      </c>
      <c r="I72" s="175">
        <v>30150</v>
      </c>
      <c r="J72" s="175">
        <v>16190</v>
      </c>
    </row>
    <row r="73" spans="1:10" x14ac:dyDescent="0.3">
      <c r="A73" s="171">
        <v>69</v>
      </c>
      <c r="B73" s="171" t="s">
        <v>1099</v>
      </c>
      <c r="C73" s="172">
        <v>46195</v>
      </c>
      <c r="D73" s="173" t="s">
        <v>1100</v>
      </c>
      <c r="E73" s="172">
        <v>46195</v>
      </c>
      <c r="F73" s="173" t="s">
        <v>1101</v>
      </c>
      <c r="G73" s="174" t="s">
        <v>336</v>
      </c>
      <c r="H73" s="175">
        <v>13650</v>
      </c>
      <c r="I73" s="175">
        <v>29850</v>
      </c>
      <c r="J73" s="175">
        <v>16200</v>
      </c>
    </row>
    <row r="74" spans="1:10" x14ac:dyDescent="0.3">
      <c r="A74" s="171">
        <v>70</v>
      </c>
      <c r="B74" s="171" t="s">
        <v>1102</v>
      </c>
      <c r="C74" s="172">
        <v>46195</v>
      </c>
      <c r="D74" s="173" t="s">
        <v>1103</v>
      </c>
      <c r="E74" s="172">
        <v>46195</v>
      </c>
      <c r="F74" s="173" t="s">
        <v>1104</v>
      </c>
      <c r="G74" s="174" t="s">
        <v>90</v>
      </c>
      <c r="H74" s="175">
        <v>13940</v>
      </c>
      <c r="I74" s="175">
        <v>30980</v>
      </c>
      <c r="J74" s="175">
        <v>17040</v>
      </c>
    </row>
    <row r="75" spans="1:10" x14ac:dyDescent="0.3">
      <c r="A75" s="171">
        <v>71</v>
      </c>
      <c r="B75" s="171" t="s">
        <v>1105</v>
      </c>
      <c r="C75" s="172">
        <v>46195</v>
      </c>
      <c r="D75" s="173" t="s">
        <v>1106</v>
      </c>
      <c r="E75" s="172">
        <v>46195</v>
      </c>
      <c r="F75" s="173" t="s">
        <v>1107</v>
      </c>
      <c r="G75" s="174" t="s">
        <v>841</v>
      </c>
      <c r="H75" s="175">
        <v>13990</v>
      </c>
      <c r="I75" s="175">
        <v>30880</v>
      </c>
      <c r="J75" s="175">
        <v>16890</v>
      </c>
    </row>
    <row r="76" spans="1:10" x14ac:dyDescent="0.3">
      <c r="A76" s="171">
        <v>72</v>
      </c>
      <c r="B76" s="171" t="s">
        <v>1108</v>
      </c>
      <c r="C76" s="172">
        <v>46195</v>
      </c>
      <c r="D76" s="173" t="s">
        <v>1109</v>
      </c>
      <c r="E76" s="172">
        <v>46195</v>
      </c>
      <c r="F76" s="173" t="s">
        <v>1110</v>
      </c>
      <c r="G76" s="174" t="s">
        <v>337</v>
      </c>
      <c r="H76" s="175">
        <v>13980</v>
      </c>
      <c r="I76" s="175">
        <v>30840</v>
      </c>
      <c r="J76" s="175">
        <v>16860</v>
      </c>
    </row>
    <row r="77" spans="1:10" x14ac:dyDescent="0.3">
      <c r="A77" s="171">
        <v>73</v>
      </c>
      <c r="B77" s="171" t="s">
        <v>1111</v>
      </c>
      <c r="C77" s="172">
        <v>46195</v>
      </c>
      <c r="D77" s="173" t="s">
        <v>1112</v>
      </c>
      <c r="E77" s="172">
        <v>46195</v>
      </c>
      <c r="F77" s="173" t="s">
        <v>1113</v>
      </c>
      <c r="G77" s="174" t="s">
        <v>842</v>
      </c>
      <c r="H77" s="175">
        <v>14100</v>
      </c>
      <c r="I77" s="175">
        <v>31300</v>
      </c>
      <c r="J77" s="175">
        <v>17200</v>
      </c>
    </row>
    <row r="78" spans="1:10" x14ac:dyDescent="0.3">
      <c r="A78" s="171">
        <v>74</v>
      </c>
      <c r="B78" s="171" t="s">
        <v>1114</v>
      </c>
      <c r="C78" s="172">
        <v>46195</v>
      </c>
      <c r="D78" s="173" t="s">
        <v>1115</v>
      </c>
      <c r="E78" s="172">
        <v>46195</v>
      </c>
      <c r="F78" s="173" t="s">
        <v>1116</v>
      </c>
      <c r="G78" s="174" t="s">
        <v>143</v>
      </c>
      <c r="H78" s="175">
        <v>13990</v>
      </c>
      <c r="I78" s="175">
        <v>30510</v>
      </c>
      <c r="J78" s="175">
        <v>16520</v>
      </c>
    </row>
    <row r="79" spans="1:10" x14ac:dyDescent="0.3">
      <c r="A79" s="171">
        <v>75</v>
      </c>
      <c r="B79" s="171" t="s">
        <v>1117</v>
      </c>
      <c r="C79" s="172">
        <v>46195</v>
      </c>
      <c r="D79" s="173" t="s">
        <v>1118</v>
      </c>
      <c r="E79" s="172">
        <v>46195</v>
      </c>
      <c r="F79" s="173" t="s">
        <v>886</v>
      </c>
      <c r="G79" s="174" t="s">
        <v>64</v>
      </c>
      <c r="H79" s="175">
        <v>13850</v>
      </c>
      <c r="I79" s="175">
        <v>31620</v>
      </c>
      <c r="J79" s="175">
        <v>17770</v>
      </c>
    </row>
    <row r="80" spans="1:10" x14ac:dyDescent="0.3">
      <c r="A80" s="171">
        <v>76</v>
      </c>
      <c r="B80" s="171" t="s">
        <v>1119</v>
      </c>
      <c r="C80" s="172">
        <v>46195</v>
      </c>
      <c r="D80" s="173" t="s">
        <v>1120</v>
      </c>
      <c r="E80" s="172">
        <v>46195</v>
      </c>
      <c r="F80" s="173" t="s">
        <v>1121</v>
      </c>
      <c r="G80" s="174" t="s">
        <v>55</v>
      </c>
      <c r="H80" s="175">
        <v>13920</v>
      </c>
      <c r="I80" s="175">
        <v>31240</v>
      </c>
      <c r="J80" s="175">
        <v>17320</v>
      </c>
    </row>
    <row r="81" spans="1:10" x14ac:dyDescent="0.3">
      <c r="A81" s="171">
        <v>77</v>
      </c>
      <c r="B81" s="171" t="s">
        <v>1122</v>
      </c>
      <c r="C81" s="172">
        <v>46195</v>
      </c>
      <c r="D81" s="173" t="s">
        <v>1123</v>
      </c>
      <c r="E81" s="172">
        <v>46195</v>
      </c>
      <c r="F81" s="173" t="s">
        <v>1124</v>
      </c>
      <c r="G81" s="174" t="s">
        <v>80</v>
      </c>
      <c r="H81" s="175">
        <v>14040</v>
      </c>
      <c r="I81" s="175">
        <v>30920</v>
      </c>
      <c r="J81" s="175">
        <v>16880</v>
      </c>
    </row>
    <row r="82" spans="1:10" x14ac:dyDescent="0.3">
      <c r="A82" s="171">
        <v>78</v>
      </c>
      <c r="B82" s="171" t="s">
        <v>1125</v>
      </c>
      <c r="C82" s="172">
        <v>46195</v>
      </c>
      <c r="D82" s="173" t="s">
        <v>852</v>
      </c>
      <c r="E82" s="172">
        <v>46195</v>
      </c>
      <c r="F82" s="173" t="s">
        <v>1126</v>
      </c>
      <c r="G82" s="174" t="s">
        <v>335</v>
      </c>
      <c r="H82" s="175">
        <v>13900</v>
      </c>
      <c r="I82" s="175">
        <v>31300</v>
      </c>
      <c r="J82" s="175">
        <v>17400</v>
      </c>
    </row>
    <row r="83" spans="1:10" x14ac:dyDescent="0.3">
      <c r="A83" s="171">
        <v>79</v>
      </c>
      <c r="B83" s="171" t="s">
        <v>1127</v>
      </c>
      <c r="C83" s="172">
        <v>46195</v>
      </c>
      <c r="D83" s="173" t="s">
        <v>1128</v>
      </c>
      <c r="E83" s="172">
        <v>46195</v>
      </c>
      <c r="F83" s="173" t="s">
        <v>1129</v>
      </c>
      <c r="G83" s="174" t="s">
        <v>85</v>
      </c>
      <c r="H83" s="175">
        <v>13750</v>
      </c>
      <c r="I83" s="175">
        <v>30810</v>
      </c>
      <c r="J83" s="175">
        <v>17060</v>
      </c>
    </row>
    <row r="84" spans="1:10" x14ac:dyDescent="0.3">
      <c r="A84" s="171">
        <v>80</v>
      </c>
      <c r="B84" s="171" t="s">
        <v>1130</v>
      </c>
      <c r="C84" s="172">
        <v>46195</v>
      </c>
      <c r="D84" s="173" t="s">
        <v>1131</v>
      </c>
      <c r="E84" s="172">
        <v>46195</v>
      </c>
      <c r="F84" s="173" t="s">
        <v>221</v>
      </c>
      <c r="G84" s="174" t="s">
        <v>844</v>
      </c>
      <c r="H84" s="175">
        <v>13890</v>
      </c>
      <c r="I84" s="175">
        <v>32500</v>
      </c>
      <c r="J84" s="175">
        <v>18610</v>
      </c>
    </row>
    <row r="85" spans="1:10" x14ac:dyDescent="0.3">
      <c r="A85" s="171">
        <v>81</v>
      </c>
      <c r="B85" s="171" t="s">
        <v>1132</v>
      </c>
      <c r="C85" s="172">
        <v>46195</v>
      </c>
      <c r="D85" s="173" t="s">
        <v>1133</v>
      </c>
      <c r="E85" s="172">
        <v>46195</v>
      </c>
      <c r="F85" s="173" t="s">
        <v>1134</v>
      </c>
      <c r="G85" s="174" t="s">
        <v>43</v>
      </c>
      <c r="H85" s="175">
        <v>13810</v>
      </c>
      <c r="I85" s="175">
        <v>30550</v>
      </c>
      <c r="J85" s="175">
        <v>16740</v>
      </c>
    </row>
    <row r="86" spans="1:10" x14ac:dyDescent="0.3">
      <c r="A86" s="171">
        <v>82</v>
      </c>
      <c r="B86" s="171" t="s">
        <v>1135</v>
      </c>
      <c r="C86" s="172">
        <v>46195</v>
      </c>
      <c r="D86" s="173" t="s">
        <v>1136</v>
      </c>
      <c r="E86" s="172">
        <v>46195</v>
      </c>
      <c r="F86" s="173" t="s">
        <v>1137</v>
      </c>
      <c r="G86" s="174" t="s">
        <v>76</v>
      </c>
      <c r="H86" s="175">
        <v>13840</v>
      </c>
      <c r="I86" s="175">
        <v>30350</v>
      </c>
      <c r="J86" s="175">
        <v>16510</v>
      </c>
    </row>
    <row r="87" spans="1:10" x14ac:dyDescent="0.3">
      <c r="A87" s="171">
        <v>83</v>
      </c>
      <c r="B87" s="171" t="s">
        <v>1138</v>
      </c>
      <c r="C87" s="172">
        <v>46195</v>
      </c>
      <c r="D87" s="173" t="s">
        <v>1139</v>
      </c>
      <c r="E87" s="172">
        <v>46195</v>
      </c>
      <c r="F87" s="173" t="s">
        <v>1140</v>
      </c>
      <c r="G87" s="174" t="s">
        <v>839</v>
      </c>
      <c r="H87" s="175">
        <v>13930</v>
      </c>
      <c r="I87" s="175">
        <v>31320</v>
      </c>
      <c r="J87" s="175">
        <v>17390</v>
      </c>
    </row>
    <row r="88" spans="1:10" x14ac:dyDescent="0.3">
      <c r="A88" s="171">
        <v>84</v>
      </c>
      <c r="B88" s="171" t="s">
        <v>1141</v>
      </c>
      <c r="C88" s="172">
        <v>46195</v>
      </c>
      <c r="D88" s="173" t="s">
        <v>1142</v>
      </c>
      <c r="E88" s="172">
        <v>46195</v>
      </c>
      <c r="F88" s="173" t="s">
        <v>1143</v>
      </c>
      <c r="G88" s="174" t="s">
        <v>90</v>
      </c>
      <c r="H88" s="175">
        <v>13930</v>
      </c>
      <c r="I88" s="175">
        <v>31690</v>
      </c>
      <c r="J88" s="175">
        <v>17760</v>
      </c>
    </row>
    <row r="89" spans="1:10" x14ac:dyDescent="0.3">
      <c r="A89" s="171">
        <v>85</v>
      </c>
      <c r="B89" s="171" t="s">
        <v>1144</v>
      </c>
      <c r="C89" s="172">
        <v>46195</v>
      </c>
      <c r="D89" s="173" t="s">
        <v>1145</v>
      </c>
      <c r="E89" s="172">
        <v>46195</v>
      </c>
      <c r="F89" s="173" t="s">
        <v>1146</v>
      </c>
      <c r="G89" s="174" t="s">
        <v>841</v>
      </c>
      <c r="H89" s="175">
        <v>13960</v>
      </c>
      <c r="I89" s="175">
        <v>31260</v>
      </c>
      <c r="J89" s="175">
        <v>17300</v>
      </c>
    </row>
    <row r="90" spans="1:10" x14ac:dyDescent="0.3">
      <c r="A90" s="171">
        <v>86</v>
      </c>
      <c r="B90" s="171" t="s">
        <v>1147</v>
      </c>
      <c r="C90" s="172">
        <v>46195</v>
      </c>
      <c r="D90" s="173" t="s">
        <v>1148</v>
      </c>
      <c r="E90" s="172">
        <v>46195</v>
      </c>
      <c r="F90" s="173" t="s">
        <v>1149</v>
      </c>
      <c r="G90" s="174" t="s">
        <v>336</v>
      </c>
      <c r="H90" s="175">
        <v>13660</v>
      </c>
      <c r="I90" s="175">
        <v>31130</v>
      </c>
      <c r="J90" s="175">
        <v>17470</v>
      </c>
    </row>
    <row r="91" spans="1:10" x14ac:dyDescent="0.3">
      <c r="A91" s="171">
        <v>87</v>
      </c>
      <c r="B91" s="171" t="s">
        <v>1150</v>
      </c>
      <c r="C91" s="172">
        <v>46195</v>
      </c>
      <c r="D91" s="173" t="s">
        <v>1151</v>
      </c>
      <c r="E91" s="172">
        <v>46195</v>
      </c>
      <c r="F91" s="173" t="s">
        <v>1152</v>
      </c>
      <c r="G91" s="174" t="s">
        <v>337</v>
      </c>
      <c r="H91" s="175">
        <v>14000</v>
      </c>
      <c r="I91" s="175">
        <v>31660</v>
      </c>
      <c r="J91" s="175">
        <v>17660</v>
      </c>
    </row>
    <row r="92" spans="1:10" x14ac:dyDescent="0.3">
      <c r="A92" s="171">
        <v>88</v>
      </c>
      <c r="B92" s="171" t="s">
        <v>1153</v>
      </c>
      <c r="C92" s="172">
        <v>46195</v>
      </c>
      <c r="D92" s="173" t="s">
        <v>1154</v>
      </c>
      <c r="E92" s="172">
        <v>46195</v>
      </c>
      <c r="F92" s="173" t="s">
        <v>1155</v>
      </c>
      <c r="G92" s="174" t="s">
        <v>842</v>
      </c>
      <c r="H92" s="175">
        <v>14080</v>
      </c>
      <c r="I92" s="175">
        <v>31720</v>
      </c>
      <c r="J92" s="175">
        <v>17640</v>
      </c>
    </row>
    <row r="93" spans="1:10" x14ac:dyDescent="0.3">
      <c r="A93" s="171">
        <v>89</v>
      </c>
      <c r="B93" s="171" t="s">
        <v>1156</v>
      </c>
      <c r="C93" s="172">
        <v>46195</v>
      </c>
      <c r="D93" s="173" t="s">
        <v>1157</v>
      </c>
      <c r="E93" s="172">
        <v>46195</v>
      </c>
      <c r="F93" s="173" t="s">
        <v>1158</v>
      </c>
      <c r="G93" s="174" t="s">
        <v>64</v>
      </c>
      <c r="H93" s="175">
        <v>13840</v>
      </c>
      <c r="I93" s="175">
        <v>31550</v>
      </c>
      <c r="J93" s="175">
        <v>17710</v>
      </c>
    </row>
    <row r="94" spans="1:10" x14ac:dyDescent="0.3">
      <c r="A94" s="171">
        <v>90</v>
      </c>
      <c r="B94" s="171" t="s">
        <v>1159</v>
      </c>
      <c r="C94" s="172">
        <v>46195</v>
      </c>
      <c r="D94" s="173" t="s">
        <v>1160</v>
      </c>
      <c r="E94" s="172">
        <v>46195</v>
      </c>
      <c r="F94" s="173" t="s">
        <v>1161</v>
      </c>
      <c r="G94" s="174" t="s">
        <v>143</v>
      </c>
      <c r="H94" s="175">
        <v>13960</v>
      </c>
      <c r="I94" s="175">
        <v>31840</v>
      </c>
      <c r="J94" s="175">
        <v>17880</v>
      </c>
    </row>
    <row r="95" spans="1:10" x14ac:dyDescent="0.3">
      <c r="A95" s="171">
        <v>91</v>
      </c>
      <c r="B95" s="171" t="s">
        <v>1162</v>
      </c>
      <c r="C95" s="172">
        <v>46195</v>
      </c>
      <c r="D95" s="173" t="s">
        <v>1163</v>
      </c>
      <c r="E95" s="172">
        <v>46195</v>
      </c>
      <c r="F95" s="173" t="s">
        <v>1164</v>
      </c>
      <c r="G95" s="174" t="s">
        <v>80</v>
      </c>
      <c r="H95" s="175">
        <v>14040</v>
      </c>
      <c r="I95" s="175">
        <v>31620</v>
      </c>
      <c r="J95" s="175">
        <v>17580</v>
      </c>
    </row>
    <row r="96" spans="1:10" x14ac:dyDescent="0.3">
      <c r="A96" s="171">
        <v>92</v>
      </c>
      <c r="B96" s="171" t="s">
        <v>1165</v>
      </c>
      <c r="C96" s="172">
        <v>46195</v>
      </c>
      <c r="D96" s="173" t="s">
        <v>1166</v>
      </c>
      <c r="E96" s="172">
        <v>46195</v>
      </c>
      <c r="F96" s="173" t="s">
        <v>1167</v>
      </c>
      <c r="G96" s="174" t="s">
        <v>55</v>
      </c>
      <c r="H96" s="175">
        <v>13910</v>
      </c>
      <c r="I96" s="175">
        <v>31310</v>
      </c>
      <c r="J96" s="175">
        <v>17400</v>
      </c>
    </row>
    <row r="97" spans="1:10" x14ac:dyDescent="0.3">
      <c r="A97" s="171">
        <v>93</v>
      </c>
      <c r="B97" s="171" t="s">
        <v>1168</v>
      </c>
      <c r="C97" s="172">
        <v>46195</v>
      </c>
      <c r="D97" s="173" t="s">
        <v>1169</v>
      </c>
      <c r="E97" s="172">
        <v>46195</v>
      </c>
      <c r="F97" s="173" t="s">
        <v>1170</v>
      </c>
      <c r="G97" s="174" t="s">
        <v>335</v>
      </c>
      <c r="H97" s="175">
        <v>13880</v>
      </c>
      <c r="I97" s="175">
        <v>31900</v>
      </c>
      <c r="J97" s="175">
        <v>18020</v>
      </c>
    </row>
    <row r="98" spans="1:10" x14ac:dyDescent="0.3">
      <c r="A98" s="171">
        <v>94</v>
      </c>
      <c r="B98" s="171" t="s">
        <v>1171</v>
      </c>
      <c r="C98" s="172">
        <v>46195</v>
      </c>
      <c r="D98" s="173" t="s">
        <v>1172</v>
      </c>
      <c r="E98" s="172">
        <v>46195</v>
      </c>
      <c r="F98" s="173" t="s">
        <v>1173</v>
      </c>
      <c r="G98" s="174" t="s">
        <v>85</v>
      </c>
      <c r="H98" s="175">
        <v>13740</v>
      </c>
      <c r="I98" s="175">
        <v>30360</v>
      </c>
      <c r="J98" s="175">
        <v>16620</v>
      </c>
    </row>
    <row r="99" spans="1:10" x14ac:dyDescent="0.3">
      <c r="A99" s="171">
        <v>95</v>
      </c>
      <c r="B99" s="171" t="s">
        <v>1174</v>
      </c>
      <c r="C99" s="172">
        <v>46195</v>
      </c>
      <c r="D99" s="173" t="s">
        <v>1175</v>
      </c>
      <c r="E99" s="172">
        <v>46195</v>
      </c>
      <c r="F99" s="173" t="s">
        <v>1176</v>
      </c>
      <c r="G99" s="174" t="s">
        <v>844</v>
      </c>
      <c r="H99" s="175">
        <v>13880</v>
      </c>
      <c r="I99" s="175">
        <v>31320</v>
      </c>
      <c r="J99" s="175">
        <v>17440</v>
      </c>
    </row>
    <row r="100" spans="1:10" x14ac:dyDescent="0.3">
      <c r="A100" s="171">
        <v>96</v>
      </c>
      <c r="B100" s="171" t="s">
        <v>1177</v>
      </c>
      <c r="C100" s="172">
        <v>46195</v>
      </c>
      <c r="D100" s="173" t="s">
        <v>1178</v>
      </c>
      <c r="E100" s="172">
        <v>46195</v>
      </c>
      <c r="F100" s="173" t="s">
        <v>955</v>
      </c>
      <c r="G100" s="174" t="s">
        <v>43</v>
      </c>
      <c r="H100" s="175">
        <v>13780</v>
      </c>
      <c r="I100" s="175">
        <v>31190</v>
      </c>
      <c r="J100" s="175">
        <v>17410</v>
      </c>
    </row>
    <row r="101" spans="1:10" x14ac:dyDescent="0.3">
      <c r="A101" s="171">
        <v>97</v>
      </c>
      <c r="B101" s="171" t="s">
        <v>1179</v>
      </c>
      <c r="C101" s="172">
        <v>46195</v>
      </c>
      <c r="D101" s="173" t="s">
        <v>1180</v>
      </c>
      <c r="E101" s="172">
        <v>46195</v>
      </c>
      <c r="F101" s="173" t="s">
        <v>1181</v>
      </c>
      <c r="G101" s="174" t="s">
        <v>76</v>
      </c>
      <c r="H101" s="175">
        <v>13790</v>
      </c>
      <c r="I101" s="175">
        <v>30700</v>
      </c>
      <c r="J101" s="175">
        <v>16910</v>
      </c>
    </row>
    <row r="102" spans="1:10" x14ac:dyDescent="0.3">
      <c r="A102" s="171">
        <v>98</v>
      </c>
      <c r="B102" s="171" t="s">
        <v>1182</v>
      </c>
      <c r="C102" s="172">
        <v>46195</v>
      </c>
      <c r="D102" s="173" t="s">
        <v>1183</v>
      </c>
      <c r="E102" s="172">
        <v>46195</v>
      </c>
      <c r="F102" s="173" t="s">
        <v>1184</v>
      </c>
      <c r="G102" s="174" t="s">
        <v>839</v>
      </c>
      <c r="H102" s="175">
        <v>13920</v>
      </c>
      <c r="I102" s="175">
        <v>31090</v>
      </c>
      <c r="J102" s="175">
        <v>17170</v>
      </c>
    </row>
    <row r="103" spans="1:10" x14ac:dyDescent="0.3">
      <c r="A103" s="171">
        <v>99</v>
      </c>
      <c r="B103" s="171" t="s">
        <v>1185</v>
      </c>
      <c r="C103" s="172">
        <v>46195</v>
      </c>
      <c r="D103" s="173" t="s">
        <v>884</v>
      </c>
      <c r="E103" s="172">
        <v>46195</v>
      </c>
      <c r="F103" s="173" t="s">
        <v>1186</v>
      </c>
      <c r="G103" s="174" t="s">
        <v>90</v>
      </c>
      <c r="H103" s="175">
        <v>13880</v>
      </c>
      <c r="I103" s="175">
        <v>31010</v>
      </c>
      <c r="J103" s="175">
        <v>17130</v>
      </c>
    </row>
    <row r="104" spans="1:10" x14ac:dyDescent="0.3">
      <c r="A104" s="171">
        <v>100</v>
      </c>
      <c r="B104" s="171" t="s">
        <v>1187</v>
      </c>
      <c r="C104" s="172">
        <v>46195</v>
      </c>
      <c r="D104" s="173" t="s">
        <v>1188</v>
      </c>
      <c r="E104" s="172">
        <v>46195</v>
      </c>
      <c r="F104" s="173" t="s">
        <v>1189</v>
      </c>
      <c r="G104" s="174" t="s">
        <v>841</v>
      </c>
      <c r="H104" s="175">
        <v>13940</v>
      </c>
      <c r="I104" s="175">
        <v>30840</v>
      </c>
      <c r="J104" s="175">
        <v>16900</v>
      </c>
    </row>
    <row r="105" spans="1:10" x14ac:dyDescent="0.3">
      <c r="A105" s="171">
        <v>101</v>
      </c>
      <c r="B105" s="171" t="s">
        <v>1190</v>
      </c>
      <c r="C105" s="172">
        <v>46195</v>
      </c>
      <c r="D105" s="173" t="s">
        <v>1191</v>
      </c>
      <c r="E105" s="172">
        <v>46195</v>
      </c>
      <c r="F105" s="173" t="s">
        <v>1192</v>
      </c>
      <c r="G105" s="174" t="s">
        <v>336</v>
      </c>
      <c r="H105" s="175">
        <v>13640</v>
      </c>
      <c r="I105" s="175">
        <v>31110</v>
      </c>
      <c r="J105" s="175">
        <v>17470</v>
      </c>
    </row>
    <row r="106" spans="1:10" x14ac:dyDescent="0.3">
      <c r="A106" s="171">
        <v>102</v>
      </c>
      <c r="B106" s="171" t="s">
        <v>1193</v>
      </c>
      <c r="C106" s="172">
        <v>46195</v>
      </c>
      <c r="D106" s="173" t="s">
        <v>1194</v>
      </c>
      <c r="E106" s="172">
        <v>46195</v>
      </c>
      <c r="F106" s="173" t="s">
        <v>1195</v>
      </c>
      <c r="G106" s="174" t="s">
        <v>337</v>
      </c>
      <c r="H106" s="175">
        <v>13960</v>
      </c>
      <c r="I106" s="175">
        <v>31430</v>
      </c>
      <c r="J106" s="175">
        <v>17470</v>
      </c>
    </row>
    <row r="107" spans="1:10" x14ac:dyDescent="0.3">
      <c r="A107" s="171">
        <v>103</v>
      </c>
      <c r="B107" s="171" t="s">
        <v>1196</v>
      </c>
      <c r="C107" s="172">
        <v>46195</v>
      </c>
      <c r="D107" s="173" t="s">
        <v>1197</v>
      </c>
      <c r="E107" s="172">
        <v>46195</v>
      </c>
      <c r="F107" s="173" t="s">
        <v>1198</v>
      </c>
      <c r="G107" s="174" t="s">
        <v>64</v>
      </c>
      <c r="H107" s="175">
        <v>13800</v>
      </c>
      <c r="I107" s="175">
        <v>30400</v>
      </c>
      <c r="J107" s="175">
        <v>16600</v>
      </c>
    </row>
    <row r="108" spans="1:10" x14ac:dyDescent="0.3">
      <c r="A108" s="171">
        <v>104</v>
      </c>
      <c r="B108" s="171" t="s">
        <v>1199</v>
      </c>
      <c r="C108" s="172">
        <v>46195</v>
      </c>
      <c r="D108" s="173" t="s">
        <v>1200</v>
      </c>
      <c r="E108" s="172">
        <v>46195</v>
      </c>
      <c r="F108" s="173" t="s">
        <v>1201</v>
      </c>
      <c r="G108" s="174" t="s">
        <v>842</v>
      </c>
      <c r="H108" s="175">
        <v>14050</v>
      </c>
      <c r="I108" s="175">
        <v>31440</v>
      </c>
      <c r="J108" s="175">
        <v>17390</v>
      </c>
    </row>
    <row r="109" spans="1:10" x14ac:dyDescent="0.3">
      <c r="A109" s="171">
        <v>105</v>
      </c>
      <c r="B109" s="171" t="s">
        <v>1202</v>
      </c>
      <c r="C109" s="172">
        <v>46195</v>
      </c>
      <c r="D109" s="173" t="s">
        <v>1203</v>
      </c>
      <c r="E109" s="172">
        <v>46195</v>
      </c>
      <c r="F109" s="173" t="s">
        <v>1204</v>
      </c>
      <c r="G109" s="174" t="s">
        <v>143</v>
      </c>
      <c r="H109" s="175">
        <v>13920</v>
      </c>
      <c r="I109" s="175">
        <v>32040</v>
      </c>
      <c r="J109" s="175">
        <v>18120</v>
      </c>
    </row>
    <row r="110" spans="1:10" x14ac:dyDescent="0.3">
      <c r="A110" s="171">
        <v>106</v>
      </c>
      <c r="B110" s="171" t="s">
        <v>1205</v>
      </c>
      <c r="C110" s="172">
        <v>46195</v>
      </c>
      <c r="D110" s="173" t="s">
        <v>1206</v>
      </c>
      <c r="E110" s="172">
        <v>46195</v>
      </c>
      <c r="F110" s="173" t="s">
        <v>1207</v>
      </c>
      <c r="G110" s="174" t="s">
        <v>80</v>
      </c>
      <c r="H110" s="175">
        <v>13970</v>
      </c>
      <c r="I110" s="175">
        <v>32040</v>
      </c>
      <c r="J110" s="175">
        <v>18070</v>
      </c>
    </row>
    <row r="111" spans="1:10" x14ac:dyDescent="0.3">
      <c r="A111" s="171">
        <v>107</v>
      </c>
      <c r="B111" s="171" t="s">
        <v>1208</v>
      </c>
      <c r="C111" s="172">
        <v>46195</v>
      </c>
      <c r="D111" s="173" t="s">
        <v>1209</v>
      </c>
      <c r="E111" s="172">
        <v>46195</v>
      </c>
      <c r="F111" s="173" t="s">
        <v>1210</v>
      </c>
      <c r="G111" s="174" t="s">
        <v>55</v>
      </c>
      <c r="H111" s="175">
        <v>13840</v>
      </c>
      <c r="I111" s="175">
        <v>31680</v>
      </c>
      <c r="J111" s="175">
        <v>17840</v>
      </c>
    </row>
    <row r="112" spans="1:10" x14ac:dyDescent="0.3">
      <c r="A112" s="171">
        <v>108</v>
      </c>
      <c r="B112" s="171" t="s">
        <v>1211</v>
      </c>
      <c r="C112" s="172">
        <v>46195</v>
      </c>
      <c r="D112" s="173" t="s">
        <v>1212</v>
      </c>
      <c r="E112" s="172">
        <v>46195</v>
      </c>
      <c r="F112" s="173" t="s">
        <v>1213</v>
      </c>
      <c r="G112" s="174" t="s">
        <v>335</v>
      </c>
      <c r="H112" s="175">
        <v>13840</v>
      </c>
      <c r="I112" s="175">
        <v>31720</v>
      </c>
      <c r="J112" s="175">
        <v>17880</v>
      </c>
    </row>
    <row r="113" spans="1:10" x14ac:dyDescent="0.3">
      <c r="A113" s="171">
        <v>109</v>
      </c>
      <c r="B113" s="171" t="s">
        <v>1214</v>
      </c>
      <c r="C113" s="172">
        <v>46195</v>
      </c>
      <c r="D113" s="173" t="s">
        <v>1215</v>
      </c>
      <c r="E113" s="172">
        <v>46195</v>
      </c>
      <c r="F113" s="173" t="s">
        <v>1216</v>
      </c>
      <c r="G113" s="174" t="s">
        <v>85</v>
      </c>
      <c r="H113" s="175">
        <v>13720</v>
      </c>
      <c r="I113" s="175">
        <v>31680</v>
      </c>
      <c r="J113" s="175">
        <v>17960</v>
      </c>
    </row>
    <row r="114" spans="1:10" x14ac:dyDescent="0.3">
      <c r="A114" s="171">
        <v>110</v>
      </c>
      <c r="B114" s="171" t="s">
        <v>1217</v>
      </c>
      <c r="C114" s="172">
        <v>46195</v>
      </c>
      <c r="D114" s="173" t="s">
        <v>1218</v>
      </c>
      <c r="E114" s="172">
        <v>46195</v>
      </c>
      <c r="F114" s="173" t="s">
        <v>1219</v>
      </c>
      <c r="G114" s="174" t="s">
        <v>43</v>
      </c>
      <c r="H114" s="175">
        <v>13810</v>
      </c>
      <c r="I114" s="175">
        <v>30690</v>
      </c>
      <c r="J114" s="175">
        <v>16880</v>
      </c>
    </row>
    <row r="115" spans="1:10" x14ac:dyDescent="0.3">
      <c r="A115" s="171">
        <v>111</v>
      </c>
      <c r="B115" s="171" t="s">
        <v>1220</v>
      </c>
      <c r="C115" s="172">
        <v>46195</v>
      </c>
      <c r="D115" s="173" t="s">
        <v>1221</v>
      </c>
      <c r="E115" s="172">
        <v>46195</v>
      </c>
      <c r="F115" s="173" t="s">
        <v>1222</v>
      </c>
      <c r="G115" s="174" t="s">
        <v>839</v>
      </c>
      <c r="H115" s="175">
        <v>13860</v>
      </c>
      <c r="I115" s="175">
        <v>30290</v>
      </c>
      <c r="J115" s="175">
        <v>16430</v>
      </c>
    </row>
    <row r="116" spans="1:10" x14ac:dyDescent="0.3">
      <c r="A116" s="171">
        <v>112</v>
      </c>
      <c r="B116" s="171" t="s">
        <v>1223</v>
      </c>
      <c r="C116" s="172">
        <v>46195</v>
      </c>
      <c r="D116" s="173" t="s">
        <v>1224</v>
      </c>
      <c r="E116" s="172">
        <v>46195</v>
      </c>
      <c r="F116" s="173" t="s">
        <v>1225</v>
      </c>
      <c r="G116" s="174" t="s">
        <v>76</v>
      </c>
      <c r="H116" s="175">
        <v>13840</v>
      </c>
      <c r="I116" s="175">
        <v>31310</v>
      </c>
      <c r="J116" s="175">
        <v>17470</v>
      </c>
    </row>
    <row r="117" spans="1:10" x14ac:dyDescent="0.3">
      <c r="A117" s="171">
        <v>113</v>
      </c>
      <c r="B117" s="171" t="s">
        <v>1226</v>
      </c>
      <c r="C117" s="172">
        <v>46195</v>
      </c>
      <c r="D117" s="173" t="s">
        <v>1227</v>
      </c>
      <c r="E117" s="172">
        <v>46195</v>
      </c>
      <c r="F117" s="173" t="s">
        <v>1228</v>
      </c>
      <c r="G117" s="174" t="s">
        <v>841</v>
      </c>
      <c r="H117" s="175">
        <v>13890</v>
      </c>
      <c r="I117" s="175">
        <v>29910</v>
      </c>
      <c r="J117" s="175">
        <v>16020</v>
      </c>
    </row>
    <row r="118" spans="1:10" x14ac:dyDescent="0.3">
      <c r="A118" s="171">
        <v>114</v>
      </c>
      <c r="B118" s="171" t="s">
        <v>1229</v>
      </c>
      <c r="C118" s="172">
        <v>46195</v>
      </c>
      <c r="D118" s="173" t="s">
        <v>1230</v>
      </c>
      <c r="E118" s="172">
        <v>46195</v>
      </c>
      <c r="F118" s="173" t="s">
        <v>1231</v>
      </c>
      <c r="G118" s="174" t="s">
        <v>90</v>
      </c>
      <c r="H118" s="175">
        <v>13780</v>
      </c>
      <c r="I118" s="175">
        <v>30840</v>
      </c>
      <c r="J118" s="175">
        <v>17060</v>
      </c>
    </row>
    <row r="119" spans="1:10" x14ac:dyDescent="0.3">
      <c r="A119" s="171">
        <v>115</v>
      </c>
      <c r="B119" s="171" t="s">
        <v>1232</v>
      </c>
      <c r="C119" s="172">
        <v>46195</v>
      </c>
      <c r="D119" s="173" t="s">
        <v>1233</v>
      </c>
      <c r="E119" s="172">
        <v>46195</v>
      </c>
      <c r="F119" s="173" t="s">
        <v>1234</v>
      </c>
      <c r="G119" s="174" t="s">
        <v>337</v>
      </c>
      <c r="H119" s="175">
        <v>14020</v>
      </c>
      <c r="I119" s="175">
        <v>31640</v>
      </c>
      <c r="J119" s="175">
        <v>17620</v>
      </c>
    </row>
    <row r="120" spans="1:10" x14ac:dyDescent="0.3">
      <c r="A120" s="171">
        <v>116</v>
      </c>
      <c r="B120" s="171" t="s">
        <v>1235</v>
      </c>
      <c r="C120" s="172">
        <v>46195</v>
      </c>
      <c r="D120" s="173" t="s">
        <v>1236</v>
      </c>
      <c r="E120" s="172">
        <v>46195</v>
      </c>
      <c r="F120" s="173" t="s">
        <v>1237</v>
      </c>
      <c r="G120" s="174" t="s">
        <v>336</v>
      </c>
      <c r="H120" s="175">
        <v>13980</v>
      </c>
      <c r="I120" s="175">
        <v>30490</v>
      </c>
      <c r="J120" s="175">
        <v>16510</v>
      </c>
    </row>
    <row r="121" spans="1:10" x14ac:dyDescent="0.3">
      <c r="A121" s="171">
        <v>117</v>
      </c>
      <c r="B121" s="171" t="s">
        <v>1238</v>
      </c>
      <c r="C121" s="172">
        <v>46195</v>
      </c>
      <c r="D121" s="173" t="s">
        <v>1239</v>
      </c>
      <c r="E121" s="172">
        <v>46195</v>
      </c>
      <c r="F121" s="173" t="s">
        <v>1240</v>
      </c>
      <c r="G121" s="174" t="s">
        <v>842</v>
      </c>
      <c r="H121" s="175">
        <v>14020</v>
      </c>
      <c r="I121" s="175">
        <v>29840</v>
      </c>
      <c r="J121" s="175">
        <v>15820</v>
      </c>
    </row>
    <row r="122" spans="1:10" x14ac:dyDescent="0.3">
      <c r="A122" s="171">
        <v>118</v>
      </c>
      <c r="B122" s="171" t="s">
        <v>1241</v>
      </c>
      <c r="C122" s="172">
        <v>46195</v>
      </c>
      <c r="D122" s="173" t="s">
        <v>1242</v>
      </c>
      <c r="E122" s="172">
        <v>46195</v>
      </c>
      <c r="F122" s="173" t="s">
        <v>1243</v>
      </c>
      <c r="G122" s="174" t="s">
        <v>64</v>
      </c>
      <c r="H122" s="175">
        <v>14030</v>
      </c>
      <c r="I122" s="175">
        <v>31250</v>
      </c>
      <c r="J122" s="175">
        <v>17220</v>
      </c>
    </row>
    <row r="123" spans="1:10" x14ac:dyDescent="0.3">
      <c r="A123" s="171">
        <v>119</v>
      </c>
      <c r="B123" s="171" t="s">
        <v>1244</v>
      </c>
      <c r="C123" s="172">
        <v>46195</v>
      </c>
      <c r="D123" s="173" t="s">
        <v>1245</v>
      </c>
      <c r="E123" s="172">
        <v>46195</v>
      </c>
      <c r="F123" s="173" t="s">
        <v>1246</v>
      </c>
      <c r="G123" s="174" t="s">
        <v>80</v>
      </c>
      <c r="H123" s="175">
        <v>13980</v>
      </c>
      <c r="I123" s="175">
        <v>31950</v>
      </c>
      <c r="J123" s="175">
        <v>17970</v>
      </c>
    </row>
    <row r="124" spans="1:10" x14ac:dyDescent="0.3">
      <c r="A124" s="171">
        <v>120</v>
      </c>
      <c r="B124" s="171" t="s">
        <v>1247</v>
      </c>
      <c r="C124" s="172">
        <v>46195</v>
      </c>
      <c r="D124" s="173" t="s">
        <v>1248</v>
      </c>
      <c r="E124" s="172">
        <v>46195</v>
      </c>
      <c r="F124" s="173" t="s">
        <v>1249</v>
      </c>
      <c r="G124" s="174" t="s">
        <v>143</v>
      </c>
      <c r="H124" s="175">
        <v>13980</v>
      </c>
      <c r="I124" s="175">
        <v>31510</v>
      </c>
      <c r="J124" s="175">
        <v>17530</v>
      </c>
    </row>
    <row r="125" spans="1:10" x14ac:dyDescent="0.3">
      <c r="A125" s="171">
        <v>121</v>
      </c>
      <c r="B125" s="171" t="s">
        <v>1250</v>
      </c>
      <c r="C125" s="172">
        <v>46195</v>
      </c>
      <c r="D125" s="173" t="s">
        <v>1251</v>
      </c>
      <c r="E125" s="172">
        <v>46195</v>
      </c>
      <c r="F125" s="173" t="s">
        <v>1252</v>
      </c>
      <c r="G125" s="174" t="s">
        <v>844</v>
      </c>
      <c r="H125" s="175">
        <v>13850</v>
      </c>
      <c r="I125" s="175">
        <v>30510</v>
      </c>
      <c r="J125" s="175">
        <v>16660</v>
      </c>
    </row>
    <row r="126" spans="1:10" x14ac:dyDescent="0.3">
      <c r="A126" s="171">
        <v>122</v>
      </c>
      <c r="B126" s="171" t="s">
        <v>1253</v>
      </c>
      <c r="C126" s="172">
        <v>46195</v>
      </c>
      <c r="D126" s="173" t="s">
        <v>1254</v>
      </c>
      <c r="E126" s="172">
        <v>46195</v>
      </c>
      <c r="F126" s="173" t="s">
        <v>1255</v>
      </c>
      <c r="G126" s="174" t="s">
        <v>55</v>
      </c>
      <c r="H126" s="175">
        <v>13840</v>
      </c>
      <c r="I126" s="175">
        <v>30790</v>
      </c>
      <c r="J126" s="175">
        <v>16950</v>
      </c>
    </row>
    <row r="127" spans="1:10" x14ac:dyDescent="0.3">
      <c r="A127" s="171">
        <v>123</v>
      </c>
      <c r="B127" s="171" t="s">
        <v>1256</v>
      </c>
      <c r="C127" s="172">
        <v>46195</v>
      </c>
      <c r="D127" s="173" t="s">
        <v>1257</v>
      </c>
      <c r="E127" s="172">
        <v>46195</v>
      </c>
      <c r="F127" s="173" t="s">
        <v>1258</v>
      </c>
      <c r="G127" s="174" t="s">
        <v>335</v>
      </c>
      <c r="H127" s="175">
        <v>13830</v>
      </c>
      <c r="I127" s="175">
        <v>31220</v>
      </c>
      <c r="J127" s="175">
        <v>17390</v>
      </c>
    </row>
    <row r="128" spans="1:10" x14ac:dyDescent="0.3">
      <c r="A128" s="171">
        <v>124</v>
      </c>
      <c r="B128" s="171" t="s">
        <v>1259</v>
      </c>
      <c r="C128" s="172">
        <v>46195</v>
      </c>
      <c r="D128" s="173" t="s">
        <v>1260</v>
      </c>
      <c r="E128" s="172">
        <v>46195</v>
      </c>
      <c r="F128" s="173" t="s">
        <v>1261</v>
      </c>
      <c r="G128" s="174" t="s">
        <v>844</v>
      </c>
      <c r="H128" s="175">
        <v>30780</v>
      </c>
      <c r="I128" s="175">
        <v>13820</v>
      </c>
      <c r="J128" s="175">
        <v>16960</v>
      </c>
    </row>
    <row r="129" spans="1:10" x14ac:dyDescent="0.3">
      <c r="A129" s="171">
        <v>125</v>
      </c>
      <c r="B129" s="171" t="s">
        <v>1262</v>
      </c>
      <c r="C129" s="172">
        <v>46195</v>
      </c>
      <c r="D129" s="173" t="s">
        <v>1263</v>
      </c>
      <c r="E129" s="172">
        <v>46195</v>
      </c>
      <c r="F129" s="173" t="s">
        <v>1264</v>
      </c>
      <c r="G129" s="174" t="s">
        <v>85</v>
      </c>
      <c r="H129" s="175">
        <v>14020</v>
      </c>
      <c r="I129" s="175">
        <v>31430</v>
      </c>
      <c r="J129" s="175">
        <v>17410</v>
      </c>
    </row>
    <row r="130" spans="1:10" x14ac:dyDescent="0.3">
      <c r="A130" s="171">
        <v>126</v>
      </c>
      <c r="B130" s="171" t="s">
        <v>1265</v>
      </c>
      <c r="C130" s="172">
        <v>46195</v>
      </c>
      <c r="D130" s="173" t="s">
        <v>1266</v>
      </c>
      <c r="E130" s="172">
        <v>46195</v>
      </c>
      <c r="F130" s="173" t="s">
        <v>1267</v>
      </c>
      <c r="G130" s="174" t="s">
        <v>839</v>
      </c>
      <c r="H130" s="175">
        <v>13880</v>
      </c>
      <c r="I130" s="175">
        <v>31710</v>
      </c>
      <c r="J130" s="175">
        <v>17830</v>
      </c>
    </row>
    <row r="131" spans="1:10" x14ac:dyDescent="0.3">
      <c r="A131" s="171">
        <v>127</v>
      </c>
      <c r="B131" s="171" t="s">
        <v>1268</v>
      </c>
      <c r="C131" s="172">
        <v>46195</v>
      </c>
      <c r="D131" s="173" t="s">
        <v>1269</v>
      </c>
      <c r="E131" s="172">
        <v>46195</v>
      </c>
      <c r="F131" s="173" t="s">
        <v>1270</v>
      </c>
      <c r="G131" s="174" t="s">
        <v>43</v>
      </c>
      <c r="H131" s="175">
        <v>14110</v>
      </c>
      <c r="I131" s="175">
        <v>32270</v>
      </c>
      <c r="J131" s="175">
        <v>18160</v>
      </c>
    </row>
    <row r="132" spans="1:10" x14ac:dyDescent="0.3">
      <c r="A132" s="171">
        <v>128</v>
      </c>
      <c r="B132" s="171" t="s">
        <v>1271</v>
      </c>
      <c r="C132" s="172">
        <v>46195</v>
      </c>
      <c r="D132" s="173" t="s">
        <v>1272</v>
      </c>
      <c r="E132" s="172">
        <v>46195</v>
      </c>
      <c r="F132" s="173" t="s">
        <v>1273</v>
      </c>
      <c r="G132" s="174" t="s">
        <v>76</v>
      </c>
      <c r="H132" s="175">
        <v>13730</v>
      </c>
      <c r="I132" s="175">
        <v>31740</v>
      </c>
      <c r="J132" s="175">
        <v>18010</v>
      </c>
    </row>
    <row r="133" spans="1:10" x14ac:dyDescent="0.3">
      <c r="A133" s="171">
        <v>129</v>
      </c>
      <c r="B133" s="171" t="s">
        <v>1274</v>
      </c>
      <c r="C133" s="172">
        <v>46195</v>
      </c>
      <c r="D133" s="173" t="s">
        <v>1275</v>
      </c>
      <c r="E133" s="172">
        <v>46195</v>
      </c>
      <c r="F133" s="173" t="s">
        <v>1276</v>
      </c>
      <c r="G133" s="174" t="s">
        <v>841</v>
      </c>
      <c r="H133" s="175">
        <v>13880</v>
      </c>
      <c r="I133" s="175">
        <v>31660</v>
      </c>
      <c r="J133" s="175">
        <v>17780</v>
      </c>
    </row>
    <row r="134" spans="1:10" x14ac:dyDescent="0.3">
      <c r="A134" s="171">
        <v>130</v>
      </c>
      <c r="B134" s="171" t="s">
        <v>1277</v>
      </c>
      <c r="C134" s="172">
        <v>46195</v>
      </c>
      <c r="D134" s="173" t="s">
        <v>1278</v>
      </c>
      <c r="E134" s="172">
        <v>46195</v>
      </c>
      <c r="F134" s="173" t="s">
        <v>1279</v>
      </c>
      <c r="G134" s="174" t="s">
        <v>90</v>
      </c>
      <c r="H134" s="175">
        <v>13820</v>
      </c>
      <c r="I134" s="175">
        <v>31170</v>
      </c>
      <c r="J134" s="175">
        <v>17350</v>
      </c>
    </row>
    <row r="135" spans="1:10" x14ac:dyDescent="0.3">
      <c r="A135" s="171">
        <v>131</v>
      </c>
      <c r="B135" s="171" t="s">
        <v>1280</v>
      </c>
      <c r="C135" s="172">
        <v>46195</v>
      </c>
      <c r="D135" s="173" t="s">
        <v>1281</v>
      </c>
      <c r="E135" s="172">
        <v>46195</v>
      </c>
      <c r="F135" s="173" t="s">
        <v>1282</v>
      </c>
      <c r="G135" s="174" t="s">
        <v>337</v>
      </c>
      <c r="H135" s="175">
        <v>13900</v>
      </c>
      <c r="I135" s="175">
        <v>31490</v>
      </c>
      <c r="J135" s="175">
        <v>17590</v>
      </c>
    </row>
    <row r="136" spans="1:10" x14ac:dyDescent="0.3">
      <c r="A136" s="171">
        <v>132</v>
      </c>
      <c r="B136" s="171" t="s">
        <v>1283</v>
      </c>
      <c r="C136" s="172">
        <v>46195</v>
      </c>
      <c r="D136" s="173" t="s">
        <v>1284</v>
      </c>
      <c r="E136" s="172">
        <v>46195</v>
      </c>
      <c r="F136" s="173" t="s">
        <v>1285</v>
      </c>
      <c r="G136" s="174" t="s">
        <v>336</v>
      </c>
      <c r="H136" s="175">
        <v>14000</v>
      </c>
      <c r="I136" s="175">
        <v>31790</v>
      </c>
      <c r="J136" s="175">
        <v>17790</v>
      </c>
    </row>
    <row r="137" spans="1:10" x14ac:dyDescent="0.3">
      <c r="A137" s="171">
        <v>133</v>
      </c>
      <c r="B137" s="171" t="s">
        <v>1286</v>
      </c>
      <c r="C137" s="172">
        <v>46195</v>
      </c>
      <c r="D137" s="173" t="s">
        <v>1287</v>
      </c>
      <c r="E137" s="172">
        <v>46195</v>
      </c>
      <c r="F137" s="173" t="s">
        <v>1288</v>
      </c>
      <c r="G137" s="174" t="s">
        <v>842</v>
      </c>
      <c r="H137" s="175">
        <v>13980</v>
      </c>
      <c r="I137" s="175">
        <v>31640</v>
      </c>
      <c r="J137" s="175">
        <v>17660</v>
      </c>
    </row>
    <row r="138" spans="1:10" x14ac:dyDescent="0.3">
      <c r="A138" s="171">
        <v>134</v>
      </c>
      <c r="B138" s="171" t="s">
        <v>1289</v>
      </c>
      <c r="C138" s="172">
        <v>46195</v>
      </c>
      <c r="D138" s="173" t="s">
        <v>1290</v>
      </c>
      <c r="E138" s="172">
        <v>46195</v>
      </c>
      <c r="F138" s="173" t="s">
        <v>1291</v>
      </c>
      <c r="G138" s="174" t="s">
        <v>64</v>
      </c>
      <c r="H138" s="175">
        <v>14050</v>
      </c>
      <c r="I138" s="175">
        <v>31490</v>
      </c>
      <c r="J138" s="175">
        <v>17440</v>
      </c>
    </row>
    <row r="139" spans="1:10" x14ac:dyDescent="0.3">
      <c r="A139" s="171">
        <v>135</v>
      </c>
      <c r="B139" s="171" t="s">
        <v>1292</v>
      </c>
      <c r="C139" s="172">
        <v>46195</v>
      </c>
      <c r="D139" s="173" t="s">
        <v>1293</v>
      </c>
      <c r="E139" s="172">
        <v>46195</v>
      </c>
      <c r="F139" s="173" t="s">
        <v>1294</v>
      </c>
      <c r="G139" s="174" t="s">
        <v>143</v>
      </c>
      <c r="H139" s="175">
        <v>13870</v>
      </c>
      <c r="I139" s="175">
        <v>32390</v>
      </c>
      <c r="J139" s="175">
        <v>18520</v>
      </c>
    </row>
    <row r="140" spans="1:10" x14ac:dyDescent="0.3">
      <c r="A140" s="171">
        <v>136</v>
      </c>
      <c r="B140" s="171" t="s">
        <v>1295</v>
      </c>
      <c r="C140" s="172">
        <v>46195</v>
      </c>
      <c r="D140" s="173" t="s">
        <v>1296</v>
      </c>
      <c r="E140" s="172">
        <v>46195</v>
      </c>
      <c r="F140" s="173" t="s">
        <v>1297</v>
      </c>
      <c r="G140" s="174" t="s">
        <v>335</v>
      </c>
      <c r="H140" s="175">
        <v>13800</v>
      </c>
      <c r="I140" s="175">
        <v>31930</v>
      </c>
      <c r="J140" s="175">
        <v>18130</v>
      </c>
    </row>
    <row r="141" spans="1:10" x14ac:dyDescent="0.3">
      <c r="A141" s="171">
        <v>137</v>
      </c>
      <c r="B141" s="171" t="s">
        <v>1298</v>
      </c>
      <c r="C141" s="172">
        <v>46195</v>
      </c>
      <c r="D141" s="173" t="s">
        <v>1299</v>
      </c>
      <c r="E141" s="172">
        <v>46195</v>
      </c>
      <c r="F141" s="173" t="s">
        <v>1300</v>
      </c>
      <c r="G141" s="174" t="s">
        <v>80</v>
      </c>
      <c r="H141" s="175">
        <v>14260</v>
      </c>
      <c r="I141" s="175">
        <v>32360</v>
      </c>
      <c r="J141" s="175">
        <v>18100</v>
      </c>
    </row>
    <row r="142" spans="1:10" x14ac:dyDescent="0.3">
      <c r="A142" s="171">
        <v>138</v>
      </c>
      <c r="B142" s="171" t="s">
        <v>1301</v>
      </c>
      <c r="C142" s="172">
        <v>46195</v>
      </c>
      <c r="D142" s="173" t="s">
        <v>1302</v>
      </c>
      <c r="E142" s="172">
        <v>46195</v>
      </c>
      <c r="F142" s="173" t="s">
        <v>1303</v>
      </c>
      <c r="G142" s="174" t="s">
        <v>55</v>
      </c>
      <c r="H142" s="175">
        <v>13810</v>
      </c>
      <c r="I142" s="175">
        <v>31960</v>
      </c>
      <c r="J142" s="175">
        <v>18150</v>
      </c>
    </row>
    <row r="143" spans="1:10" x14ac:dyDescent="0.3">
      <c r="A143" s="171">
        <v>139</v>
      </c>
      <c r="B143" s="171" t="s">
        <v>1304</v>
      </c>
      <c r="C143" s="172">
        <v>46195</v>
      </c>
      <c r="D143" s="173" t="s">
        <v>1305</v>
      </c>
      <c r="E143" s="172">
        <v>46195</v>
      </c>
      <c r="F143" s="173" t="s">
        <v>1306</v>
      </c>
      <c r="G143" s="174" t="s">
        <v>839</v>
      </c>
      <c r="H143" s="175">
        <v>14080</v>
      </c>
      <c r="I143" s="175">
        <v>32330</v>
      </c>
      <c r="J143" s="175">
        <v>18250</v>
      </c>
    </row>
    <row r="144" spans="1:10" x14ac:dyDescent="0.3">
      <c r="A144" s="171">
        <v>140</v>
      </c>
      <c r="B144" s="171" t="s">
        <v>1307</v>
      </c>
      <c r="C144" s="172">
        <v>46195</v>
      </c>
      <c r="D144" s="173" t="s">
        <v>1308</v>
      </c>
      <c r="E144" s="172">
        <v>46195</v>
      </c>
      <c r="F144" s="173" t="s">
        <v>1309</v>
      </c>
      <c r="G144" s="174" t="s">
        <v>85</v>
      </c>
      <c r="H144" s="175">
        <v>13960</v>
      </c>
      <c r="I144" s="175">
        <v>31660</v>
      </c>
      <c r="J144" s="175">
        <v>17700</v>
      </c>
    </row>
    <row r="145" spans="1:10" x14ac:dyDescent="0.3">
      <c r="A145" s="171">
        <v>141</v>
      </c>
      <c r="B145" s="171" t="s">
        <v>1310</v>
      </c>
      <c r="C145" s="172">
        <v>46195</v>
      </c>
      <c r="D145" s="173" t="s">
        <v>1311</v>
      </c>
      <c r="E145" s="172">
        <v>46195</v>
      </c>
      <c r="F145" s="173" t="s">
        <v>1312</v>
      </c>
      <c r="G145" s="174" t="s">
        <v>43</v>
      </c>
      <c r="H145" s="175">
        <v>13990</v>
      </c>
      <c r="I145" s="175">
        <v>31720</v>
      </c>
      <c r="J145" s="175">
        <v>17730</v>
      </c>
    </row>
    <row r="146" spans="1:10" x14ac:dyDescent="0.3">
      <c r="A146" s="171">
        <v>142</v>
      </c>
      <c r="B146" s="171" t="s">
        <v>1313</v>
      </c>
      <c r="C146" s="172">
        <v>46195</v>
      </c>
      <c r="D146" s="173" t="s">
        <v>1314</v>
      </c>
      <c r="E146" s="172">
        <v>46195</v>
      </c>
      <c r="F146" s="173" t="s">
        <v>1315</v>
      </c>
      <c r="G146" s="174" t="s">
        <v>76</v>
      </c>
      <c r="H146" s="175">
        <v>13720</v>
      </c>
      <c r="I146" s="175">
        <v>31320</v>
      </c>
      <c r="J146" s="175">
        <v>17600</v>
      </c>
    </row>
    <row r="147" spans="1:10" x14ac:dyDescent="0.3">
      <c r="A147" s="171">
        <v>143</v>
      </c>
      <c r="B147" s="171" t="s">
        <v>1316</v>
      </c>
      <c r="C147" s="172">
        <v>46195</v>
      </c>
      <c r="D147" s="173" t="s">
        <v>1317</v>
      </c>
      <c r="E147" s="172">
        <v>46195</v>
      </c>
      <c r="F147" s="173" t="s">
        <v>1318</v>
      </c>
      <c r="G147" s="174" t="s">
        <v>841</v>
      </c>
      <c r="H147" s="175">
        <v>13870</v>
      </c>
      <c r="I147" s="175">
        <v>31400</v>
      </c>
      <c r="J147" s="175">
        <v>17530</v>
      </c>
    </row>
    <row r="148" spans="1:10" x14ac:dyDescent="0.3">
      <c r="A148" s="171">
        <v>144</v>
      </c>
      <c r="B148" s="171" t="s">
        <v>1319</v>
      </c>
      <c r="C148" s="172">
        <v>46195</v>
      </c>
      <c r="D148" s="173" t="s">
        <v>1320</v>
      </c>
      <c r="E148" s="172">
        <v>46195</v>
      </c>
      <c r="F148" s="173" t="s">
        <v>1321</v>
      </c>
      <c r="G148" s="174" t="s">
        <v>337</v>
      </c>
      <c r="H148" s="175">
        <v>13850</v>
      </c>
      <c r="I148" s="175">
        <v>30340</v>
      </c>
      <c r="J148" s="175">
        <v>16490</v>
      </c>
    </row>
    <row r="149" spans="1:10" x14ac:dyDescent="0.3">
      <c r="A149" s="171">
        <v>145</v>
      </c>
      <c r="B149" s="171" t="s">
        <v>1322</v>
      </c>
      <c r="C149" s="172">
        <v>46195</v>
      </c>
      <c r="D149" s="173" t="s">
        <v>194</v>
      </c>
      <c r="E149" s="172">
        <v>46195</v>
      </c>
      <c r="F149" s="173" t="s">
        <v>1323</v>
      </c>
      <c r="G149" s="174" t="s">
        <v>90</v>
      </c>
      <c r="H149" s="175">
        <v>14030</v>
      </c>
      <c r="I149" s="175">
        <v>31410</v>
      </c>
      <c r="J149" s="175">
        <v>17380</v>
      </c>
    </row>
    <row r="150" spans="1:10" x14ac:dyDescent="0.3">
      <c r="A150" s="171">
        <v>146</v>
      </c>
      <c r="B150" s="171" t="s">
        <v>1324</v>
      </c>
      <c r="C150" s="172">
        <v>46195</v>
      </c>
      <c r="D150" s="173" t="s">
        <v>1325</v>
      </c>
      <c r="E150" s="172">
        <v>46195</v>
      </c>
      <c r="F150" s="173" t="s">
        <v>1326</v>
      </c>
      <c r="G150" s="174" t="s">
        <v>336</v>
      </c>
      <c r="H150" s="175">
        <v>13880</v>
      </c>
      <c r="I150" s="175">
        <v>31290</v>
      </c>
      <c r="J150" s="175">
        <v>17410</v>
      </c>
    </row>
    <row r="151" spans="1:10" x14ac:dyDescent="0.3">
      <c r="A151" s="171">
        <v>147</v>
      </c>
      <c r="B151" s="171" t="s">
        <v>1327</v>
      </c>
      <c r="C151" s="172">
        <v>46195</v>
      </c>
      <c r="D151" s="173" t="s">
        <v>1328</v>
      </c>
      <c r="E151" s="172">
        <v>46195</v>
      </c>
      <c r="F151" s="173" t="s">
        <v>1329</v>
      </c>
      <c r="G151" s="174" t="s">
        <v>64</v>
      </c>
      <c r="H151" s="175">
        <v>14070</v>
      </c>
      <c r="I151" s="175">
        <v>29660</v>
      </c>
      <c r="J151" s="175">
        <v>15590</v>
      </c>
    </row>
    <row r="152" spans="1:10" x14ac:dyDescent="0.3">
      <c r="A152" s="171">
        <v>148</v>
      </c>
      <c r="B152" s="171" t="s">
        <v>1330</v>
      </c>
      <c r="C152" s="172">
        <v>46195</v>
      </c>
      <c r="D152" s="173" t="s">
        <v>1331</v>
      </c>
      <c r="E152" s="172">
        <v>46195</v>
      </c>
      <c r="F152" s="173" t="s">
        <v>1332</v>
      </c>
      <c r="G152" s="174" t="s">
        <v>143</v>
      </c>
      <c r="H152" s="175">
        <v>13820</v>
      </c>
      <c r="I152" s="175">
        <v>30510</v>
      </c>
      <c r="J152" s="175">
        <v>16690</v>
      </c>
    </row>
    <row r="153" spans="1:10" x14ac:dyDescent="0.3">
      <c r="A153" s="171">
        <v>149</v>
      </c>
      <c r="B153" s="171" t="s">
        <v>1333</v>
      </c>
      <c r="C153" s="172">
        <v>46195</v>
      </c>
      <c r="D153" s="173" t="s">
        <v>1334</v>
      </c>
      <c r="E153" s="172">
        <v>46195</v>
      </c>
      <c r="F153" s="173" t="s">
        <v>847</v>
      </c>
      <c r="G153" s="174" t="s">
        <v>335</v>
      </c>
      <c r="H153" s="175">
        <v>13780</v>
      </c>
      <c r="I153" s="175">
        <v>29340</v>
      </c>
      <c r="J153" s="175">
        <v>15560</v>
      </c>
    </row>
    <row r="154" spans="1:10" x14ac:dyDescent="0.3">
      <c r="A154" s="171">
        <v>150</v>
      </c>
      <c r="B154" s="171" t="s">
        <v>1335</v>
      </c>
      <c r="C154" s="172">
        <v>46195</v>
      </c>
      <c r="D154" s="173" t="s">
        <v>1336</v>
      </c>
      <c r="E154" s="172">
        <v>46195</v>
      </c>
      <c r="F154" s="173" t="s">
        <v>1337</v>
      </c>
      <c r="G154" s="174" t="s">
        <v>80</v>
      </c>
      <c r="H154" s="175">
        <v>14310</v>
      </c>
      <c r="I154" s="175">
        <v>30720</v>
      </c>
      <c r="J154" s="175">
        <v>16410</v>
      </c>
    </row>
    <row r="155" spans="1:10" x14ac:dyDescent="0.3">
      <c r="A155" s="171">
        <v>151</v>
      </c>
      <c r="B155" s="171" t="s">
        <v>1338</v>
      </c>
      <c r="C155" s="172">
        <v>46195</v>
      </c>
      <c r="D155" s="173" t="s">
        <v>1339</v>
      </c>
      <c r="E155" s="172">
        <v>46195</v>
      </c>
      <c r="F155" s="173" t="s">
        <v>1340</v>
      </c>
      <c r="G155" s="174" t="s">
        <v>55</v>
      </c>
      <c r="H155" s="175">
        <v>13770</v>
      </c>
      <c r="I155" s="175">
        <v>29950</v>
      </c>
      <c r="J155" s="175">
        <v>16180</v>
      </c>
    </row>
    <row r="156" spans="1:10" x14ac:dyDescent="0.3">
      <c r="A156" s="171">
        <v>152</v>
      </c>
      <c r="B156" s="171" t="s">
        <v>1341</v>
      </c>
      <c r="C156" s="172">
        <v>46195</v>
      </c>
      <c r="D156" s="173" t="s">
        <v>1342</v>
      </c>
      <c r="E156" s="172">
        <v>46195</v>
      </c>
      <c r="F156" s="173" t="s">
        <v>1343</v>
      </c>
      <c r="G156" s="174" t="s">
        <v>844</v>
      </c>
      <c r="H156" s="175">
        <v>14010</v>
      </c>
      <c r="I156" s="175">
        <v>30190</v>
      </c>
      <c r="J156" s="175">
        <v>16180</v>
      </c>
    </row>
    <row r="157" spans="1:10" x14ac:dyDescent="0.3">
      <c r="A157" s="171">
        <v>153</v>
      </c>
      <c r="B157" s="171" t="s">
        <v>1344</v>
      </c>
      <c r="C157" s="172">
        <v>46195</v>
      </c>
      <c r="D157" s="173" t="s">
        <v>1345</v>
      </c>
      <c r="E157" s="172">
        <v>46195</v>
      </c>
      <c r="F157" s="173" t="s">
        <v>1346</v>
      </c>
      <c r="G157" s="174" t="s">
        <v>85</v>
      </c>
      <c r="H157" s="175">
        <v>13910</v>
      </c>
      <c r="I157" s="175">
        <v>31410</v>
      </c>
      <c r="J157" s="175">
        <v>17500</v>
      </c>
    </row>
    <row r="158" spans="1:10" x14ac:dyDescent="0.3">
      <c r="A158" s="171">
        <v>154</v>
      </c>
      <c r="B158" s="171" t="s">
        <v>1347</v>
      </c>
      <c r="C158" s="172">
        <v>46195</v>
      </c>
      <c r="D158" s="173" t="s">
        <v>1348</v>
      </c>
      <c r="E158" s="172">
        <v>46195</v>
      </c>
      <c r="F158" s="173" t="s">
        <v>1349</v>
      </c>
      <c r="G158" s="174" t="s">
        <v>43</v>
      </c>
      <c r="H158" s="175">
        <v>13960</v>
      </c>
      <c r="I158" s="175">
        <v>30910</v>
      </c>
      <c r="J158" s="175">
        <v>16950</v>
      </c>
    </row>
    <row r="159" spans="1:10" x14ac:dyDescent="0.3">
      <c r="A159" s="171">
        <v>155</v>
      </c>
      <c r="B159" s="171" t="s">
        <v>1350</v>
      </c>
      <c r="C159" s="172">
        <v>46196</v>
      </c>
      <c r="D159" s="173" t="s">
        <v>848</v>
      </c>
      <c r="E159" s="172">
        <v>46196</v>
      </c>
      <c r="F159" s="173" t="s">
        <v>1351</v>
      </c>
      <c r="G159" s="174" t="s">
        <v>839</v>
      </c>
      <c r="H159" s="175">
        <v>14030</v>
      </c>
      <c r="I159" s="175">
        <v>34080</v>
      </c>
      <c r="J159" s="175">
        <v>20050</v>
      </c>
    </row>
    <row r="160" spans="1:10" x14ac:dyDescent="0.3">
      <c r="A160" s="171">
        <v>156</v>
      </c>
      <c r="B160" s="171" t="s">
        <v>1352</v>
      </c>
      <c r="C160" s="172">
        <v>46196</v>
      </c>
      <c r="D160" s="173" t="s">
        <v>1353</v>
      </c>
      <c r="E160" s="172">
        <v>46196</v>
      </c>
      <c r="F160" s="173" t="s">
        <v>1354</v>
      </c>
      <c r="G160" s="174" t="s">
        <v>76</v>
      </c>
      <c r="H160" s="175">
        <v>13830</v>
      </c>
      <c r="I160" s="175">
        <v>32440</v>
      </c>
      <c r="J160" s="175">
        <v>18610</v>
      </c>
    </row>
    <row r="161" spans="1:10" x14ac:dyDescent="0.3">
      <c r="A161" s="171">
        <v>157</v>
      </c>
      <c r="B161" s="171" t="s">
        <v>1355</v>
      </c>
      <c r="C161" s="172">
        <v>46196</v>
      </c>
      <c r="D161" s="173" t="s">
        <v>1356</v>
      </c>
      <c r="E161" s="172">
        <v>46196</v>
      </c>
      <c r="F161" s="173" t="s">
        <v>1357</v>
      </c>
      <c r="G161" s="174" t="s">
        <v>841</v>
      </c>
      <c r="H161" s="175">
        <v>13810</v>
      </c>
      <c r="I161" s="175">
        <v>32090</v>
      </c>
      <c r="J161" s="175">
        <v>18280</v>
      </c>
    </row>
    <row r="162" spans="1:10" x14ac:dyDescent="0.3">
      <c r="A162" s="171">
        <v>158</v>
      </c>
      <c r="B162" s="171" t="s">
        <v>1358</v>
      </c>
      <c r="C162" s="172">
        <v>46196</v>
      </c>
      <c r="D162" s="173" t="s">
        <v>1359</v>
      </c>
      <c r="E162" s="172">
        <v>46196</v>
      </c>
      <c r="F162" s="173" t="s">
        <v>1360</v>
      </c>
      <c r="G162" s="174" t="s">
        <v>90</v>
      </c>
      <c r="H162" s="175">
        <v>13920</v>
      </c>
      <c r="I162" s="175">
        <v>34190</v>
      </c>
      <c r="J162" s="175">
        <v>20270</v>
      </c>
    </row>
    <row r="163" spans="1:10" x14ac:dyDescent="0.3">
      <c r="A163" s="171">
        <v>159</v>
      </c>
      <c r="B163" s="171" t="s">
        <v>1361</v>
      </c>
      <c r="C163" s="172">
        <v>46196</v>
      </c>
      <c r="D163" s="173" t="s">
        <v>1362</v>
      </c>
      <c r="E163" s="172">
        <v>46196</v>
      </c>
      <c r="F163" s="173" t="s">
        <v>1363</v>
      </c>
      <c r="G163" s="174" t="s">
        <v>336</v>
      </c>
      <c r="H163" s="175">
        <v>13810</v>
      </c>
      <c r="I163" s="175">
        <v>32300</v>
      </c>
      <c r="J163" s="175">
        <v>18490</v>
      </c>
    </row>
    <row r="164" spans="1:10" x14ac:dyDescent="0.3">
      <c r="A164" s="171">
        <v>160</v>
      </c>
      <c r="B164" s="171" t="s">
        <v>1364</v>
      </c>
      <c r="C164" s="172">
        <v>46196</v>
      </c>
      <c r="D164" s="173" t="s">
        <v>1365</v>
      </c>
      <c r="E164" s="172">
        <v>46196</v>
      </c>
      <c r="F164" s="173" t="s">
        <v>1366</v>
      </c>
      <c r="G164" s="174" t="s">
        <v>80</v>
      </c>
      <c r="H164" s="175">
        <v>14140</v>
      </c>
      <c r="I164" s="175">
        <v>33480</v>
      </c>
      <c r="J164" s="175">
        <v>19340</v>
      </c>
    </row>
    <row r="165" spans="1:10" x14ac:dyDescent="0.3">
      <c r="A165" s="171">
        <v>161</v>
      </c>
      <c r="B165" s="171" t="s">
        <v>1367</v>
      </c>
      <c r="C165" s="172">
        <v>46196</v>
      </c>
      <c r="D165" s="173" t="s">
        <v>1368</v>
      </c>
      <c r="E165" s="172">
        <v>46196</v>
      </c>
      <c r="F165" s="173" t="s">
        <v>1369</v>
      </c>
      <c r="G165" s="174" t="s">
        <v>85</v>
      </c>
      <c r="H165" s="175">
        <v>13860</v>
      </c>
      <c r="I165" s="175">
        <v>33170</v>
      </c>
      <c r="J165" s="175">
        <v>19310</v>
      </c>
    </row>
    <row r="166" spans="1:10" x14ac:dyDescent="0.3">
      <c r="A166" s="171">
        <v>162</v>
      </c>
      <c r="B166" s="171" t="s">
        <v>1370</v>
      </c>
      <c r="C166" s="172">
        <v>46196</v>
      </c>
      <c r="D166" s="173" t="s">
        <v>1371</v>
      </c>
      <c r="E166" s="172">
        <v>46196</v>
      </c>
      <c r="F166" s="173" t="s">
        <v>1372</v>
      </c>
      <c r="G166" s="174" t="s">
        <v>43</v>
      </c>
      <c r="H166" s="175">
        <v>13930</v>
      </c>
      <c r="I166" s="175">
        <v>32360</v>
      </c>
      <c r="J166" s="175">
        <v>18430</v>
      </c>
    </row>
    <row r="167" spans="1:10" x14ac:dyDescent="0.3">
      <c r="A167" s="171">
        <v>163</v>
      </c>
      <c r="B167" s="171" t="s">
        <v>1373</v>
      </c>
      <c r="C167" s="172">
        <v>46196</v>
      </c>
      <c r="D167" s="173" t="s">
        <v>1374</v>
      </c>
      <c r="E167" s="172">
        <v>46196</v>
      </c>
      <c r="F167" s="173" t="s">
        <v>1375</v>
      </c>
      <c r="G167" s="174" t="s">
        <v>55</v>
      </c>
      <c r="H167" s="175">
        <v>13740</v>
      </c>
      <c r="I167" s="175">
        <v>31760</v>
      </c>
      <c r="J167" s="175">
        <v>18020</v>
      </c>
    </row>
    <row r="168" spans="1:10" x14ac:dyDescent="0.3">
      <c r="A168" s="171">
        <v>164</v>
      </c>
      <c r="B168" s="171" t="s">
        <v>1376</v>
      </c>
      <c r="C168" s="172">
        <v>46196</v>
      </c>
      <c r="D168" s="173" t="s">
        <v>1377</v>
      </c>
      <c r="E168" s="172">
        <v>46196</v>
      </c>
      <c r="F168" s="173" t="s">
        <v>1378</v>
      </c>
      <c r="G168" s="174" t="s">
        <v>64</v>
      </c>
      <c r="H168" s="175">
        <v>13930</v>
      </c>
      <c r="I168" s="175">
        <v>33590</v>
      </c>
      <c r="J168" s="175">
        <v>19660</v>
      </c>
    </row>
    <row r="169" spans="1:10" x14ac:dyDescent="0.3">
      <c r="A169" s="171">
        <v>165</v>
      </c>
      <c r="B169" s="171" t="s">
        <v>1379</v>
      </c>
      <c r="C169" s="172">
        <v>46196</v>
      </c>
      <c r="D169" s="173" t="s">
        <v>1380</v>
      </c>
      <c r="E169" s="172">
        <v>46196</v>
      </c>
      <c r="F169" s="173" t="s">
        <v>1381</v>
      </c>
      <c r="G169" s="174" t="s">
        <v>842</v>
      </c>
      <c r="H169" s="175">
        <v>13920</v>
      </c>
      <c r="I169" s="175">
        <v>31390</v>
      </c>
      <c r="J169" s="175">
        <v>17470</v>
      </c>
    </row>
    <row r="170" spans="1:10" x14ac:dyDescent="0.3">
      <c r="A170" s="171">
        <v>166</v>
      </c>
      <c r="B170" s="171" t="s">
        <v>1382</v>
      </c>
      <c r="C170" s="172">
        <v>46196</v>
      </c>
      <c r="D170" s="173" t="s">
        <v>1383</v>
      </c>
      <c r="E170" s="172">
        <v>46196</v>
      </c>
      <c r="F170" s="173" t="s">
        <v>890</v>
      </c>
      <c r="G170" s="174" t="s">
        <v>335</v>
      </c>
      <c r="H170" s="175">
        <v>13720</v>
      </c>
      <c r="I170" s="175">
        <v>32130</v>
      </c>
      <c r="J170" s="175">
        <v>18410</v>
      </c>
    </row>
    <row r="171" spans="1:10" x14ac:dyDescent="0.3">
      <c r="A171" s="171">
        <v>167</v>
      </c>
      <c r="B171" s="171" t="s">
        <v>1384</v>
      </c>
      <c r="C171" s="172">
        <v>46196</v>
      </c>
      <c r="D171" s="173" t="s">
        <v>1385</v>
      </c>
      <c r="E171" s="172">
        <v>46196</v>
      </c>
      <c r="F171" s="173" t="s">
        <v>1386</v>
      </c>
      <c r="G171" s="174" t="s">
        <v>337</v>
      </c>
      <c r="H171" s="175">
        <v>13800</v>
      </c>
      <c r="I171" s="175">
        <v>32180</v>
      </c>
      <c r="J171" s="175">
        <v>18380</v>
      </c>
    </row>
    <row r="172" spans="1:10" x14ac:dyDescent="0.3">
      <c r="A172" s="171">
        <v>168</v>
      </c>
      <c r="B172" s="171" t="s">
        <v>1387</v>
      </c>
      <c r="C172" s="172">
        <v>46196</v>
      </c>
      <c r="D172" s="173" t="s">
        <v>1388</v>
      </c>
      <c r="E172" s="172">
        <v>46196</v>
      </c>
      <c r="F172" s="173" t="s">
        <v>1389</v>
      </c>
      <c r="G172" s="174" t="s">
        <v>844</v>
      </c>
      <c r="H172" s="175">
        <v>13900</v>
      </c>
      <c r="I172" s="175">
        <v>33710</v>
      </c>
      <c r="J172" s="175">
        <v>19810</v>
      </c>
    </row>
    <row r="173" spans="1:10" x14ac:dyDescent="0.3">
      <c r="A173" s="171">
        <v>169</v>
      </c>
      <c r="B173" s="171" t="s">
        <v>1390</v>
      </c>
      <c r="C173" s="172">
        <v>46196</v>
      </c>
      <c r="D173" s="173" t="s">
        <v>1391</v>
      </c>
      <c r="E173" s="172">
        <v>46196</v>
      </c>
      <c r="F173" s="173" t="s">
        <v>1392</v>
      </c>
      <c r="G173" s="174" t="s">
        <v>143</v>
      </c>
      <c r="H173" s="175">
        <v>13790</v>
      </c>
      <c r="I173" s="175">
        <v>32780</v>
      </c>
      <c r="J173" s="175">
        <v>18990</v>
      </c>
    </row>
    <row r="174" spans="1:10" x14ac:dyDescent="0.3">
      <c r="A174" s="171">
        <v>170</v>
      </c>
      <c r="B174" s="171" t="s">
        <v>1393</v>
      </c>
      <c r="C174" s="172">
        <v>46196</v>
      </c>
      <c r="D174" s="173" t="s">
        <v>1394</v>
      </c>
      <c r="E174" s="172">
        <v>46196</v>
      </c>
      <c r="F174" s="173" t="s">
        <v>882</v>
      </c>
      <c r="G174" s="174" t="s">
        <v>839</v>
      </c>
      <c r="H174" s="175">
        <v>14010</v>
      </c>
      <c r="I174" s="175">
        <v>32800</v>
      </c>
      <c r="J174" s="175">
        <v>18790</v>
      </c>
    </row>
    <row r="175" spans="1:10" x14ac:dyDescent="0.3">
      <c r="A175" s="171">
        <v>171</v>
      </c>
      <c r="B175" s="171" t="s">
        <v>1395</v>
      </c>
      <c r="C175" s="172">
        <v>46196</v>
      </c>
      <c r="D175" s="173" t="s">
        <v>1396</v>
      </c>
      <c r="E175" s="172">
        <v>46196</v>
      </c>
      <c r="F175" s="173" t="s">
        <v>1397</v>
      </c>
      <c r="G175" s="174" t="s">
        <v>76</v>
      </c>
      <c r="H175" s="175">
        <v>13810</v>
      </c>
      <c r="I175" s="175">
        <v>32480</v>
      </c>
      <c r="J175" s="175">
        <v>18670</v>
      </c>
    </row>
    <row r="176" spans="1:10" x14ac:dyDescent="0.3">
      <c r="A176" s="171">
        <v>172</v>
      </c>
      <c r="B176" s="171" t="s">
        <v>1398</v>
      </c>
      <c r="C176" s="172">
        <v>46196</v>
      </c>
      <c r="D176" s="173" t="s">
        <v>1399</v>
      </c>
      <c r="E176" s="172">
        <v>46196</v>
      </c>
      <c r="F176" s="173" t="s">
        <v>671</v>
      </c>
      <c r="G176" s="174" t="s">
        <v>841</v>
      </c>
      <c r="H176" s="175">
        <v>13790</v>
      </c>
      <c r="I176" s="175">
        <v>32330</v>
      </c>
      <c r="J176" s="175">
        <v>18540</v>
      </c>
    </row>
    <row r="177" spans="1:10" x14ac:dyDescent="0.3">
      <c r="A177" s="171">
        <v>173</v>
      </c>
      <c r="B177" s="171" t="s">
        <v>1400</v>
      </c>
      <c r="C177" s="172">
        <v>46196</v>
      </c>
      <c r="D177" s="173" t="s">
        <v>1401</v>
      </c>
      <c r="E177" s="172">
        <v>46196</v>
      </c>
      <c r="F177" s="173" t="s">
        <v>1402</v>
      </c>
      <c r="G177" s="174" t="s">
        <v>90</v>
      </c>
      <c r="H177" s="175">
        <v>13910</v>
      </c>
      <c r="I177" s="175">
        <v>32830</v>
      </c>
      <c r="J177" s="175">
        <v>18920</v>
      </c>
    </row>
    <row r="178" spans="1:10" x14ac:dyDescent="0.3">
      <c r="A178" s="171">
        <v>174</v>
      </c>
      <c r="B178" s="171" t="s">
        <v>1403</v>
      </c>
      <c r="C178" s="172">
        <v>46196</v>
      </c>
      <c r="D178" s="173" t="s">
        <v>1404</v>
      </c>
      <c r="E178" s="172">
        <v>46196</v>
      </c>
      <c r="F178" s="173" t="s">
        <v>1405</v>
      </c>
      <c r="G178" s="174" t="s">
        <v>336</v>
      </c>
      <c r="H178" s="175">
        <v>13780</v>
      </c>
      <c r="I178" s="175">
        <v>32720</v>
      </c>
      <c r="J178" s="175">
        <v>18940</v>
      </c>
    </row>
    <row r="179" spans="1:10" x14ac:dyDescent="0.3">
      <c r="A179" s="171">
        <v>175</v>
      </c>
      <c r="B179" s="171" t="s">
        <v>1406</v>
      </c>
      <c r="C179" s="172">
        <v>46196</v>
      </c>
      <c r="D179" s="173" t="s">
        <v>1407</v>
      </c>
      <c r="E179" s="172">
        <v>46196</v>
      </c>
      <c r="F179" s="173" t="s">
        <v>1408</v>
      </c>
      <c r="G179" s="174" t="s">
        <v>80</v>
      </c>
      <c r="H179" s="175">
        <v>14120</v>
      </c>
      <c r="I179" s="175">
        <v>33410</v>
      </c>
      <c r="J179" s="175">
        <v>19290</v>
      </c>
    </row>
    <row r="180" spans="1:10" x14ac:dyDescent="0.3">
      <c r="A180" s="171">
        <v>176</v>
      </c>
      <c r="B180" s="171" t="s">
        <v>1409</v>
      </c>
      <c r="C180" s="172">
        <v>46196</v>
      </c>
      <c r="D180" s="173" t="s">
        <v>1410</v>
      </c>
      <c r="E180" s="172">
        <v>46196</v>
      </c>
      <c r="F180" s="173" t="s">
        <v>1411</v>
      </c>
      <c r="G180" s="174" t="s">
        <v>85</v>
      </c>
      <c r="H180" s="175">
        <v>13830</v>
      </c>
      <c r="I180" s="175">
        <v>32670</v>
      </c>
      <c r="J180" s="175">
        <v>18840</v>
      </c>
    </row>
    <row r="181" spans="1:10" x14ac:dyDescent="0.3">
      <c r="A181" s="171">
        <v>177</v>
      </c>
      <c r="B181" s="171" t="s">
        <v>1412</v>
      </c>
      <c r="C181" s="172">
        <v>46196</v>
      </c>
      <c r="D181" s="173" t="s">
        <v>1413</v>
      </c>
      <c r="E181" s="172">
        <v>46196</v>
      </c>
      <c r="F181" s="173" t="s">
        <v>1414</v>
      </c>
      <c r="G181" s="174" t="s">
        <v>43</v>
      </c>
      <c r="H181" s="175">
        <v>13900</v>
      </c>
      <c r="I181" s="175">
        <v>32770</v>
      </c>
      <c r="J181" s="175">
        <v>18870</v>
      </c>
    </row>
    <row r="182" spans="1:10" x14ac:dyDescent="0.3">
      <c r="A182" s="171">
        <v>178</v>
      </c>
      <c r="B182" s="171" t="s">
        <v>1415</v>
      </c>
      <c r="C182" s="172">
        <v>46196</v>
      </c>
      <c r="D182" s="173" t="s">
        <v>1416</v>
      </c>
      <c r="E182" s="172">
        <v>46196</v>
      </c>
      <c r="F182" s="173" t="s">
        <v>1417</v>
      </c>
      <c r="G182" s="174" t="s">
        <v>64</v>
      </c>
      <c r="H182" s="175">
        <v>13900</v>
      </c>
      <c r="I182" s="175">
        <v>33860</v>
      </c>
      <c r="J182" s="175">
        <v>19960</v>
      </c>
    </row>
    <row r="183" spans="1:10" x14ac:dyDescent="0.3">
      <c r="A183" s="171">
        <v>179</v>
      </c>
      <c r="B183" s="171" t="s">
        <v>1418</v>
      </c>
      <c r="C183" s="172">
        <v>46196</v>
      </c>
      <c r="D183" s="173" t="s">
        <v>1419</v>
      </c>
      <c r="E183" s="172">
        <v>46196</v>
      </c>
      <c r="F183" s="173" t="s">
        <v>1420</v>
      </c>
      <c r="G183" s="174" t="s">
        <v>55</v>
      </c>
      <c r="H183" s="175">
        <v>13710</v>
      </c>
      <c r="I183" s="175">
        <v>32580</v>
      </c>
      <c r="J183" s="175">
        <v>18870</v>
      </c>
    </row>
    <row r="184" spans="1:10" x14ac:dyDescent="0.3">
      <c r="A184" s="171">
        <v>180</v>
      </c>
      <c r="B184" s="171" t="s">
        <v>1421</v>
      </c>
      <c r="C184" s="172">
        <v>46196</v>
      </c>
      <c r="D184" s="173" t="s">
        <v>1422</v>
      </c>
      <c r="E184" s="172">
        <v>46196</v>
      </c>
      <c r="F184" s="173" t="s">
        <v>1423</v>
      </c>
      <c r="G184" s="174" t="s">
        <v>842</v>
      </c>
      <c r="H184" s="175">
        <v>13910</v>
      </c>
      <c r="I184" s="175">
        <v>32890</v>
      </c>
      <c r="J184" s="175">
        <v>18980</v>
      </c>
    </row>
    <row r="185" spans="1:10" x14ac:dyDescent="0.3">
      <c r="A185" s="171">
        <v>181</v>
      </c>
      <c r="B185" s="171" t="s">
        <v>1424</v>
      </c>
      <c r="C185" s="172">
        <v>46196</v>
      </c>
      <c r="D185" s="173" t="s">
        <v>1425</v>
      </c>
      <c r="E185" s="172">
        <v>46196</v>
      </c>
      <c r="F185" s="173" t="s">
        <v>1426</v>
      </c>
      <c r="G185" s="174" t="s">
        <v>335</v>
      </c>
      <c r="H185" s="175">
        <v>13750</v>
      </c>
      <c r="I185" s="175">
        <v>32320</v>
      </c>
      <c r="J185" s="175">
        <v>18570</v>
      </c>
    </row>
    <row r="186" spans="1:10" x14ac:dyDescent="0.3">
      <c r="A186" s="171">
        <v>182</v>
      </c>
      <c r="B186" s="171" t="s">
        <v>1427</v>
      </c>
      <c r="C186" s="172">
        <v>46196</v>
      </c>
      <c r="D186" s="173" t="s">
        <v>1428</v>
      </c>
      <c r="E186" s="172">
        <v>46196</v>
      </c>
      <c r="F186" s="173" t="s">
        <v>1429</v>
      </c>
      <c r="G186" s="174" t="s">
        <v>844</v>
      </c>
      <c r="H186" s="175">
        <v>13890</v>
      </c>
      <c r="I186" s="175">
        <v>33140</v>
      </c>
      <c r="J186" s="175">
        <v>19250</v>
      </c>
    </row>
    <row r="187" spans="1:10" x14ac:dyDescent="0.3">
      <c r="A187" s="171">
        <v>183</v>
      </c>
      <c r="B187" s="171" t="s">
        <v>1430</v>
      </c>
      <c r="C187" s="172">
        <v>46196</v>
      </c>
      <c r="D187" s="173" t="s">
        <v>1431</v>
      </c>
      <c r="E187" s="172">
        <v>46196</v>
      </c>
      <c r="F187" s="173" t="s">
        <v>1432</v>
      </c>
      <c r="G187" s="174" t="s">
        <v>337</v>
      </c>
      <c r="H187" s="175">
        <v>13800</v>
      </c>
      <c r="I187" s="175">
        <v>33300</v>
      </c>
      <c r="J187" s="175">
        <v>19500</v>
      </c>
    </row>
    <row r="188" spans="1:10" x14ac:dyDescent="0.3">
      <c r="A188" s="171">
        <v>184</v>
      </c>
      <c r="B188" s="171" t="s">
        <v>1433</v>
      </c>
      <c r="C188" s="172">
        <v>46196</v>
      </c>
      <c r="D188" s="173" t="s">
        <v>861</v>
      </c>
      <c r="E188" s="172">
        <v>46196</v>
      </c>
      <c r="F188" s="173" t="s">
        <v>1434</v>
      </c>
      <c r="G188" s="174" t="s">
        <v>143</v>
      </c>
      <c r="H188" s="175">
        <v>13780</v>
      </c>
      <c r="I188" s="175">
        <v>32850</v>
      </c>
      <c r="J188" s="175">
        <v>19070</v>
      </c>
    </row>
    <row r="189" spans="1:10" x14ac:dyDescent="0.3">
      <c r="A189" s="171">
        <v>185</v>
      </c>
      <c r="B189" s="171" t="s">
        <v>1435</v>
      </c>
      <c r="C189" s="172">
        <v>46196</v>
      </c>
      <c r="D189" s="173" t="s">
        <v>1436</v>
      </c>
      <c r="E189" s="172">
        <v>46196</v>
      </c>
      <c r="F189" s="173" t="s">
        <v>1437</v>
      </c>
      <c r="G189" s="174" t="s">
        <v>839</v>
      </c>
      <c r="H189" s="175">
        <v>13980</v>
      </c>
      <c r="I189" s="175">
        <v>32630</v>
      </c>
      <c r="J189" s="175">
        <v>18650</v>
      </c>
    </row>
    <row r="190" spans="1:10" x14ac:dyDescent="0.3">
      <c r="A190" s="171">
        <v>186</v>
      </c>
      <c r="B190" s="171" t="s">
        <v>1438</v>
      </c>
      <c r="C190" s="172">
        <v>46196</v>
      </c>
      <c r="D190" s="173" t="s">
        <v>1439</v>
      </c>
      <c r="E190" s="172">
        <v>46196</v>
      </c>
      <c r="F190" s="173" t="s">
        <v>1440</v>
      </c>
      <c r="G190" s="174" t="s">
        <v>76</v>
      </c>
      <c r="H190" s="175">
        <v>13780</v>
      </c>
      <c r="I190" s="175">
        <v>33150</v>
      </c>
      <c r="J190" s="175">
        <v>19370</v>
      </c>
    </row>
    <row r="191" spans="1:10" x14ac:dyDescent="0.3">
      <c r="A191" s="171">
        <v>187</v>
      </c>
      <c r="B191" s="171" t="s">
        <v>1441</v>
      </c>
      <c r="C191" s="172">
        <v>46196</v>
      </c>
      <c r="D191" s="173" t="s">
        <v>1442</v>
      </c>
      <c r="E191" s="172">
        <v>46196</v>
      </c>
      <c r="F191" s="173" t="s">
        <v>1443</v>
      </c>
      <c r="G191" s="174" t="s">
        <v>841</v>
      </c>
      <c r="H191" s="175">
        <v>13750</v>
      </c>
      <c r="I191" s="175">
        <v>32700</v>
      </c>
      <c r="J191" s="175">
        <v>18950</v>
      </c>
    </row>
    <row r="192" spans="1:10" x14ac:dyDescent="0.3">
      <c r="A192" s="171">
        <v>188</v>
      </c>
      <c r="B192" s="171" t="s">
        <v>1444</v>
      </c>
      <c r="C192" s="172">
        <v>46196</v>
      </c>
      <c r="D192" s="173" t="s">
        <v>1445</v>
      </c>
      <c r="E192" s="172">
        <v>46196</v>
      </c>
      <c r="F192" s="173" t="s">
        <v>1446</v>
      </c>
      <c r="G192" s="174" t="s">
        <v>90</v>
      </c>
      <c r="H192" s="175">
        <v>13870</v>
      </c>
      <c r="I192" s="175">
        <v>33780</v>
      </c>
      <c r="J192" s="175">
        <v>19910</v>
      </c>
    </row>
    <row r="193" spans="1:10" x14ac:dyDescent="0.3">
      <c r="A193" s="171">
        <v>189</v>
      </c>
      <c r="B193" s="171" t="s">
        <v>1447</v>
      </c>
      <c r="C193" s="172">
        <v>46196</v>
      </c>
      <c r="D193" s="173" t="s">
        <v>1448</v>
      </c>
      <c r="E193" s="172">
        <v>46196</v>
      </c>
      <c r="F193" s="173" t="s">
        <v>1449</v>
      </c>
      <c r="G193" s="174" t="s">
        <v>336</v>
      </c>
      <c r="H193" s="175">
        <v>13750</v>
      </c>
      <c r="I193" s="175">
        <v>32090</v>
      </c>
      <c r="J193" s="175">
        <v>18340</v>
      </c>
    </row>
    <row r="194" spans="1:10" x14ac:dyDescent="0.3">
      <c r="A194" s="171">
        <v>190</v>
      </c>
      <c r="B194" s="171" t="s">
        <v>1450</v>
      </c>
      <c r="C194" s="172">
        <v>46196</v>
      </c>
      <c r="D194" s="173" t="s">
        <v>1451</v>
      </c>
      <c r="E194" s="172">
        <v>46196</v>
      </c>
      <c r="F194" s="173" t="s">
        <v>1452</v>
      </c>
      <c r="G194" s="174" t="s">
        <v>80</v>
      </c>
      <c r="H194" s="175">
        <v>14080</v>
      </c>
      <c r="I194" s="175">
        <v>34630</v>
      </c>
      <c r="J194" s="175">
        <v>20550</v>
      </c>
    </row>
    <row r="195" spans="1:10" x14ac:dyDescent="0.3">
      <c r="A195" s="171">
        <v>191</v>
      </c>
      <c r="B195" s="171" t="s">
        <v>1453</v>
      </c>
      <c r="C195" s="172">
        <v>46196</v>
      </c>
      <c r="D195" s="173" t="s">
        <v>1454</v>
      </c>
      <c r="E195" s="172">
        <v>46196</v>
      </c>
      <c r="F195" s="173" t="s">
        <v>1455</v>
      </c>
      <c r="G195" s="174" t="s">
        <v>43</v>
      </c>
      <c r="H195" s="175">
        <v>13860</v>
      </c>
      <c r="I195" s="175">
        <v>33110</v>
      </c>
      <c r="J195" s="175">
        <v>19250</v>
      </c>
    </row>
    <row r="196" spans="1:10" x14ac:dyDescent="0.3">
      <c r="A196" s="171">
        <v>192</v>
      </c>
      <c r="B196" s="171" t="s">
        <v>1456</v>
      </c>
      <c r="C196" s="172">
        <v>46196</v>
      </c>
      <c r="D196" s="173" t="s">
        <v>1457</v>
      </c>
      <c r="E196" s="172">
        <v>46196</v>
      </c>
      <c r="F196" s="173" t="s">
        <v>1458</v>
      </c>
      <c r="G196" s="174" t="s">
        <v>85</v>
      </c>
      <c r="H196" s="175">
        <v>13800</v>
      </c>
      <c r="I196" s="175">
        <v>33520</v>
      </c>
      <c r="J196" s="175">
        <v>19720</v>
      </c>
    </row>
    <row r="197" spans="1:10" x14ac:dyDescent="0.3">
      <c r="A197" s="171">
        <v>193</v>
      </c>
      <c r="B197" s="171" t="s">
        <v>1459</v>
      </c>
      <c r="C197" s="172">
        <v>46196</v>
      </c>
      <c r="D197" s="173" t="s">
        <v>1460</v>
      </c>
      <c r="E197" s="172">
        <v>46196</v>
      </c>
      <c r="F197" s="173" t="s">
        <v>1461</v>
      </c>
      <c r="G197" s="174" t="s">
        <v>64</v>
      </c>
      <c r="H197" s="175">
        <v>13870</v>
      </c>
      <c r="I197" s="175">
        <v>34010</v>
      </c>
      <c r="J197" s="175">
        <v>20140</v>
      </c>
    </row>
    <row r="198" spans="1:10" x14ac:dyDescent="0.3">
      <c r="A198" s="171">
        <v>194</v>
      </c>
      <c r="B198" s="171" t="s">
        <v>1462</v>
      </c>
      <c r="C198" s="172">
        <v>46196</v>
      </c>
      <c r="D198" s="173" t="s">
        <v>1463</v>
      </c>
      <c r="E198" s="172">
        <v>46196</v>
      </c>
      <c r="F198" s="173" t="s">
        <v>1464</v>
      </c>
      <c r="G198" s="174" t="s">
        <v>335</v>
      </c>
      <c r="H198" s="175">
        <v>13670</v>
      </c>
      <c r="I198" s="175">
        <v>33760</v>
      </c>
      <c r="J198" s="175">
        <v>20090</v>
      </c>
    </row>
    <row r="199" spans="1:10" x14ac:dyDescent="0.3">
      <c r="A199" s="171">
        <v>195</v>
      </c>
      <c r="B199" s="171" t="s">
        <v>1465</v>
      </c>
      <c r="C199" s="172">
        <v>46196</v>
      </c>
      <c r="D199" s="173" t="s">
        <v>1466</v>
      </c>
      <c r="E199" s="172">
        <v>46196</v>
      </c>
      <c r="F199" s="173" t="s">
        <v>1467</v>
      </c>
      <c r="G199" s="174" t="s">
        <v>55</v>
      </c>
      <c r="H199" s="175">
        <v>13680</v>
      </c>
      <c r="I199" s="175">
        <v>34250</v>
      </c>
      <c r="J199" s="175">
        <v>20570</v>
      </c>
    </row>
    <row r="200" spans="1:10" x14ac:dyDescent="0.3">
      <c r="A200" s="171">
        <v>196</v>
      </c>
      <c r="B200" s="171" t="s">
        <v>1468</v>
      </c>
      <c r="C200" s="172">
        <v>46196</v>
      </c>
      <c r="D200" s="173" t="s">
        <v>1469</v>
      </c>
      <c r="E200" s="172">
        <v>46196</v>
      </c>
      <c r="F200" s="173" t="s">
        <v>1470</v>
      </c>
      <c r="G200" s="174" t="s">
        <v>844</v>
      </c>
      <c r="H200" s="175">
        <v>13840</v>
      </c>
      <c r="I200" s="175">
        <v>33260</v>
      </c>
      <c r="J200" s="175">
        <v>19420</v>
      </c>
    </row>
    <row r="201" spans="1:10" x14ac:dyDescent="0.3">
      <c r="A201" s="171">
        <v>197</v>
      </c>
      <c r="B201" s="171" t="s">
        <v>1471</v>
      </c>
      <c r="C201" s="172">
        <v>46196</v>
      </c>
      <c r="D201" s="173" t="s">
        <v>1472</v>
      </c>
      <c r="E201" s="172">
        <v>46196</v>
      </c>
      <c r="F201" s="173" t="s">
        <v>1473</v>
      </c>
      <c r="G201" s="174" t="s">
        <v>842</v>
      </c>
      <c r="H201" s="175">
        <v>13850</v>
      </c>
      <c r="I201" s="175">
        <v>32860</v>
      </c>
      <c r="J201" s="175">
        <v>19010</v>
      </c>
    </row>
    <row r="202" spans="1:10" x14ac:dyDescent="0.3">
      <c r="A202" s="171">
        <v>198</v>
      </c>
      <c r="B202" s="171" t="s">
        <v>1474</v>
      </c>
      <c r="C202" s="172">
        <v>46196</v>
      </c>
      <c r="D202" s="173" t="s">
        <v>1475</v>
      </c>
      <c r="E202" s="172">
        <v>46196</v>
      </c>
      <c r="F202" s="173" t="s">
        <v>1476</v>
      </c>
      <c r="G202" s="174" t="s">
        <v>839</v>
      </c>
      <c r="H202" s="175">
        <v>13940</v>
      </c>
      <c r="I202" s="175">
        <v>34140</v>
      </c>
      <c r="J202" s="175">
        <v>20200</v>
      </c>
    </row>
    <row r="203" spans="1:10" x14ac:dyDescent="0.3">
      <c r="A203" s="171">
        <v>199</v>
      </c>
      <c r="B203" s="171" t="s">
        <v>1477</v>
      </c>
      <c r="C203" s="172">
        <v>46196</v>
      </c>
      <c r="D203" s="173" t="s">
        <v>1478</v>
      </c>
      <c r="E203" s="172">
        <v>46196</v>
      </c>
      <c r="F203" s="173" t="s">
        <v>1479</v>
      </c>
      <c r="G203" s="174" t="s">
        <v>76</v>
      </c>
      <c r="H203" s="175">
        <v>13700</v>
      </c>
      <c r="I203" s="175">
        <v>35210</v>
      </c>
      <c r="J203" s="175">
        <v>21510</v>
      </c>
    </row>
    <row r="204" spans="1:10" x14ac:dyDescent="0.3">
      <c r="A204" s="171">
        <v>200</v>
      </c>
      <c r="B204" s="171" t="s">
        <v>1480</v>
      </c>
      <c r="C204" s="172">
        <v>46196</v>
      </c>
      <c r="D204" s="173" t="s">
        <v>1481</v>
      </c>
      <c r="E204" s="172">
        <v>46196</v>
      </c>
      <c r="F204" s="173" t="s">
        <v>1482</v>
      </c>
      <c r="G204" s="174" t="s">
        <v>143</v>
      </c>
      <c r="H204" s="175">
        <v>13690</v>
      </c>
      <c r="I204" s="175">
        <v>34130</v>
      </c>
      <c r="J204" s="175">
        <v>20440</v>
      </c>
    </row>
    <row r="205" spans="1:10" x14ac:dyDescent="0.3">
      <c r="A205" s="171">
        <v>201</v>
      </c>
      <c r="B205" s="171" t="s">
        <v>1483</v>
      </c>
      <c r="C205" s="172">
        <v>46196</v>
      </c>
      <c r="D205" s="173" t="s">
        <v>1484</v>
      </c>
      <c r="E205" s="172">
        <v>46196</v>
      </c>
      <c r="F205" s="173" t="s">
        <v>1485</v>
      </c>
      <c r="G205" s="174" t="s">
        <v>841</v>
      </c>
      <c r="H205" s="175">
        <v>13710</v>
      </c>
      <c r="I205" s="175">
        <v>32770</v>
      </c>
      <c r="J205" s="175">
        <v>19060</v>
      </c>
    </row>
    <row r="206" spans="1:10" x14ac:dyDescent="0.3">
      <c r="A206" s="171">
        <v>202</v>
      </c>
      <c r="B206" s="171" t="s">
        <v>1486</v>
      </c>
      <c r="C206" s="172">
        <v>46196</v>
      </c>
      <c r="D206" s="173" t="s">
        <v>1487</v>
      </c>
      <c r="E206" s="172">
        <v>46196</v>
      </c>
      <c r="F206" s="173" t="s">
        <v>1488</v>
      </c>
      <c r="G206" s="174" t="s">
        <v>90</v>
      </c>
      <c r="H206" s="175">
        <v>13930</v>
      </c>
      <c r="I206" s="175">
        <v>32990</v>
      </c>
      <c r="J206" s="175">
        <v>19060</v>
      </c>
    </row>
    <row r="207" spans="1:10" x14ac:dyDescent="0.3">
      <c r="A207" s="171">
        <v>203</v>
      </c>
      <c r="B207" s="171" t="s">
        <v>1489</v>
      </c>
      <c r="C207" s="172">
        <v>46196</v>
      </c>
      <c r="D207" s="173" t="s">
        <v>1490</v>
      </c>
      <c r="E207" s="172">
        <v>46196</v>
      </c>
      <c r="F207" s="173" t="s">
        <v>1491</v>
      </c>
      <c r="G207" s="174" t="s">
        <v>336</v>
      </c>
      <c r="H207" s="175">
        <v>13710</v>
      </c>
      <c r="I207" s="175">
        <v>33490</v>
      </c>
      <c r="J207" s="175">
        <v>19780</v>
      </c>
    </row>
    <row r="208" spans="1:10" x14ac:dyDescent="0.3">
      <c r="A208" s="171">
        <v>204</v>
      </c>
      <c r="B208" s="171" t="s">
        <v>1492</v>
      </c>
      <c r="C208" s="172">
        <v>46196</v>
      </c>
      <c r="D208" s="173" t="s">
        <v>1493</v>
      </c>
      <c r="E208" s="172">
        <v>46196</v>
      </c>
      <c r="F208" s="173" t="s">
        <v>1494</v>
      </c>
      <c r="G208" s="174" t="s">
        <v>80</v>
      </c>
      <c r="H208" s="175">
        <v>14060</v>
      </c>
      <c r="I208" s="175">
        <v>34260</v>
      </c>
      <c r="J208" s="175">
        <v>20200</v>
      </c>
    </row>
    <row r="209" spans="1:10" x14ac:dyDescent="0.3">
      <c r="A209" s="171">
        <v>205</v>
      </c>
      <c r="B209" s="171" t="s">
        <v>1495</v>
      </c>
      <c r="C209" s="172">
        <v>46196</v>
      </c>
      <c r="D209" s="173" t="s">
        <v>1496</v>
      </c>
      <c r="E209" s="172">
        <v>46196</v>
      </c>
      <c r="F209" s="173" t="s">
        <v>1497</v>
      </c>
      <c r="G209" s="174" t="s">
        <v>43</v>
      </c>
      <c r="H209" s="175">
        <v>13850</v>
      </c>
      <c r="I209" s="175">
        <v>32870</v>
      </c>
      <c r="J209" s="175">
        <v>19020</v>
      </c>
    </row>
    <row r="210" spans="1:10" x14ac:dyDescent="0.3">
      <c r="A210" s="171">
        <v>206</v>
      </c>
      <c r="B210" s="171" t="s">
        <v>1498</v>
      </c>
      <c r="C210" s="172">
        <v>46196</v>
      </c>
      <c r="D210" s="173" t="s">
        <v>1499</v>
      </c>
      <c r="E210" s="172">
        <v>46196</v>
      </c>
      <c r="F210" s="173" t="s">
        <v>1500</v>
      </c>
      <c r="G210" s="174" t="s">
        <v>337</v>
      </c>
      <c r="H210" s="175">
        <v>13780</v>
      </c>
      <c r="I210" s="175">
        <v>32950</v>
      </c>
      <c r="J210" s="175">
        <v>19170</v>
      </c>
    </row>
    <row r="211" spans="1:10" x14ac:dyDescent="0.3">
      <c r="A211" s="171">
        <v>207</v>
      </c>
      <c r="B211" s="171" t="s">
        <v>1501</v>
      </c>
      <c r="C211" s="172">
        <v>46196</v>
      </c>
      <c r="D211" s="173" t="s">
        <v>1502</v>
      </c>
      <c r="E211" s="172">
        <v>46196</v>
      </c>
      <c r="F211" s="173" t="s">
        <v>1503</v>
      </c>
      <c r="G211" s="174" t="s">
        <v>85</v>
      </c>
      <c r="H211" s="175">
        <v>13880</v>
      </c>
      <c r="I211" s="175">
        <v>33770</v>
      </c>
      <c r="J211" s="175">
        <v>19890</v>
      </c>
    </row>
    <row r="212" spans="1:10" x14ac:dyDescent="0.3">
      <c r="A212" s="171">
        <v>208</v>
      </c>
      <c r="B212" s="171" t="s">
        <v>1504</v>
      </c>
      <c r="C212" s="172">
        <v>46196</v>
      </c>
      <c r="D212" s="173" t="s">
        <v>1505</v>
      </c>
      <c r="E212" s="172">
        <v>46196</v>
      </c>
      <c r="F212" s="173" t="s">
        <v>1506</v>
      </c>
      <c r="G212" s="174" t="s">
        <v>64</v>
      </c>
      <c r="H212" s="175">
        <v>13860</v>
      </c>
      <c r="I212" s="175">
        <v>33420</v>
      </c>
      <c r="J212" s="175">
        <v>19560</v>
      </c>
    </row>
    <row r="213" spans="1:10" x14ac:dyDescent="0.3">
      <c r="A213" s="171">
        <v>209</v>
      </c>
      <c r="B213" s="171" t="s">
        <v>1507</v>
      </c>
      <c r="C213" s="172">
        <v>46196</v>
      </c>
      <c r="D213" s="173" t="s">
        <v>1508</v>
      </c>
      <c r="E213" s="172">
        <v>46196</v>
      </c>
      <c r="F213" s="173" t="s">
        <v>1509</v>
      </c>
      <c r="G213" s="174" t="s">
        <v>55</v>
      </c>
      <c r="H213" s="175">
        <v>13650</v>
      </c>
      <c r="I213" s="175">
        <v>33090</v>
      </c>
      <c r="J213" s="175">
        <v>19440</v>
      </c>
    </row>
    <row r="214" spans="1:10" x14ac:dyDescent="0.3">
      <c r="A214" s="171">
        <v>210</v>
      </c>
      <c r="B214" s="171" t="s">
        <v>1510</v>
      </c>
      <c r="C214" s="172">
        <v>46196</v>
      </c>
      <c r="D214" s="173" t="s">
        <v>1511</v>
      </c>
      <c r="E214" s="172">
        <v>46196</v>
      </c>
      <c r="F214" s="173" t="s">
        <v>1512</v>
      </c>
      <c r="G214" s="174" t="s">
        <v>335</v>
      </c>
      <c r="H214" s="175">
        <v>13950</v>
      </c>
      <c r="I214" s="175">
        <v>32410</v>
      </c>
      <c r="J214" s="175">
        <v>18460</v>
      </c>
    </row>
    <row r="215" spans="1:10" x14ac:dyDescent="0.3">
      <c r="A215" s="171">
        <v>211</v>
      </c>
      <c r="B215" s="171" t="s">
        <v>1513</v>
      </c>
      <c r="C215" s="172">
        <v>46196</v>
      </c>
      <c r="D215" s="173" t="s">
        <v>1514</v>
      </c>
      <c r="E215" s="172">
        <v>46196</v>
      </c>
      <c r="F215" s="173" t="s">
        <v>1515</v>
      </c>
      <c r="G215" s="174" t="s">
        <v>844</v>
      </c>
      <c r="H215" s="175">
        <v>13820</v>
      </c>
      <c r="I215" s="175">
        <v>33750</v>
      </c>
      <c r="J215" s="175">
        <v>19930</v>
      </c>
    </row>
    <row r="216" spans="1:10" x14ac:dyDescent="0.3">
      <c r="A216" s="171">
        <v>212</v>
      </c>
      <c r="B216" s="171" t="s">
        <v>1516</v>
      </c>
      <c r="C216" s="172">
        <v>46196</v>
      </c>
      <c r="D216" s="173" t="s">
        <v>1517</v>
      </c>
      <c r="E216" s="172">
        <v>46196</v>
      </c>
      <c r="F216" s="173" t="s">
        <v>1518</v>
      </c>
      <c r="G216" s="174" t="s">
        <v>839</v>
      </c>
      <c r="H216" s="175">
        <v>13930</v>
      </c>
      <c r="I216" s="175">
        <v>34000</v>
      </c>
      <c r="J216" s="175">
        <v>20070</v>
      </c>
    </row>
    <row r="217" spans="1:10" x14ac:dyDescent="0.3">
      <c r="A217" s="171">
        <v>213</v>
      </c>
      <c r="B217" s="171" t="s">
        <v>1519</v>
      </c>
      <c r="C217" s="172">
        <v>46196</v>
      </c>
      <c r="D217" s="173" t="s">
        <v>1520</v>
      </c>
      <c r="E217" s="172">
        <v>46196</v>
      </c>
      <c r="F217" s="173" t="s">
        <v>1521</v>
      </c>
      <c r="G217" s="174" t="s">
        <v>842</v>
      </c>
      <c r="H217" s="175">
        <v>13830</v>
      </c>
      <c r="I217" s="175">
        <v>32170</v>
      </c>
      <c r="J217" s="175">
        <v>18340</v>
      </c>
    </row>
    <row r="218" spans="1:10" x14ac:dyDescent="0.3">
      <c r="A218" s="171">
        <v>214</v>
      </c>
      <c r="B218" s="171" t="s">
        <v>1522</v>
      </c>
      <c r="C218" s="172">
        <v>46196</v>
      </c>
      <c r="D218" s="173" t="s">
        <v>1523</v>
      </c>
      <c r="E218" s="172">
        <v>46196</v>
      </c>
      <c r="F218" s="173" t="s">
        <v>1524</v>
      </c>
      <c r="G218" s="174" t="s">
        <v>76</v>
      </c>
      <c r="H218" s="175">
        <v>13730</v>
      </c>
      <c r="I218" s="175">
        <v>31630</v>
      </c>
      <c r="J218" s="175">
        <v>17900</v>
      </c>
    </row>
    <row r="219" spans="1:10" x14ac:dyDescent="0.3">
      <c r="A219" s="171">
        <v>215</v>
      </c>
      <c r="B219" s="171" t="s">
        <v>1525</v>
      </c>
      <c r="C219" s="172">
        <v>46196</v>
      </c>
      <c r="D219" s="173" t="s">
        <v>1526</v>
      </c>
      <c r="E219" s="172">
        <v>46196</v>
      </c>
      <c r="F219" s="173" t="s">
        <v>1269</v>
      </c>
      <c r="G219" s="174" t="s">
        <v>143</v>
      </c>
      <c r="H219" s="175">
        <v>13750</v>
      </c>
      <c r="I219" s="175">
        <v>31640</v>
      </c>
      <c r="J219" s="175">
        <v>17890</v>
      </c>
    </row>
    <row r="220" spans="1:10" x14ac:dyDescent="0.3">
      <c r="A220" s="171">
        <v>216</v>
      </c>
      <c r="B220" s="171" t="s">
        <v>1527</v>
      </c>
      <c r="C220" s="172">
        <v>46196</v>
      </c>
      <c r="D220" s="173" t="s">
        <v>1528</v>
      </c>
      <c r="E220" s="172">
        <v>46196</v>
      </c>
      <c r="F220" s="173" t="s">
        <v>1529</v>
      </c>
      <c r="G220" s="174" t="s">
        <v>841</v>
      </c>
      <c r="H220" s="175">
        <v>14130</v>
      </c>
      <c r="I220" s="175">
        <v>34090</v>
      </c>
      <c r="J220" s="175">
        <v>19960</v>
      </c>
    </row>
    <row r="221" spans="1:10" x14ac:dyDescent="0.3">
      <c r="A221" s="171">
        <v>217</v>
      </c>
      <c r="B221" s="171" t="s">
        <v>1530</v>
      </c>
      <c r="C221" s="172">
        <v>46196</v>
      </c>
      <c r="D221" s="173" t="s">
        <v>1531</v>
      </c>
      <c r="E221" s="172">
        <v>46196</v>
      </c>
      <c r="F221" s="173" t="s">
        <v>1532</v>
      </c>
      <c r="G221" s="174" t="s">
        <v>336</v>
      </c>
      <c r="H221" s="175">
        <v>13810</v>
      </c>
      <c r="I221" s="175">
        <v>32310</v>
      </c>
      <c r="J221" s="175">
        <v>18500</v>
      </c>
    </row>
    <row r="222" spans="1:10" x14ac:dyDescent="0.3">
      <c r="A222" s="171">
        <v>218</v>
      </c>
      <c r="B222" s="171" t="s">
        <v>1533</v>
      </c>
      <c r="C222" s="172">
        <v>46196</v>
      </c>
      <c r="D222" s="173" t="s">
        <v>1534</v>
      </c>
      <c r="E222" s="172">
        <v>46196</v>
      </c>
      <c r="F222" s="173" t="s">
        <v>1535</v>
      </c>
      <c r="G222" s="174" t="s">
        <v>80</v>
      </c>
      <c r="H222" s="175">
        <v>14120</v>
      </c>
      <c r="I222" s="175">
        <v>33400</v>
      </c>
      <c r="J222" s="175">
        <v>19280</v>
      </c>
    </row>
    <row r="223" spans="1:10" x14ac:dyDescent="0.3">
      <c r="A223" s="171">
        <v>219</v>
      </c>
      <c r="B223" s="171" t="s">
        <v>1536</v>
      </c>
      <c r="C223" s="172">
        <v>46196</v>
      </c>
      <c r="D223" s="173" t="s">
        <v>1537</v>
      </c>
      <c r="E223" s="172">
        <v>46196</v>
      </c>
      <c r="F223" s="173" t="s">
        <v>1538</v>
      </c>
      <c r="G223" s="174" t="s">
        <v>90</v>
      </c>
      <c r="H223" s="175">
        <v>13870</v>
      </c>
      <c r="I223" s="175">
        <v>33450</v>
      </c>
      <c r="J223" s="175">
        <v>19580</v>
      </c>
    </row>
    <row r="224" spans="1:10" x14ac:dyDescent="0.3">
      <c r="A224" s="171">
        <v>220</v>
      </c>
      <c r="B224" s="171" t="s">
        <v>1539</v>
      </c>
      <c r="C224" s="172">
        <v>46196</v>
      </c>
      <c r="D224" s="173" t="s">
        <v>1540</v>
      </c>
      <c r="E224" s="172">
        <v>46196</v>
      </c>
      <c r="F224" s="173" t="s">
        <v>1541</v>
      </c>
      <c r="G224" s="174" t="s">
        <v>337</v>
      </c>
      <c r="H224" s="175">
        <v>13730</v>
      </c>
      <c r="I224" s="175">
        <v>32820</v>
      </c>
      <c r="J224" s="175">
        <v>19090</v>
      </c>
    </row>
    <row r="225" spans="1:10" x14ac:dyDescent="0.3">
      <c r="A225" s="171">
        <v>221</v>
      </c>
      <c r="B225" s="171" t="s">
        <v>1542</v>
      </c>
      <c r="C225" s="172">
        <v>46196</v>
      </c>
      <c r="D225" s="173" t="s">
        <v>1543</v>
      </c>
      <c r="E225" s="172">
        <v>46196</v>
      </c>
      <c r="F225" s="173" t="s">
        <v>1544</v>
      </c>
      <c r="G225" s="174" t="s">
        <v>43</v>
      </c>
      <c r="H225" s="175">
        <v>13820</v>
      </c>
      <c r="I225" s="175">
        <v>33220</v>
      </c>
      <c r="J225" s="175">
        <v>19400</v>
      </c>
    </row>
    <row r="226" spans="1:10" x14ac:dyDescent="0.3">
      <c r="A226" s="171">
        <v>222</v>
      </c>
      <c r="B226" s="171" t="s">
        <v>1545</v>
      </c>
      <c r="C226" s="172">
        <v>46196</v>
      </c>
      <c r="D226" s="173" t="s">
        <v>1546</v>
      </c>
      <c r="E226" s="172">
        <v>46196</v>
      </c>
      <c r="F226" s="173" t="s">
        <v>1547</v>
      </c>
      <c r="G226" s="174" t="s">
        <v>335</v>
      </c>
      <c r="H226" s="175">
        <v>13920</v>
      </c>
      <c r="I226" s="175">
        <v>32410</v>
      </c>
      <c r="J226" s="175">
        <v>18490</v>
      </c>
    </row>
    <row r="227" spans="1:10" x14ac:dyDescent="0.3">
      <c r="A227" s="171">
        <v>223</v>
      </c>
      <c r="B227" s="171" t="s">
        <v>1548</v>
      </c>
      <c r="C227" s="172">
        <v>46196</v>
      </c>
      <c r="D227" s="173" t="s">
        <v>1549</v>
      </c>
      <c r="E227" s="172">
        <v>46196</v>
      </c>
      <c r="F227" s="173" t="s">
        <v>1550</v>
      </c>
      <c r="G227" s="174" t="s">
        <v>64</v>
      </c>
      <c r="H227" s="175">
        <v>13770</v>
      </c>
      <c r="I227" s="175">
        <v>33530</v>
      </c>
      <c r="J227" s="175">
        <v>19760</v>
      </c>
    </row>
    <row r="228" spans="1:10" x14ac:dyDescent="0.3">
      <c r="A228" s="171">
        <v>224</v>
      </c>
      <c r="B228" s="171" t="s">
        <v>1551</v>
      </c>
      <c r="C228" s="172">
        <v>46196</v>
      </c>
      <c r="D228" s="173" t="s">
        <v>1552</v>
      </c>
      <c r="E228" s="172">
        <v>46196</v>
      </c>
      <c r="F228" s="173" t="s">
        <v>1553</v>
      </c>
      <c r="G228" s="174" t="s">
        <v>85</v>
      </c>
      <c r="H228" s="175">
        <v>14090</v>
      </c>
      <c r="I228" s="175">
        <v>32180</v>
      </c>
      <c r="J228" s="175">
        <v>18090</v>
      </c>
    </row>
    <row r="229" spans="1:10" x14ac:dyDescent="0.3">
      <c r="A229" s="171">
        <v>225</v>
      </c>
      <c r="B229" s="171" t="s">
        <v>1554</v>
      </c>
      <c r="C229" s="172">
        <v>46196</v>
      </c>
      <c r="D229" s="173" t="s">
        <v>1555</v>
      </c>
      <c r="E229" s="172">
        <v>46196</v>
      </c>
      <c r="F229" s="173" t="s">
        <v>1556</v>
      </c>
      <c r="G229" s="174" t="s">
        <v>844</v>
      </c>
      <c r="H229" s="175">
        <v>13780</v>
      </c>
      <c r="I229" s="175">
        <v>33210</v>
      </c>
      <c r="J229" s="175">
        <v>19430</v>
      </c>
    </row>
    <row r="230" spans="1:10" x14ac:dyDescent="0.3">
      <c r="A230" s="171">
        <v>226</v>
      </c>
      <c r="B230" s="171" t="s">
        <v>1557</v>
      </c>
      <c r="C230" s="172">
        <v>46196</v>
      </c>
      <c r="D230" s="173" t="s">
        <v>1558</v>
      </c>
      <c r="E230" s="172">
        <v>46196</v>
      </c>
      <c r="F230" s="173" t="s">
        <v>1559</v>
      </c>
      <c r="G230" s="174" t="s">
        <v>842</v>
      </c>
      <c r="H230" s="175">
        <v>13810</v>
      </c>
      <c r="I230" s="175">
        <v>33710</v>
      </c>
      <c r="J230" s="175">
        <v>19900</v>
      </c>
    </row>
    <row r="231" spans="1:10" x14ac:dyDescent="0.3">
      <c r="A231" s="171">
        <v>227</v>
      </c>
      <c r="B231" s="171" t="s">
        <v>1560</v>
      </c>
      <c r="C231" s="172">
        <v>46196</v>
      </c>
      <c r="D231" s="173" t="s">
        <v>1561</v>
      </c>
      <c r="E231" s="172">
        <v>46196</v>
      </c>
      <c r="F231" s="173" t="s">
        <v>1562</v>
      </c>
      <c r="G231" s="174" t="s">
        <v>55</v>
      </c>
      <c r="H231" s="175">
        <v>13990</v>
      </c>
      <c r="I231" s="175">
        <v>32720</v>
      </c>
      <c r="J231" s="175">
        <v>18730</v>
      </c>
    </row>
    <row r="232" spans="1:10" x14ac:dyDescent="0.3">
      <c r="A232" s="171">
        <v>228</v>
      </c>
      <c r="B232" s="171" t="s">
        <v>1563</v>
      </c>
      <c r="C232" s="172">
        <v>46196</v>
      </c>
      <c r="D232" s="173" t="s">
        <v>1564</v>
      </c>
      <c r="E232" s="172">
        <v>46196</v>
      </c>
      <c r="F232" s="173" t="s">
        <v>1565</v>
      </c>
      <c r="G232" s="174" t="s">
        <v>80</v>
      </c>
      <c r="H232" s="175">
        <v>14020</v>
      </c>
      <c r="I232" s="175">
        <v>33170</v>
      </c>
      <c r="J232" s="175">
        <v>19150</v>
      </c>
    </row>
    <row r="233" spans="1:10" x14ac:dyDescent="0.3">
      <c r="A233" s="171">
        <v>229</v>
      </c>
      <c r="B233" s="171" t="s">
        <v>1566</v>
      </c>
      <c r="C233" s="172">
        <v>46196</v>
      </c>
      <c r="D233" s="173" t="s">
        <v>1567</v>
      </c>
      <c r="E233" s="172">
        <v>46196</v>
      </c>
      <c r="F233" s="173" t="s">
        <v>1568</v>
      </c>
      <c r="G233" s="174" t="s">
        <v>143</v>
      </c>
      <c r="H233" s="175">
        <v>13710</v>
      </c>
      <c r="I233" s="175">
        <v>32780</v>
      </c>
      <c r="J233" s="175">
        <v>19070</v>
      </c>
    </row>
    <row r="234" spans="1:10" x14ac:dyDescent="0.3">
      <c r="A234" s="171">
        <v>230</v>
      </c>
      <c r="B234" s="171" t="s">
        <v>1569</v>
      </c>
      <c r="C234" s="172">
        <v>46196</v>
      </c>
      <c r="D234" s="173" t="s">
        <v>1570</v>
      </c>
      <c r="E234" s="172">
        <v>46196</v>
      </c>
      <c r="F234" s="173" t="s">
        <v>1571</v>
      </c>
      <c r="G234" s="174" t="s">
        <v>337</v>
      </c>
      <c r="H234" s="175">
        <v>13980</v>
      </c>
      <c r="I234" s="175">
        <v>33300</v>
      </c>
      <c r="J234" s="175">
        <v>19320</v>
      </c>
    </row>
    <row r="235" spans="1:10" x14ac:dyDescent="0.3">
      <c r="A235" s="171">
        <v>231</v>
      </c>
      <c r="B235" s="171" t="s">
        <v>1572</v>
      </c>
      <c r="C235" s="172">
        <v>46196</v>
      </c>
      <c r="D235" s="173" t="s">
        <v>1573</v>
      </c>
      <c r="E235" s="172">
        <v>46196</v>
      </c>
      <c r="F235" s="173" t="s">
        <v>1574</v>
      </c>
      <c r="G235" s="174" t="s">
        <v>335</v>
      </c>
      <c r="H235" s="175">
        <v>13900</v>
      </c>
      <c r="I235" s="175">
        <v>31970</v>
      </c>
      <c r="J235" s="175">
        <v>18070</v>
      </c>
    </row>
    <row r="236" spans="1:10" x14ac:dyDescent="0.3">
      <c r="A236" s="171">
        <v>232</v>
      </c>
      <c r="B236" s="171" t="s">
        <v>1575</v>
      </c>
      <c r="C236" s="172">
        <v>46196</v>
      </c>
      <c r="D236" s="173" t="s">
        <v>1576</v>
      </c>
      <c r="E236" s="172">
        <v>46196</v>
      </c>
      <c r="F236" s="173" t="s">
        <v>1577</v>
      </c>
      <c r="G236" s="174" t="s">
        <v>85</v>
      </c>
      <c r="H236" s="175">
        <v>13900</v>
      </c>
      <c r="I236" s="175">
        <v>33440</v>
      </c>
      <c r="J236" s="175">
        <v>19540</v>
      </c>
    </row>
    <row r="237" spans="1:10" x14ac:dyDescent="0.3">
      <c r="A237" s="171">
        <v>233</v>
      </c>
      <c r="B237" s="171" t="s">
        <v>1578</v>
      </c>
      <c r="C237" s="172">
        <v>46196</v>
      </c>
      <c r="D237" s="173" t="s">
        <v>1579</v>
      </c>
      <c r="E237" s="172">
        <v>46196</v>
      </c>
      <c r="F237" s="173" t="s">
        <v>1580</v>
      </c>
      <c r="G237" s="174" t="s">
        <v>64</v>
      </c>
      <c r="H237" s="175">
        <v>14010</v>
      </c>
      <c r="I237" s="175">
        <v>33350</v>
      </c>
      <c r="J237" s="175">
        <v>19340</v>
      </c>
    </row>
    <row r="238" spans="1:10" x14ac:dyDescent="0.3">
      <c r="A238" s="171">
        <v>234</v>
      </c>
      <c r="B238" s="171" t="s">
        <v>1581</v>
      </c>
      <c r="C238" s="172">
        <v>46196</v>
      </c>
      <c r="D238" s="173" t="s">
        <v>1582</v>
      </c>
      <c r="E238" s="172">
        <v>46196</v>
      </c>
      <c r="F238" s="173" t="s">
        <v>1583</v>
      </c>
      <c r="G238" s="174" t="s">
        <v>844</v>
      </c>
      <c r="H238" s="175">
        <v>13910</v>
      </c>
      <c r="I238" s="175">
        <v>32330</v>
      </c>
      <c r="J238" s="175">
        <v>18420</v>
      </c>
    </row>
    <row r="239" spans="1:10" x14ac:dyDescent="0.3">
      <c r="A239" s="171">
        <v>235</v>
      </c>
      <c r="B239" s="171" t="s">
        <v>1584</v>
      </c>
      <c r="C239" s="172">
        <v>46196</v>
      </c>
      <c r="D239" s="173" t="s">
        <v>1585</v>
      </c>
      <c r="E239" s="172">
        <v>46196</v>
      </c>
      <c r="F239" s="173" t="s">
        <v>1586</v>
      </c>
      <c r="G239" s="174" t="s">
        <v>55</v>
      </c>
      <c r="H239" s="175">
        <v>13960</v>
      </c>
      <c r="I239" s="175">
        <v>31930</v>
      </c>
      <c r="J239" s="175">
        <v>17970</v>
      </c>
    </row>
    <row r="240" spans="1:10" x14ac:dyDescent="0.3">
      <c r="A240" s="171">
        <v>236</v>
      </c>
      <c r="B240" s="171" t="s">
        <v>1587</v>
      </c>
      <c r="C240" s="172">
        <v>46197</v>
      </c>
      <c r="D240" s="173" t="s">
        <v>880</v>
      </c>
      <c r="E240" s="172">
        <v>46197</v>
      </c>
      <c r="F240" s="173" t="s">
        <v>1588</v>
      </c>
      <c r="G240" s="174" t="s">
        <v>76</v>
      </c>
      <c r="H240" s="175">
        <v>14000</v>
      </c>
      <c r="I240" s="175">
        <v>34500</v>
      </c>
      <c r="J240" s="175">
        <v>20500</v>
      </c>
    </row>
    <row r="241" spans="1:10" x14ac:dyDescent="0.3">
      <c r="A241" s="171">
        <v>237</v>
      </c>
      <c r="B241" s="171" t="s">
        <v>1589</v>
      </c>
      <c r="C241" s="172">
        <v>46197</v>
      </c>
      <c r="D241" s="173" t="s">
        <v>1590</v>
      </c>
      <c r="E241" s="172">
        <v>46197</v>
      </c>
      <c r="F241" s="173" t="s">
        <v>1591</v>
      </c>
      <c r="G241" s="174" t="s">
        <v>839</v>
      </c>
      <c r="H241" s="175">
        <v>13880</v>
      </c>
      <c r="I241" s="175">
        <v>32900</v>
      </c>
      <c r="J241" s="175">
        <v>19020</v>
      </c>
    </row>
    <row r="242" spans="1:10" x14ac:dyDescent="0.3">
      <c r="A242" s="171">
        <v>238</v>
      </c>
      <c r="B242" s="171" t="s">
        <v>1592</v>
      </c>
      <c r="C242" s="172">
        <v>46197</v>
      </c>
      <c r="D242" s="173" t="s">
        <v>1593</v>
      </c>
      <c r="E242" s="172">
        <v>46197</v>
      </c>
      <c r="F242" s="173" t="s">
        <v>1594</v>
      </c>
      <c r="G242" s="174" t="s">
        <v>841</v>
      </c>
      <c r="H242" s="175">
        <v>14020</v>
      </c>
      <c r="I242" s="175">
        <v>32170</v>
      </c>
      <c r="J242" s="175">
        <v>18150</v>
      </c>
    </row>
    <row r="243" spans="1:10" x14ac:dyDescent="0.3">
      <c r="A243" s="171">
        <v>239</v>
      </c>
      <c r="B243" s="171" t="s">
        <v>1595</v>
      </c>
      <c r="C243" s="172">
        <v>46197</v>
      </c>
      <c r="D243" s="173" t="s">
        <v>1596</v>
      </c>
      <c r="E243" s="172">
        <v>46197</v>
      </c>
      <c r="F243" s="173" t="s">
        <v>1597</v>
      </c>
      <c r="G243" s="174" t="s">
        <v>337</v>
      </c>
      <c r="H243" s="175">
        <v>13880</v>
      </c>
      <c r="I243" s="175">
        <v>33840</v>
      </c>
      <c r="J243" s="175">
        <v>19960</v>
      </c>
    </row>
    <row r="244" spans="1:10" x14ac:dyDescent="0.3">
      <c r="A244" s="171">
        <v>240</v>
      </c>
      <c r="B244" s="171" t="s">
        <v>1598</v>
      </c>
      <c r="C244" s="172">
        <v>46197</v>
      </c>
      <c r="D244" s="173" t="s">
        <v>1599</v>
      </c>
      <c r="E244" s="172">
        <v>46197</v>
      </c>
      <c r="F244" s="173" t="s">
        <v>1600</v>
      </c>
      <c r="G244" s="174" t="s">
        <v>842</v>
      </c>
      <c r="H244" s="175">
        <v>14140</v>
      </c>
      <c r="I244" s="175">
        <v>34630</v>
      </c>
      <c r="J244" s="175">
        <v>20490</v>
      </c>
    </row>
    <row r="245" spans="1:10" x14ac:dyDescent="0.3">
      <c r="A245" s="171">
        <v>241</v>
      </c>
      <c r="B245" s="171" t="s">
        <v>1601</v>
      </c>
      <c r="C245" s="172">
        <v>46197</v>
      </c>
      <c r="D245" s="173" t="s">
        <v>1602</v>
      </c>
      <c r="E245" s="172">
        <v>46197</v>
      </c>
      <c r="F245" s="173" t="s">
        <v>1603</v>
      </c>
      <c r="G245" s="174" t="s">
        <v>64</v>
      </c>
      <c r="H245" s="175">
        <v>14020</v>
      </c>
      <c r="I245" s="175">
        <v>33630</v>
      </c>
      <c r="J245" s="175">
        <v>19610</v>
      </c>
    </row>
    <row r="246" spans="1:10" x14ac:dyDescent="0.3">
      <c r="A246" s="171">
        <v>242</v>
      </c>
      <c r="B246" s="171" t="s">
        <v>1604</v>
      </c>
      <c r="C246" s="172">
        <v>46197</v>
      </c>
      <c r="D246" s="173" t="s">
        <v>1605</v>
      </c>
      <c r="E246" s="172">
        <v>46197</v>
      </c>
      <c r="F246" s="173" t="s">
        <v>1606</v>
      </c>
      <c r="G246" s="174" t="s">
        <v>80</v>
      </c>
      <c r="H246" s="175">
        <v>13930</v>
      </c>
      <c r="I246" s="175">
        <v>33730</v>
      </c>
      <c r="J246" s="175">
        <v>19800</v>
      </c>
    </row>
    <row r="247" spans="1:10" x14ac:dyDescent="0.3">
      <c r="A247" s="171">
        <v>243</v>
      </c>
      <c r="B247" s="171" t="s">
        <v>1607</v>
      </c>
      <c r="C247" s="172">
        <v>46197</v>
      </c>
      <c r="D247" s="173" t="s">
        <v>1608</v>
      </c>
      <c r="E247" s="172">
        <v>46197</v>
      </c>
      <c r="F247" s="173" t="s">
        <v>1609</v>
      </c>
      <c r="G247" s="174" t="s">
        <v>90</v>
      </c>
      <c r="H247" s="175">
        <v>13780</v>
      </c>
      <c r="I247" s="175">
        <v>33490</v>
      </c>
      <c r="J247" s="175">
        <v>19710</v>
      </c>
    </row>
    <row r="248" spans="1:10" x14ac:dyDescent="0.3">
      <c r="A248" s="171">
        <v>244</v>
      </c>
      <c r="B248" s="171" t="s">
        <v>1610</v>
      </c>
      <c r="C248" s="172">
        <v>46197</v>
      </c>
      <c r="D248" s="173" t="s">
        <v>1611</v>
      </c>
      <c r="E248" s="172">
        <v>46197</v>
      </c>
      <c r="F248" s="173" t="s">
        <v>1612</v>
      </c>
      <c r="G248" s="174" t="s">
        <v>143</v>
      </c>
      <c r="H248" s="175">
        <v>13910</v>
      </c>
      <c r="I248" s="175">
        <v>34190</v>
      </c>
      <c r="J248" s="175">
        <v>20280</v>
      </c>
    </row>
    <row r="249" spans="1:10" x14ac:dyDescent="0.3">
      <c r="A249" s="171">
        <v>245</v>
      </c>
      <c r="B249" s="171" t="s">
        <v>1613</v>
      </c>
      <c r="C249" s="172">
        <v>46197</v>
      </c>
      <c r="D249" s="173" t="s">
        <v>1614</v>
      </c>
      <c r="E249" s="172">
        <v>46197</v>
      </c>
      <c r="F249" s="173" t="s">
        <v>1615</v>
      </c>
      <c r="G249" s="174" t="s">
        <v>335</v>
      </c>
      <c r="H249" s="175">
        <v>13870</v>
      </c>
      <c r="I249" s="175">
        <v>33950</v>
      </c>
      <c r="J249" s="175">
        <v>20080</v>
      </c>
    </row>
    <row r="250" spans="1:10" x14ac:dyDescent="0.3">
      <c r="A250" s="171">
        <v>246</v>
      </c>
      <c r="B250" s="171" t="s">
        <v>1616</v>
      </c>
      <c r="C250" s="172">
        <v>46197</v>
      </c>
      <c r="D250" s="173" t="s">
        <v>1617</v>
      </c>
      <c r="E250" s="172">
        <v>46197</v>
      </c>
      <c r="F250" s="173" t="s">
        <v>1618</v>
      </c>
      <c r="G250" s="174" t="s">
        <v>85</v>
      </c>
      <c r="H250" s="175">
        <v>13870</v>
      </c>
      <c r="I250" s="175">
        <v>34670</v>
      </c>
      <c r="J250" s="175">
        <v>20800</v>
      </c>
    </row>
    <row r="251" spans="1:10" x14ac:dyDescent="0.3">
      <c r="A251" s="171">
        <v>247</v>
      </c>
      <c r="B251" s="171" t="s">
        <v>1619</v>
      </c>
      <c r="C251" s="172">
        <v>46197</v>
      </c>
      <c r="D251" s="173" t="s">
        <v>1620</v>
      </c>
      <c r="E251" s="172">
        <v>46197</v>
      </c>
      <c r="F251" s="173" t="s">
        <v>1621</v>
      </c>
      <c r="G251" s="174" t="s">
        <v>55</v>
      </c>
      <c r="H251" s="175">
        <v>13900</v>
      </c>
      <c r="I251" s="175">
        <v>34570</v>
      </c>
      <c r="J251" s="175">
        <v>20670</v>
      </c>
    </row>
    <row r="252" spans="1:10" x14ac:dyDescent="0.3">
      <c r="A252" s="171">
        <v>248</v>
      </c>
      <c r="B252" s="171" t="s">
        <v>1622</v>
      </c>
      <c r="C252" s="172">
        <v>46197</v>
      </c>
      <c r="D252" s="173" t="s">
        <v>902</v>
      </c>
      <c r="E252" s="172">
        <v>46197</v>
      </c>
      <c r="F252" s="173" t="s">
        <v>1623</v>
      </c>
      <c r="G252" s="174" t="s">
        <v>43</v>
      </c>
      <c r="H252" s="175">
        <v>14030</v>
      </c>
      <c r="I252" s="175">
        <v>34210</v>
      </c>
      <c r="J252" s="175">
        <v>20180</v>
      </c>
    </row>
    <row r="253" spans="1:10" x14ac:dyDescent="0.3">
      <c r="A253" s="171">
        <v>249</v>
      </c>
      <c r="B253" s="171" t="s">
        <v>1624</v>
      </c>
      <c r="C253" s="172">
        <v>46197</v>
      </c>
      <c r="D253" s="173" t="s">
        <v>1625</v>
      </c>
      <c r="E253" s="172">
        <v>46197</v>
      </c>
      <c r="F253" s="173" t="s">
        <v>1626</v>
      </c>
      <c r="G253" s="174" t="s">
        <v>844</v>
      </c>
      <c r="H253" s="175">
        <v>13910</v>
      </c>
      <c r="I253" s="175">
        <v>33480</v>
      </c>
      <c r="J253" s="175">
        <v>19570</v>
      </c>
    </row>
    <row r="254" spans="1:10" x14ac:dyDescent="0.3">
      <c r="A254" s="171">
        <v>250</v>
      </c>
      <c r="B254" s="171" t="s">
        <v>1627</v>
      </c>
      <c r="C254" s="172">
        <v>46197</v>
      </c>
      <c r="D254" s="173" t="s">
        <v>1628</v>
      </c>
      <c r="E254" s="172">
        <v>46197</v>
      </c>
      <c r="F254" s="173" t="s">
        <v>1629</v>
      </c>
      <c r="G254" s="174" t="s">
        <v>336</v>
      </c>
      <c r="H254" s="175">
        <v>13970</v>
      </c>
      <c r="I254" s="175">
        <v>33650</v>
      </c>
      <c r="J254" s="175">
        <v>19680</v>
      </c>
    </row>
    <row r="255" spans="1:10" x14ac:dyDescent="0.3">
      <c r="A255" s="171">
        <v>251</v>
      </c>
      <c r="B255" s="171" t="s">
        <v>1630</v>
      </c>
      <c r="C255" s="172">
        <v>46197</v>
      </c>
      <c r="D255" s="173" t="s">
        <v>1631</v>
      </c>
      <c r="E255" s="172">
        <v>46197</v>
      </c>
      <c r="F255" s="173" t="s">
        <v>1632</v>
      </c>
      <c r="G255" s="174" t="s">
        <v>76</v>
      </c>
      <c r="H255" s="175">
        <v>13980</v>
      </c>
      <c r="I255" s="175">
        <v>33500</v>
      </c>
      <c r="J255" s="175">
        <v>19520</v>
      </c>
    </row>
    <row r="256" spans="1:10" x14ac:dyDescent="0.3">
      <c r="A256" s="171">
        <v>252</v>
      </c>
      <c r="B256" s="171" t="s">
        <v>1633</v>
      </c>
      <c r="C256" s="172">
        <v>46197</v>
      </c>
      <c r="D256" s="173" t="s">
        <v>1634</v>
      </c>
      <c r="E256" s="172">
        <v>46197</v>
      </c>
      <c r="F256" s="173" t="s">
        <v>1635</v>
      </c>
      <c r="G256" s="174" t="s">
        <v>839</v>
      </c>
      <c r="H256" s="175">
        <v>13870</v>
      </c>
      <c r="I256" s="175">
        <v>33030</v>
      </c>
      <c r="J256" s="175">
        <v>19160</v>
      </c>
    </row>
    <row r="257" spans="1:10" x14ac:dyDescent="0.3">
      <c r="A257" s="171">
        <v>253</v>
      </c>
      <c r="B257" s="171" t="s">
        <v>1636</v>
      </c>
      <c r="C257" s="172">
        <v>46197</v>
      </c>
      <c r="D257" s="173" t="s">
        <v>1637</v>
      </c>
      <c r="E257" s="172">
        <v>46197</v>
      </c>
      <c r="F257" s="173" t="s">
        <v>1638</v>
      </c>
      <c r="G257" s="174" t="s">
        <v>841</v>
      </c>
      <c r="H257" s="175">
        <v>14000</v>
      </c>
      <c r="I257" s="175">
        <v>33670</v>
      </c>
      <c r="J257" s="175">
        <v>19670</v>
      </c>
    </row>
    <row r="258" spans="1:10" x14ac:dyDescent="0.3">
      <c r="A258" s="171">
        <v>254</v>
      </c>
      <c r="B258" s="171" t="s">
        <v>1639</v>
      </c>
      <c r="C258" s="172">
        <v>46197</v>
      </c>
      <c r="D258" s="173" t="s">
        <v>1640</v>
      </c>
      <c r="E258" s="172">
        <v>46197</v>
      </c>
      <c r="F258" s="173" t="s">
        <v>854</v>
      </c>
      <c r="G258" s="174" t="s">
        <v>337</v>
      </c>
      <c r="H258" s="175">
        <v>13900</v>
      </c>
      <c r="I258" s="175">
        <v>33100</v>
      </c>
      <c r="J258" s="175">
        <v>19200</v>
      </c>
    </row>
    <row r="259" spans="1:10" x14ac:dyDescent="0.3">
      <c r="A259" s="171">
        <v>255</v>
      </c>
      <c r="B259" s="171" t="s">
        <v>1641</v>
      </c>
      <c r="C259" s="172">
        <v>46197</v>
      </c>
      <c r="D259" s="173" t="s">
        <v>1642</v>
      </c>
      <c r="E259" s="172">
        <v>46197</v>
      </c>
      <c r="F259" s="173" t="s">
        <v>1643</v>
      </c>
      <c r="G259" s="174" t="s">
        <v>842</v>
      </c>
      <c r="H259" s="175">
        <v>14110</v>
      </c>
      <c r="I259" s="175">
        <v>32830</v>
      </c>
      <c r="J259" s="175">
        <v>18720</v>
      </c>
    </row>
    <row r="260" spans="1:10" x14ac:dyDescent="0.3">
      <c r="A260" s="171">
        <v>256</v>
      </c>
      <c r="B260" s="171" t="s">
        <v>1644</v>
      </c>
      <c r="C260" s="172">
        <v>46197</v>
      </c>
      <c r="D260" s="173" t="s">
        <v>1645</v>
      </c>
      <c r="E260" s="172">
        <v>46197</v>
      </c>
      <c r="F260" s="173" t="s">
        <v>1646</v>
      </c>
      <c r="G260" s="174" t="s">
        <v>64</v>
      </c>
      <c r="H260" s="175">
        <v>14010</v>
      </c>
      <c r="I260" s="175">
        <v>33410</v>
      </c>
      <c r="J260" s="175">
        <v>19400</v>
      </c>
    </row>
    <row r="261" spans="1:10" x14ac:dyDescent="0.3">
      <c r="A261" s="171">
        <v>257</v>
      </c>
      <c r="B261" s="171" t="s">
        <v>1647</v>
      </c>
      <c r="C261" s="172">
        <v>46197</v>
      </c>
      <c r="D261" s="173" t="s">
        <v>1648</v>
      </c>
      <c r="E261" s="172">
        <v>46197</v>
      </c>
      <c r="F261" s="173" t="s">
        <v>1649</v>
      </c>
      <c r="G261" s="174" t="s">
        <v>80</v>
      </c>
      <c r="H261" s="175">
        <v>13900</v>
      </c>
      <c r="I261" s="175">
        <v>33760</v>
      </c>
      <c r="J261" s="175">
        <v>19860</v>
      </c>
    </row>
    <row r="262" spans="1:10" x14ac:dyDescent="0.3">
      <c r="A262" s="171">
        <v>258</v>
      </c>
      <c r="B262" s="171" t="s">
        <v>1650</v>
      </c>
      <c r="C262" s="172">
        <v>46197</v>
      </c>
      <c r="D262" s="173" t="s">
        <v>1651</v>
      </c>
      <c r="E262" s="172">
        <v>46197</v>
      </c>
      <c r="F262" s="173" t="s">
        <v>1652</v>
      </c>
      <c r="G262" s="174" t="s">
        <v>90</v>
      </c>
      <c r="H262" s="175">
        <v>13750</v>
      </c>
      <c r="I262" s="175">
        <v>33000</v>
      </c>
      <c r="J262" s="175">
        <v>19250</v>
      </c>
    </row>
    <row r="263" spans="1:10" x14ac:dyDescent="0.3">
      <c r="A263" s="171">
        <v>259</v>
      </c>
      <c r="B263" s="171" t="s">
        <v>1653</v>
      </c>
      <c r="C263" s="172">
        <v>46197</v>
      </c>
      <c r="D263" s="173" t="s">
        <v>1654</v>
      </c>
      <c r="E263" s="172">
        <v>46197</v>
      </c>
      <c r="F263" s="173" t="s">
        <v>1655</v>
      </c>
      <c r="G263" s="174" t="s">
        <v>143</v>
      </c>
      <c r="H263" s="175">
        <v>13870</v>
      </c>
      <c r="I263" s="175">
        <v>33110</v>
      </c>
      <c r="J263" s="175">
        <v>19240</v>
      </c>
    </row>
    <row r="264" spans="1:10" x14ac:dyDescent="0.3">
      <c r="A264" s="171">
        <v>260</v>
      </c>
      <c r="B264" s="171" t="s">
        <v>1656</v>
      </c>
      <c r="C264" s="172">
        <v>46197</v>
      </c>
      <c r="D264" s="173" t="s">
        <v>1657</v>
      </c>
      <c r="E264" s="172">
        <v>46197</v>
      </c>
      <c r="F264" s="173" t="s">
        <v>1658</v>
      </c>
      <c r="G264" s="174" t="s">
        <v>335</v>
      </c>
      <c r="H264" s="175">
        <v>13850</v>
      </c>
      <c r="I264" s="175">
        <v>33830</v>
      </c>
      <c r="J264" s="175">
        <v>19980</v>
      </c>
    </row>
    <row r="265" spans="1:10" x14ac:dyDescent="0.3">
      <c r="A265" s="171">
        <v>261</v>
      </c>
      <c r="B265" s="171" t="s">
        <v>1659</v>
      </c>
      <c r="C265" s="172">
        <v>46197</v>
      </c>
      <c r="D265" s="173" t="s">
        <v>1660</v>
      </c>
      <c r="E265" s="172">
        <v>46197</v>
      </c>
      <c r="F265" s="173" t="s">
        <v>891</v>
      </c>
      <c r="G265" s="174" t="s">
        <v>85</v>
      </c>
      <c r="H265" s="175">
        <v>13880</v>
      </c>
      <c r="I265" s="175">
        <v>33580</v>
      </c>
      <c r="J265" s="175">
        <v>19700</v>
      </c>
    </row>
    <row r="266" spans="1:10" x14ac:dyDescent="0.3">
      <c r="A266" s="171">
        <v>262</v>
      </c>
      <c r="B266" s="171" t="s">
        <v>1661</v>
      </c>
      <c r="C266" s="172">
        <v>46197</v>
      </c>
      <c r="D266" s="173" t="s">
        <v>1662</v>
      </c>
      <c r="E266" s="172">
        <v>46197</v>
      </c>
      <c r="F266" s="173" t="s">
        <v>1663</v>
      </c>
      <c r="G266" s="174" t="s">
        <v>55</v>
      </c>
      <c r="H266" s="175">
        <v>13870</v>
      </c>
      <c r="I266" s="175">
        <v>33550</v>
      </c>
      <c r="J266" s="175">
        <v>19680</v>
      </c>
    </row>
    <row r="267" spans="1:10" x14ac:dyDescent="0.3">
      <c r="A267" s="171">
        <v>263</v>
      </c>
      <c r="B267" s="171" t="s">
        <v>1664</v>
      </c>
      <c r="C267" s="172">
        <v>46197</v>
      </c>
      <c r="D267" s="173" t="s">
        <v>1665</v>
      </c>
      <c r="E267" s="172">
        <v>46197</v>
      </c>
      <c r="F267" s="173" t="s">
        <v>1666</v>
      </c>
      <c r="G267" s="174" t="s">
        <v>43</v>
      </c>
      <c r="H267" s="175">
        <v>14030</v>
      </c>
      <c r="I267" s="175">
        <v>33920</v>
      </c>
      <c r="J267" s="175">
        <v>19890</v>
      </c>
    </row>
    <row r="268" spans="1:10" x14ac:dyDescent="0.3">
      <c r="A268" s="171">
        <v>264</v>
      </c>
      <c r="B268" s="171" t="s">
        <v>1667</v>
      </c>
      <c r="C268" s="172">
        <v>46197</v>
      </c>
      <c r="D268" s="173" t="s">
        <v>1668</v>
      </c>
      <c r="E268" s="172">
        <v>46197</v>
      </c>
      <c r="F268" s="173" t="s">
        <v>1669</v>
      </c>
      <c r="G268" s="174" t="s">
        <v>336</v>
      </c>
      <c r="H268" s="175">
        <v>13950</v>
      </c>
      <c r="I268" s="175">
        <v>33840</v>
      </c>
      <c r="J268" s="175">
        <v>19890</v>
      </c>
    </row>
    <row r="269" spans="1:10" x14ac:dyDescent="0.3">
      <c r="A269" s="171">
        <v>265</v>
      </c>
      <c r="B269" s="171" t="s">
        <v>1670</v>
      </c>
      <c r="C269" s="172">
        <v>46197</v>
      </c>
      <c r="D269" s="173" t="s">
        <v>1671</v>
      </c>
      <c r="E269" s="172">
        <v>46197</v>
      </c>
      <c r="F269" s="173" t="s">
        <v>1672</v>
      </c>
      <c r="G269" s="174" t="s">
        <v>844</v>
      </c>
      <c r="H269" s="175">
        <v>13900</v>
      </c>
      <c r="I269" s="175">
        <v>33370</v>
      </c>
      <c r="J269" s="175">
        <v>19470</v>
      </c>
    </row>
    <row r="270" spans="1:10" x14ac:dyDescent="0.3">
      <c r="A270" s="171">
        <v>266</v>
      </c>
      <c r="B270" s="171" t="s">
        <v>1673</v>
      </c>
      <c r="C270" s="172">
        <v>46197</v>
      </c>
      <c r="D270" s="173" t="s">
        <v>1674</v>
      </c>
      <c r="E270" s="172">
        <v>46197</v>
      </c>
      <c r="F270" s="173" t="s">
        <v>1675</v>
      </c>
      <c r="G270" s="174" t="s">
        <v>76</v>
      </c>
      <c r="H270" s="175">
        <v>13950</v>
      </c>
      <c r="I270" s="175">
        <v>32580</v>
      </c>
      <c r="J270" s="175">
        <v>18630</v>
      </c>
    </row>
    <row r="271" spans="1:10" x14ac:dyDescent="0.3">
      <c r="A271" s="171">
        <v>267</v>
      </c>
      <c r="B271" s="171" t="s">
        <v>1676</v>
      </c>
      <c r="C271" s="172">
        <v>46197</v>
      </c>
      <c r="D271" s="173" t="s">
        <v>1677</v>
      </c>
      <c r="E271" s="172">
        <v>46197</v>
      </c>
      <c r="F271" s="173" t="s">
        <v>1678</v>
      </c>
      <c r="G271" s="174" t="s">
        <v>839</v>
      </c>
      <c r="H271" s="175">
        <v>13800</v>
      </c>
      <c r="I271" s="175">
        <v>32510</v>
      </c>
      <c r="J271" s="175">
        <v>18710</v>
      </c>
    </row>
    <row r="272" spans="1:10" x14ac:dyDescent="0.3">
      <c r="A272" s="171">
        <v>268</v>
      </c>
      <c r="B272" s="171" t="s">
        <v>1679</v>
      </c>
      <c r="C272" s="172">
        <v>46197</v>
      </c>
      <c r="D272" s="173" t="s">
        <v>1680</v>
      </c>
      <c r="E272" s="172">
        <v>46197</v>
      </c>
      <c r="F272" s="173" t="s">
        <v>1681</v>
      </c>
      <c r="G272" s="174" t="s">
        <v>841</v>
      </c>
      <c r="H272" s="175">
        <v>13960</v>
      </c>
      <c r="I272" s="175">
        <v>34670</v>
      </c>
      <c r="J272" s="175">
        <v>20710</v>
      </c>
    </row>
    <row r="273" spans="1:10" x14ac:dyDescent="0.3">
      <c r="A273" s="171">
        <v>269</v>
      </c>
      <c r="B273" s="171" t="s">
        <v>1682</v>
      </c>
      <c r="C273" s="172">
        <v>46197</v>
      </c>
      <c r="D273" s="173" t="s">
        <v>608</v>
      </c>
      <c r="E273" s="172">
        <v>46197</v>
      </c>
      <c r="F273" s="173" t="s">
        <v>1683</v>
      </c>
      <c r="G273" s="174" t="s">
        <v>337</v>
      </c>
      <c r="H273" s="175">
        <v>13850</v>
      </c>
      <c r="I273" s="175">
        <v>33710</v>
      </c>
      <c r="J273" s="175">
        <v>19860</v>
      </c>
    </row>
    <row r="274" spans="1:10" x14ac:dyDescent="0.3">
      <c r="A274" s="171">
        <v>270</v>
      </c>
      <c r="B274" s="171" t="s">
        <v>1684</v>
      </c>
      <c r="C274" s="172">
        <v>46197</v>
      </c>
      <c r="D274" s="173" t="s">
        <v>1685</v>
      </c>
      <c r="E274" s="172">
        <v>46197</v>
      </c>
      <c r="F274" s="173" t="s">
        <v>1686</v>
      </c>
      <c r="G274" s="174" t="s">
        <v>842</v>
      </c>
      <c r="H274" s="175">
        <v>14090</v>
      </c>
      <c r="I274" s="175">
        <v>33370</v>
      </c>
      <c r="J274" s="175">
        <v>19280</v>
      </c>
    </row>
    <row r="275" spans="1:10" x14ac:dyDescent="0.3">
      <c r="A275" s="171">
        <v>271</v>
      </c>
      <c r="B275" s="171" t="s">
        <v>1687</v>
      </c>
      <c r="C275" s="172">
        <v>46197</v>
      </c>
      <c r="D275" s="173" t="s">
        <v>1688</v>
      </c>
      <c r="E275" s="172">
        <v>46197</v>
      </c>
      <c r="F275" s="173" t="s">
        <v>1689</v>
      </c>
      <c r="G275" s="174" t="s">
        <v>80</v>
      </c>
      <c r="H275" s="175">
        <v>13870</v>
      </c>
      <c r="I275" s="175">
        <v>29340</v>
      </c>
      <c r="J275" s="175">
        <v>15470</v>
      </c>
    </row>
    <row r="276" spans="1:10" x14ac:dyDescent="0.3">
      <c r="A276" s="171">
        <v>272</v>
      </c>
      <c r="B276" s="171" t="s">
        <v>1690</v>
      </c>
      <c r="C276" s="172">
        <v>46197</v>
      </c>
      <c r="D276" s="173" t="s">
        <v>1691</v>
      </c>
      <c r="E276" s="172">
        <v>46197</v>
      </c>
      <c r="F276" s="173" t="s">
        <v>1692</v>
      </c>
      <c r="G276" s="174" t="s">
        <v>64</v>
      </c>
      <c r="H276" s="175">
        <v>13970</v>
      </c>
      <c r="I276" s="175">
        <v>30430</v>
      </c>
      <c r="J276" s="175">
        <v>16460</v>
      </c>
    </row>
    <row r="277" spans="1:10" x14ac:dyDescent="0.3">
      <c r="A277" s="171">
        <v>273</v>
      </c>
      <c r="B277" s="171" t="s">
        <v>1693</v>
      </c>
      <c r="C277" s="172">
        <v>46197</v>
      </c>
      <c r="D277" s="173" t="s">
        <v>1694</v>
      </c>
      <c r="E277" s="172">
        <v>46197</v>
      </c>
      <c r="F277" s="173" t="s">
        <v>1695</v>
      </c>
      <c r="G277" s="174" t="s">
        <v>90</v>
      </c>
      <c r="H277" s="175">
        <v>13720</v>
      </c>
      <c r="I277" s="175">
        <v>29860</v>
      </c>
      <c r="J277" s="175">
        <v>16140</v>
      </c>
    </row>
    <row r="278" spans="1:10" x14ac:dyDescent="0.3">
      <c r="A278" s="171">
        <v>274</v>
      </c>
      <c r="B278" s="171" t="s">
        <v>1696</v>
      </c>
      <c r="C278" s="172">
        <v>46197</v>
      </c>
      <c r="D278" s="173" t="s">
        <v>1697</v>
      </c>
      <c r="E278" s="172">
        <v>46197</v>
      </c>
      <c r="F278" s="173" t="s">
        <v>1698</v>
      </c>
      <c r="G278" s="174" t="s">
        <v>85</v>
      </c>
      <c r="H278" s="175">
        <v>13820</v>
      </c>
      <c r="I278" s="175">
        <v>31920</v>
      </c>
      <c r="J278" s="175">
        <v>18100</v>
      </c>
    </row>
    <row r="279" spans="1:10" x14ac:dyDescent="0.3">
      <c r="A279" s="171">
        <v>275</v>
      </c>
      <c r="B279" s="171" t="s">
        <v>1699</v>
      </c>
      <c r="C279" s="172">
        <v>46197</v>
      </c>
      <c r="D279" s="173" t="s">
        <v>1700</v>
      </c>
      <c r="E279" s="172">
        <v>46197</v>
      </c>
      <c r="F279" s="173" t="s">
        <v>1701</v>
      </c>
      <c r="G279" s="174" t="s">
        <v>43</v>
      </c>
      <c r="H279" s="175">
        <v>14010</v>
      </c>
      <c r="I279" s="175">
        <v>30760</v>
      </c>
      <c r="J279" s="175">
        <v>16750</v>
      </c>
    </row>
    <row r="280" spans="1:10" x14ac:dyDescent="0.3">
      <c r="A280" s="171">
        <v>276</v>
      </c>
      <c r="B280" s="171" t="s">
        <v>1702</v>
      </c>
      <c r="C280" s="172">
        <v>46197</v>
      </c>
      <c r="D280" s="173" t="s">
        <v>1703</v>
      </c>
      <c r="E280" s="172">
        <v>46197</v>
      </c>
      <c r="F280" s="173" t="s">
        <v>863</v>
      </c>
      <c r="G280" s="174" t="s">
        <v>55</v>
      </c>
      <c r="H280" s="175">
        <v>13820</v>
      </c>
      <c r="I280" s="175">
        <v>29420</v>
      </c>
      <c r="J280" s="175">
        <v>15600</v>
      </c>
    </row>
    <row r="281" spans="1:10" x14ac:dyDescent="0.3">
      <c r="A281" s="171">
        <v>277</v>
      </c>
      <c r="B281" s="171" t="s">
        <v>1704</v>
      </c>
      <c r="C281" s="172">
        <v>46197</v>
      </c>
      <c r="D281" s="173" t="s">
        <v>1705</v>
      </c>
      <c r="E281" s="172">
        <v>46197</v>
      </c>
      <c r="F281" s="173" t="s">
        <v>1706</v>
      </c>
      <c r="G281" s="174" t="s">
        <v>336</v>
      </c>
      <c r="H281" s="175">
        <v>14010</v>
      </c>
      <c r="I281" s="175">
        <v>30070</v>
      </c>
      <c r="J281" s="175">
        <v>16060</v>
      </c>
    </row>
    <row r="282" spans="1:10" x14ac:dyDescent="0.3">
      <c r="A282" s="171">
        <v>278</v>
      </c>
      <c r="B282" s="171" t="s">
        <v>1707</v>
      </c>
      <c r="C282" s="172">
        <v>46197</v>
      </c>
      <c r="D282" s="173" t="s">
        <v>1708</v>
      </c>
      <c r="E282" s="172">
        <v>46197</v>
      </c>
      <c r="F282" s="173" t="s">
        <v>1709</v>
      </c>
      <c r="G282" s="174" t="s">
        <v>844</v>
      </c>
      <c r="H282" s="175">
        <v>13860</v>
      </c>
      <c r="I282" s="175">
        <v>31500</v>
      </c>
      <c r="J282" s="175">
        <v>17640</v>
      </c>
    </row>
    <row r="283" spans="1:10" x14ac:dyDescent="0.3">
      <c r="A283" s="171">
        <v>279</v>
      </c>
      <c r="B283" s="171" t="s">
        <v>1710</v>
      </c>
      <c r="C283" s="172">
        <v>46197</v>
      </c>
      <c r="D283" s="173" t="s">
        <v>1711</v>
      </c>
      <c r="E283" s="172">
        <v>46197</v>
      </c>
      <c r="F283" s="173" t="s">
        <v>1712</v>
      </c>
      <c r="G283" s="174" t="s">
        <v>76</v>
      </c>
      <c r="H283" s="175">
        <v>13920</v>
      </c>
      <c r="I283" s="175">
        <v>31460</v>
      </c>
      <c r="J283" s="175">
        <v>17540</v>
      </c>
    </row>
    <row r="284" spans="1:10" x14ac:dyDescent="0.3">
      <c r="A284" s="171">
        <v>280</v>
      </c>
      <c r="B284" s="171" t="s">
        <v>1713</v>
      </c>
      <c r="C284" s="172">
        <v>46197</v>
      </c>
      <c r="D284" s="173" t="s">
        <v>1714</v>
      </c>
      <c r="E284" s="172">
        <v>46197</v>
      </c>
      <c r="F284" s="173" t="s">
        <v>1715</v>
      </c>
      <c r="G284" s="174" t="s">
        <v>839</v>
      </c>
      <c r="H284" s="175">
        <v>13780</v>
      </c>
      <c r="I284" s="175">
        <v>31470</v>
      </c>
      <c r="J284" s="175">
        <v>17690</v>
      </c>
    </row>
    <row r="285" spans="1:10" x14ac:dyDescent="0.3">
      <c r="A285" s="171">
        <v>281</v>
      </c>
      <c r="B285" s="171" t="s">
        <v>1716</v>
      </c>
      <c r="C285" s="172">
        <v>46197</v>
      </c>
      <c r="D285" s="173" t="s">
        <v>1717</v>
      </c>
      <c r="E285" s="172">
        <v>46197</v>
      </c>
      <c r="F285" s="173" t="s">
        <v>1718</v>
      </c>
      <c r="G285" s="174" t="s">
        <v>337</v>
      </c>
      <c r="H285" s="175">
        <v>13830</v>
      </c>
      <c r="I285" s="175">
        <v>30760</v>
      </c>
      <c r="J285" s="175">
        <v>16930</v>
      </c>
    </row>
    <row r="286" spans="1:10" x14ac:dyDescent="0.3">
      <c r="A286" s="171">
        <v>282</v>
      </c>
      <c r="B286" s="171" t="s">
        <v>1719</v>
      </c>
      <c r="C286" s="172">
        <v>46197</v>
      </c>
      <c r="D286" s="173" t="s">
        <v>1720</v>
      </c>
      <c r="E286" s="172">
        <v>46197</v>
      </c>
      <c r="F286" s="173" t="s">
        <v>1721</v>
      </c>
      <c r="G286" s="174" t="s">
        <v>841</v>
      </c>
      <c r="H286" s="175">
        <v>13930</v>
      </c>
      <c r="I286" s="175">
        <v>31620</v>
      </c>
      <c r="J286" s="175">
        <v>17690</v>
      </c>
    </row>
    <row r="287" spans="1:10" x14ac:dyDescent="0.3">
      <c r="A287" s="171">
        <v>283</v>
      </c>
      <c r="B287" s="171" t="s">
        <v>1722</v>
      </c>
      <c r="C287" s="172">
        <v>46197</v>
      </c>
      <c r="D287" s="173" t="s">
        <v>850</v>
      </c>
      <c r="E287" s="172">
        <v>46197</v>
      </c>
      <c r="F287" s="173" t="s">
        <v>1723</v>
      </c>
      <c r="G287" s="174" t="s">
        <v>842</v>
      </c>
      <c r="H287" s="175">
        <v>14060</v>
      </c>
      <c r="I287" s="175">
        <v>30730</v>
      </c>
      <c r="J287" s="175">
        <v>16670</v>
      </c>
    </row>
    <row r="288" spans="1:10" x14ac:dyDescent="0.3">
      <c r="A288" s="171">
        <v>284</v>
      </c>
      <c r="B288" s="171" t="s">
        <v>1724</v>
      </c>
      <c r="C288" s="172">
        <v>46197</v>
      </c>
      <c r="D288" s="173" t="s">
        <v>1725</v>
      </c>
      <c r="E288" s="172">
        <v>46197</v>
      </c>
      <c r="F288" s="173" t="s">
        <v>1726</v>
      </c>
      <c r="G288" s="174" t="s">
        <v>80</v>
      </c>
      <c r="H288" s="175">
        <v>13850</v>
      </c>
      <c r="I288" s="175">
        <v>31390</v>
      </c>
      <c r="J288" s="175">
        <v>17540</v>
      </c>
    </row>
    <row r="289" spans="1:10" x14ac:dyDescent="0.3">
      <c r="A289" s="171">
        <v>285</v>
      </c>
      <c r="B289" s="171" t="s">
        <v>1727</v>
      </c>
      <c r="C289" s="172">
        <v>46197</v>
      </c>
      <c r="D289" s="173" t="s">
        <v>1728</v>
      </c>
      <c r="E289" s="172">
        <v>46197</v>
      </c>
      <c r="F289" s="173" t="s">
        <v>1729</v>
      </c>
      <c r="G289" s="174" t="s">
        <v>64</v>
      </c>
      <c r="H289" s="175">
        <v>13930</v>
      </c>
      <c r="I289" s="175">
        <v>30340</v>
      </c>
      <c r="J289" s="175">
        <v>16410</v>
      </c>
    </row>
    <row r="290" spans="1:10" x14ac:dyDescent="0.3">
      <c r="A290" s="171">
        <v>286</v>
      </c>
      <c r="B290" s="171" t="s">
        <v>1730</v>
      </c>
      <c r="C290" s="172">
        <v>46197</v>
      </c>
      <c r="D290" s="173" t="s">
        <v>1731</v>
      </c>
      <c r="E290" s="172">
        <v>46197</v>
      </c>
      <c r="F290" s="173" t="s">
        <v>868</v>
      </c>
      <c r="G290" s="174" t="s">
        <v>143</v>
      </c>
      <c r="H290" s="175">
        <v>14100</v>
      </c>
      <c r="I290" s="175">
        <v>32110</v>
      </c>
      <c r="J290" s="175">
        <v>18010</v>
      </c>
    </row>
    <row r="291" spans="1:10" x14ac:dyDescent="0.3">
      <c r="A291" s="171">
        <v>287</v>
      </c>
      <c r="B291" s="171" t="s">
        <v>1732</v>
      </c>
      <c r="C291" s="172">
        <v>46197</v>
      </c>
      <c r="D291" s="173" t="s">
        <v>1733</v>
      </c>
      <c r="E291" s="172">
        <v>46197</v>
      </c>
      <c r="F291" s="173" t="s">
        <v>1734</v>
      </c>
      <c r="G291" s="174" t="s">
        <v>335</v>
      </c>
      <c r="H291" s="175">
        <v>13820</v>
      </c>
      <c r="I291" s="175">
        <v>31850</v>
      </c>
      <c r="J291" s="175">
        <v>18030</v>
      </c>
    </row>
    <row r="292" spans="1:10" x14ac:dyDescent="0.3">
      <c r="A292" s="171">
        <v>288</v>
      </c>
      <c r="B292" s="171" t="s">
        <v>1735</v>
      </c>
      <c r="C292" s="172">
        <v>46197</v>
      </c>
      <c r="D292" s="173" t="s">
        <v>1736</v>
      </c>
      <c r="E292" s="172">
        <v>46197</v>
      </c>
      <c r="F292" s="173" t="s">
        <v>1737</v>
      </c>
      <c r="G292" s="174" t="s">
        <v>85</v>
      </c>
      <c r="H292" s="175">
        <v>13770</v>
      </c>
      <c r="I292" s="175">
        <v>33120</v>
      </c>
      <c r="J292" s="175">
        <v>19350</v>
      </c>
    </row>
    <row r="293" spans="1:10" x14ac:dyDescent="0.3">
      <c r="A293" s="171">
        <v>289</v>
      </c>
      <c r="B293" s="171" t="s">
        <v>1738</v>
      </c>
      <c r="C293" s="172">
        <v>46197</v>
      </c>
      <c r="D293" s="173" t="s">
        <v>1739</v>
      </c>
      <c r="E293" s="172">
        <v>46197</v>
      </c>
      <c r="F293" s="173" t="s">
        <v>1740</v>
      </c>
      <c r="G293" s="174" t="s">
        <v>90</v>
      </c>
      <c r="H293" s="175">
        <v>13940</v>
      </c>
      <c r="I293" s="175">
        <v>32750</v>
      </c>
      <c r="J293" s="175">
        <v>18810</v>
      </c>
    </row>
    <row r="294" spans="1:10" x14ac:dyDescent="0.3">
      <c r="A294" s="171">
        <v>290</v>
      </c>
      <c r="B294" s="171" t="s">
        <v>1741</v>
      </c>
      <c r="C294" s="172">
        <v>46197</v>
      </c>
      <c r="D294" s="173" t="s">
        <v>1742</v>
      </c>
      <c r="E294" s="172">
        <v>46197</v>
      </c>
      <c r="F294" s="173" t="s">
        <v>1743</v>
      </c>
      <c r="G294" s="174" t="s">
        <v>43</v>
      </c>
      <c r="H294" s="175">
        <v>14080</v>
      </c>
      <c r="I294" s="175">
        <v>33180</v>
      </c>
      <c r="J294" s="175">
        <v>19100</v>
      </c>
    </row>
    <row r="295" spans="1:10" x14ac:dyDescent="0.3">
      <c r="A295" s="171">
        <v>291</v>
      </c>
      <c r="B295" s="171" t="s">
        <v>1744</v>
      </c>
      <c r="C295" s="172">
        <v>46197</v>
      </c>
      <c r="D295" s="173" t="s">
        <v>1745</v>
      </c>
      <c r="E295" s="172">
        <v>46197</v>
      </c>
      <c r="F295" s="173" t="s">
        <v>1746</v>
      </c>
      <c r="G295" s="174" t="s">
        <v>55</v>
      </c>
      <c r="H295" s="175">
        <v>13800</v>
      </c>
      <c r="I295" s="175">
        <v>32250</v>
      </c>
      <c r="J295" s="175">
        <v>18450</v>
      </c>
    </row>
    <row r="296" spans="1:10" x14ac:dyDescent="0.3">
      <c r="A296" s="171">
        <v>292</v>
      </c>
      <c r="B296" s="171" t="s">
        <v>1747</v>
      </c>
      <c r="C296" s="172">
        <v>46197</v>
      </c>
      <c r="D296" s="173" t="s">
        <v>1748</v>
      </c>
      <c r="E296" s="172">
        <v>46197</v>
      </c>
      <c r="F296" s="173" t="s">
        <v>1749</v>
      </c>
      <c r="G296" s="174" t="s">
        <v>336</v>
      </c>
      <c r="H296" s="175">
        <v>13990</v>
      </c>
      <c r="I296" s="175">
        <v>32550</v>
      </c>
      <c r="J296" s="175">
        <v>18560</v>
      </c>
    </row>
    <row r="297" spans="1:10" x14ac:dyDescent="0.3">
      <c r="A297" s="171">
        <v>293</v>
      </c>
      <c r="B297" s="171" t="s">
        <v>1750</v>
      </c>
      <c r="C297" s="172">
        <v>46197</v>
      </c>
      <c r="D297" s="173" t="s">
        <v>856</v>
      </c>
      <c r="E297" s="172">
        <v>46197</v>
      </c>
      <c r="F297" s="173" t="s">
        <v>1751</v>
      </c>
      <c r="G297" s="174" t="s">
        <v>76</v>
      </c>
      <c r="H297" s="175">
        <v>13880</v>
      </c>
      <c r="I297" s="175">
        <v>34450</v>
      </c>
      <c r="J297" s="175">
        <v>20570</v>
      </c>
    </row>
    <row r="298" spans="1:10" x14ac:dyDescent="0.3">
      <c r="A298" s="171">
        <v>294</v>
      </c>
      <c r="B298" s="171" t="s">
        <v>1752</v>
      </c>
      <c r="C298" s="172">
        <v>46197</v>
      </c>
      <c r="D298" s="173" t="s">
        <v>1753</v>
      </c>
      <c r="E298" s="172">
        <v>46197</v>
      </c>
      <c r="F298" s="173" t="s">
        <v>1754</v>
      </c>
      <c r="G298" s="174" t="s">
        <v>844</v>
      </c>
      <c r="H298" s="175">
        <v>13830</v>
      </c>
      <c r="I298" s="175">
        <v>34080</v>
      </c>
      <c r="J298" s="175">
        <v>20250</v>
      </c>
    </row>
    <row r="299" spans="1:10" x14ac:dyDescent="0.3">
      <c r="A299" s="171">
        <v>295</v>
      </c>
      <c r="B299" s="171" t="s">
        <v>1755</v>
      </c>
      <c r="C299" s="172">
        <v>46197</v>
      </c>
      <c r="D299" s="173" t="s">
        <v>1756</v>
      </c>
      <c r="E299" s="172">
        <v>46197</v>
      </c>
      <c r="F299" s="173" t="s">
        <v>1757</v>
      </c>
      <c r="G299" s="174" t="s">
        <v>839</v>
      </c>
      <c r="H299" s="175">
        <v>13760</v>
      </c>
      <c r="I299" s="175">
        <v>33910</v>
      </c>
      <c r="J299" s="175">
        <v>20150</v>
      </c>
    </row>
    <row r="300" spans="1:10" x14ac:dyDescent="0.3">
      <c r="A300" s="171">
        <v>296</v>
      </c>
      <c r="B300" s="171" t="s">
        <v>1758</v>
      </c>
      <c r="C300" s="172">
        <v>46197</v>
      </c>
      <c r="D300" s="173" t="s">
        <v>1759</v>
      </c>
      <c r="E300" s="172">
        <v>46197</v>
      </c>
      <c r="F300" s="173" t="s">
        <v>1760</v>
      </c>
      <c r="G300" s="174" t="s">
        <v>337</v>
      </c>
      <c r="H300" s="175">
        <v>13790</v>
      </c>
      <c r="I300" s="175">
        <v>33380</v>
      </c>
      <c r="J300" s="175">
        <v>19590</v>
      </c>
    </row>
    <row r="301" spans="1:10" x14ac:dyDescent="0.3">
      <c r="A301" s="171">
        <v>297</v>
      </c>
      <c r="B301" s="171" t="s">
        <v>1761</v>
      </c>
      <c r="C301" s="172">
        <v>46197</v>
      </c>
      <c r="D301" s="173" t="s">
        <v>1762</v>
      </c>
      <c r="E301" s="172">
        <v>46197</v>
      </c>
      <c r="F301" s="173" t="s">
        <v>1763</v>
      </c>
      <c r="G301" s="174" t="s">
        <v>841</v>
      </c>
      <c r="H301" s="175">
        <v>13910</v>
      </c>
      <c r="I301" s="175">
        <v>33610</v>
      </c>
      <c r="J301" s="175">
        <v>19700</v>
      </c>
    </row>
    <row r="302" spans="1:10" x14ac:dyDescent="0.3">
      <c r="A302" s="171">
        <v>298</v>
      </c>
      <c r="B302" s="171" t="s">
        <v>1764</v>
      </c>
      <c r="C302" s="172">
        <v>46197</v>
      </c>
      <c r="D302" s="173" t="s">
        <v>1054</v>
      </c>
      <c r="E302" s="172">
        <v>46197</v>
      </c>
      <c r="F302" s="173" t="s">
        <v>1765</v>
      </c>
      <c r="G302" s="174" t="s">
        <v>842</v>
      </c>
      <c r="H302" s="175">
        <v>14030</v>
      </c>
      <c r="I302" s="175">
        <v>32910</v>
      </c>
      <c r="J302" s="175">
        <v>18880</v>
      </c>
    </row>
    <row r="303" spans="1:10" x14ac:dyDescent="0.3">
      <c r="A303" s="171">
        <v>299</v>
      </c>
      <c r="B303" s="171" t="s">
        <v>1766</v>
      </c>
      <c r="C303" s="172">
        <v>46197</v>
      </c>
      <c r="D303" s="173" t="s">
        <v>1767</v>
      </c>
      <c r="E303" s="172">
        <v>46197</v>
      </c>
      <c r="F303" s="173" t="s">
        <v>1768</v>
      </c>
      <c r="G303" s="174" t="s">
        <v>80</v>
      </c>
      <c r="H303" s="175">
        <v>13820</v>
      </c>
      <c r="I303" s="175">
        <v>33640</v>
      </c>
      <c r="J303" s="175">
        <v>19820</v>
      </c>
    </row>
    <row r="304" spans="1:10" x14ac:dyDescent="0.3">
      <c r="A304" s="171">
        <v>300</v>
      </c>
      <c r="B304" s="171" t="s">
        <v>1769</v>
      </c>
      <c r="C304" s="172">
        <v>46197</v>
      </c>
      <c r="D304" s="173" t="s">
        <v>387</v>
      </c>
      <c r="E304" s="172">
        <v>46197</v>
      </c>
      <c r="F304" s="173" t="s">
        <v>1770</v>
      </c>
      <c r="G304" s="174" t="s">
        <v>64</v>
      </c>
      <c r="H304" s="175">
        <v>13910</v>
      </c>
      <c r="I304" s="175">
        <v>33050</v>
      </c>
      <c r="J304" s="175">
        <v>19140</v>
      </c>
    </row>
    <row r="305" spans="1:10" x14ac:dyDescent="0.3">
      <c r="A305" s="171">
        <v>301</v>
      </c>
      <c r="B305" s="171" t="s">
        <v>1771</v>
      </c>
      <c r="C305" s="172">
        <v>46197</v>
      </c>
      <c r="D305" s="173" t="s">
        <v>1772</v>
      </c>
      <c r="E305" s="172">
        <v>46197</v>
      </c>
      <c r="F305" s="173" t="s">
        <v>1773</v>
      </c>
      <c r="G305" s="174" t="s">
        <v>143</v>
      </c>
      <c r="H305" s="175">
        <v>13810</v>
      </c>
      <c r="I305" s="175">
        <v>33420</v>
      </c>
      <c r="J305" s="175">
        <v>19610</v>
      </c>
    </row>
    <row r="306" spans="1:10" x14ac:dyDescent="0.3">
      <c r="A306" s="171">
        <v>302</v>
      </c>
      <c r="B306" s="171" t="s">
        <v>1774</v>
      </c>
      <c r="C306" s="172">
        <v>46197</v>
      </c>
      <c r="D306" s="173" t="s">
        <v>1775</v>
      </c>
      <c r="E306" s="172">
        <v>46197</v>
      </c>
      <c r="F306" s="173" t="s">
        <v>1776</v>
      </c>
      <c r="G306" s="174" t="s">
        <v>335</v>
      </c>
      <c r="H306" s="175">
        <v>13780</v>
      </c>
      <c r="I306" s="175">
        <v>33700</v>
      </c>
      <c r="J306" s="175">
        <v>19920</v>
      </c>
    </row>
    <row r="307" spans="1:10" x14ac:dyDescent="0.3">
      <c r="A307" s="171">
        <v>303</v>
      </c>
      <c r="B307" s="171" t="s">
        <v>1777</v>
      </c>
      <c r="C307" s="172">
        <v>46197</v>
      </c>
      <c r="D307" s="173" t="s">
        <v>1778</v>
      </c>
      <c r="E307" s="172">
        <v>46197</v>
      </c>
      <c r="F307" s="173" t="s">
        <v>1779</v>
      </c>
      <c r="G307" s="174" t="s">
        <v>85</v>
      </c>
      <c r="H307" s="175">
        <v>13810</v>
      </c>
      <c r="I307" s="175">
        <v>32790</v>
      </c>
      <c r="J307" s="175">
        <v>18980</v>
      </c>
    </row>
    <row r="308" spans="1:10" x14ac:dyDescent="0.3">
      <c r="A308" s="171">
        <v>304</v>
      </c>
      <c r="B308" s="171" t="s">
        <v>1780</v>
      </c>
      <c r="C308" s="172">
        <v>46197</v>
      </c>
      <c r="D308" s="173" t="s">
        <v>1781</v>
      </c>
      <c r="E308" s="172">
        <v>46197</v>
      </c>
      <c r="F308" s="173" t="s">
        <v>1782</v>
      </c>
      <c r="G308" s="174" t="s">
        <v>43</v>
      </c>
      <c r="H308" s="175">
        <v>13960</v>
      </c>
      <c r="I308" s="175">
        <v>33600</v>
      </c>
      <c r="J308" s="175">
        <v>19640</v>
      </c>
    </row>
    <row r="309" spans="1:10" x14ac:dyDescent="0.3">
      <c r="A309" s="171">
        <v>305</v>
      </c>
      <c r="B309" s="171" t="s">
        <v>1783</v>
      </c>
      <c r="C309" s="172">
        <v>46197</v>
      </c>
      <c r="D309" s="173" t="s">
        <v>1784</v>
      </c>
      <c r="E309" s="172">
        <v>46197</v>
      </c>
      <c r="F309" s="173" t="s">
        <v>1785</v>
      </c>
      <c r="G309" s="174" t="s">
        <v>55</v>
      </c>
      <c r="H309" s="175">
        <v>13780</v>
      </c>
      <c r="I309" s="175">
        <v>33480</v>
      </c>
      <c r="J309" s="175">
        <v>19700</v>
      </c>
    </row>
    <row r="310" spans="1:10" x14ac:dyDescent="0.3">
      <c r="A310" s="171">
        <v>306</v>
      </c>
      <c r="B310" s="171" t="s">
        <v>1786</v>
      </c>
      <c r="C310" s="172">
        <v>46197</v>
      </c>
      <c r="D310" s="173" t="s">
        <v>1787</v>
      </c>
      <c r="E310" s="172">
        <v>46197</v>
      </c>
      <c r="F310" s="173" t="s">
        <v>1788</v>
      </c>
      <c r="G310" s="174" t="s">
        <v>90</v>
      </c>
      <c r="H310" s="175">
        <v>13910</v>
      </c>
      <c r="I310" s="175">
        <v>32740</v>
      </c>
      <c r="J310" s="175">
        <v>18830</v>
      </c>
    </row>
    <row r="311" spans="1:10" x14ac:dyDescent="0.3">
      <c r="A311" s="171">
        <v>307</v>
      </c>
      <c r="B311" s="171" t="s">
        <v>1789</v>
      </c>
      <c r="C311" s="172">
        <v>46197</v>
      </c>
      <c r="D311" s="173" t="s">
        <v>1790</v>
      </c>
      <c r="E311" s="172">
        <v>46197</v>
      </c>
      <c r="F311" s="173" t="s">
        <v>1791</v>
      </c>
      <c r="G311" s="174" t="s">
        <v>76</v>
      </c>
      <c r="H311" s="175">
        <v>13860</v>
      </c>
      <c r="I311" s="175">
        <v>33410</v>
      </c>
      <c r="J311" s="175">
        <v>19550</v>
      </c>
    </row>
    <row r="312" spans="1:10" x14ac:dyDescent="0.3">
      <c r="A312" s="171">
        <v>308</v>
      </c>
      <c r="B312" s="171" t="s">
        <v>1792</v>
      </c>
      <c r="C312" s="172">
        <v>46197</v>
      </c>
      <c r="D312" s="173" t="s">
        <v>1793</v>
      </c>
      <c r="E312" s="172">
        <v>46197</v>
      </c>
      <c r="F312" s="173" t="s">
        <v>1794</v>
      </c>
      <c r="G312" s="174" t="s">
        <v>844</v>
      </c>
      <c r="H312" s="175">
        <v>13840</v>
      </c>
      <c r="I312" s="175">
        <v>33550</v>
      </c>
      <c r="J312" s="175">
        <v>19710</v>
      </c>
    </row>
    <row r="313" spans="1:10" x14ac:dyDescent="0.3">
      <c r="A313" s="171">
        <v>309</v>
      </c>
      <c r="B313" s="171" t="s">
        <v>1795</v>
      </c>
      <c r="C313" s="172">
        <v>46197</v>
      </c>
      <c r="D313" s="173" t="s">
        <v>888</v>
      </c>
      <c r="E313" s="172">
        <v>46197</v>
      </c>
      <c r="F313" s="173" t="s">
        <v>1796</v>
      </c>
      <c r="G313" s="174" t="s">
        <v>839</v>
      </c>
      <c r="H313" s="175">
        <v>14060</v>
      </c>
      <c r="I313" s="175">
        <v>33950</v>
      </c>
      <c r="J313" s="175">
        <v>19890</v>
      </c>
    </row>
    <row r="314" spans="1:10" x14ac:dyDescent="0.3">
      <c r="A314" s="171">
        <v>310</v>
      </c>
      <c r="B314" s="171" t="s">
        <v>1797</v>
      </c>
      <c r="C314" s="172">
        <v>46197</v>
      </c>
      <c r="D314" s="173" t="s">
        <v>1798</v>
      </c>
      <c r="E314" s="172">
        <v>46197</v>
      </c>
      <c r="F314" s="173" t="s">
        <v>1799</v>
      </c>
      <c r="G314" s="174" t="s">
        <v>337</v>
      </c>
      <c r="H314" s="175">
        <v>13770</v>
      </c>
      <c r="I314" s="175">
        <v>32710</v>
      </c>
      <c r="J314" s="175">
        <v>18940</v>
      </c>
    </row>
    <row r="315" spans="1:10" x14ac:dyDescent="0.3">
      <c r="A315" s="171">
        <v>311</v>
      </c>
      <c r="B315" s="171" t="s">
        <v>1800</v>
      </c>
      <c r="C315" s="172">
        <v>46197</v>
      </c>
      <c r="D315" s="173" t="s">
        <v>1801</v>
      </c>
      <c r="E315" s="172">
        <v>46197</v>
      </c>
      <c r="F315" s="173" t="s">
        <v>1802</v>
      </c>
      <c r="G315" s="174" t="s">
        <v>841</v>
      </c>
      <c r="H315" s="175">
        <v>13890</v>
      </c>
      <c r="I315" s="175">
        <v>33770</v>
      </c>
      <c r="J315" s="175">
        <v>19880</v>
      </c>
    </row>
    <row r="316" spans="1:10" x14ac:dyDescent="0.3">
      <c r="A316" s="171">
        <v>312</v>
      </c>
      <c r="B316" s="171" t="s">
        <v>1803</v>
      </c>
      <c r="C316" s="172">
        <v>46197</v>
      </c>
      <c r="D316" s="173" t="s">
        <v>1804</v>
      </c>
      <c r="E316" s="172">
        <v>46197</v>
      </c>
      <c r="F316" s="173" t="s">
        <v>1805</v>
      </c>
      <c r="G316" s="174" t="s">
        <v>336</v>
      </c>
      <c r="H316" s="175">
        <v>13850</v>
      </c>
      <c r="I316" s="175">
        <v>32730</v>
      </c>
      <c r="J316" s="175">
        <v>18880</v>
      </c>
    </row>
    <row r="317" spans="1:10" x14ac:dyDescent="0.3">
      <c r="A317" s="171">
        <v>313</v>
      </c>
      <c r="B317" s="171" t="s">
        <v>1806</v>
      </c>
      <c r="C317" s="172">
        <v>46197</v>
      </c>
      <c r="D317" s="173" t="s">
        <v>1807</v>
      </c>
      <c r="E317" s="172">
        <v>46197</v>
      </c>
      <c r="F317" s="173" t="s">
        <v>1808</v>
      </c>
      <c r="G317" s="174" t="s">
        <v>64</v>
      </c>
      <c r="H317" s="175">
        <v>13910</v>
      </c>
      <c r="I317" s="175">
        <v>33820</v>
      </c>
      <c r="J317" s="175">
        <v>19910</v>
      </c>
    </row>
    <row r="318" spans="1:10" x14ac:dyDescent="0.3">
      <c r="A318" s="171">
        <v>314</v>
      </c>
      <c r="B318" s="171" t="s">
        <v>1809</v>
      </c>
      <c r="C318" s="172">
        <v>46197</v>
      </c>
      <c r="D318" s="173" t="s">
        <v>1810</v>
      </c>
      <c r="E318" s="172">
        <v>46197</v>
      </c>
      <c r="F318" s="173" t="s">
        <v>1811</v>
      </c>
      <c r="G318" s="174" t="s">
        <v>143</v>
      </c>
      <c r="H318" s="175">
        <v>13780</v>
      </c>
      <c r="I318" s="175">
        <v>32770</v>
      </c>
      <c r="J318" s="175">
        <v>18990</v>
      </c>
    </row>
    <row r="319" spans="1:10" x14ac:dyDescent="0.3">
      <c r="A319" s="171">
        <v>315</v>
      </c>
      <c r="B319" s="171" t="s">
        <v>1812</v>
      </c>
      <c r="C319" s="172">
        <v>46197</v>
      </c>
      <c r="D319" s="173" t="s">
        <v>1813</v>
      </c>
      <c r="E319" s="172">
        <v>46197</v>
      </c>
      <c r="F319" s="173" t="s">
        <v>1814</v>
      </c>
      <c r="G319" s="174" t="s">
        <v>335</v>
      </c>
      <c r="H319" s="175">
        <v>13790</v>
      </c>
      <c r="I319" s="175">
        <v>32980</v>
      </c>
      <c r="J319" s="175">
        <v>19190</v>
      </c>
    </row>
    <row r="320" spans="1:10" x14ac:dyDescent="0.3">
      <c r="A320" s="171">
        <v>316</v>
      </c>
      <c r="B320" s="171" t="s">
        <v>1815</v>
      </c>
      <c r="C320" s="172">
        <v>46197</v>
      </c>
      <c r="D320" s="173" t="s">
        <v>1816</v>
      </c>
      <c r="E320" s="172">
        <v>46197</v>
      </c>
      <c r="F320" s="173" t="s">
        <v>1817</v>
      </c>
      <c r="G320" s="174" t="s">
        <v>80</v>
      </c>
      <c r="H320" s="175">
        <v>14180</v>
      </c>
      <c r="I320" s="175">
        <v>33100</v>
      </c>
      <c r="J320" s="175">
        <v>18920</v>
      </c>
    </row>
    <row r="321" spans="1:10" x14ac:dyDescent="0.3">
      <c r="A321" s="171">
        <v>317</v>
      </c>
      <c r="B321" s="171" t="s">
        <v>1818</v>
      </c>
      <c r="C321" s="172">
        <v>46197</v>
      </c>
      <c r="D321" s="173" t="s">
        <v>1819</v>
      </c>
      <c r="E321" s="172">
        <v>46197</v>
      </c>
      <c r="F321" s="173" t="s">
        <v>1820</v>
      </c>
      <c r="G321" s="174" t="s">
        <v>85</v>
      </c>
      <c r="H321" s="175">
        <v>14000</v>
      </c>
      <c r="I321" s="175">
        <v>34050</v>
      </c>
      <c r="J321" s="175">
        <v>20050</v>
      </c>
    </row>
    <row r="322" spans="1:10" x14ac:dyDescent="0.3">
      <c r="A322" s="171">
        <v>318</v>
      </c>
      <c r="B322" s="171" t="s">
        <v>1821</v>
      </c>
      <c r="C322" s="172">
        <v>46197</v>
      </c>
      <c r="D322" s="173" t="s">
        <v>1822</v>
      </c>
      <c r="E322" s="172">
        <v>46197</v>
      </c>
      <c r="F322" s="173" t="s">
        <v>1823</v>
      </c>
      <c r="G322" s="174" t="s">
        <v>43</v>
      </c>
      <c r="H322" s="175">
        <v>13940</v>
      </c>
      <c r="I322" s="175">
        <v>33310</v>
      </c>
      <c r="J322" s="175">
        <v>19370</v>
      </c>
    </row>
    <row r="323" spans="1:10" x14ac:dyDescent="0.3">
      <c r="A323" s="171">
        <v>319</v>
      </c>
      <c r="B323" s="171" t="s">
        <v>1824</v>
      </c>
      <c r="C323" s="172">
        <v>46197</v>
      </c>
      <c r="D323" s="173" t="s">
        <v>1825</v>
      </c>
      <c r="E323" s="172">
        <v>46197</v>
      </c>
      <c r="F323" s="173" t="s">
        <v>1826</v>
      </c>
      <c r="G323" s="174" t="s">
        <v>90</v>
      </c>
      <c r="H323" s="175">
        <v>13890</v>
      </c>
      <c r="I323" s="175">
        <v>31890</v>
      </c>
      <c r="J323" s="175">
        <v>18000</v>
      </c>
    </row>
    <row r="324" spans="1:10" x14ac:dyDescent="0.3">
      <c r="A324" s="171">
        <v>320</v>
      </c>
      <c r="B324" s="171" t="s">
        <v>1827</v>
      </c>
      <c r="C324" s="172">
        <v>46197</v>
      </c>
      <c r="D324" s="173" t="s">
        <v>1828</v>
      </c>
      <c r="E324" s="172">
        <v>46197</v>
      </c>
      <c r="F324" s="173" t="s">
        <v>1829</v>
      </c>
      <c r="G324" s="174" t="s">
        <v>844</v>
      </c>
      <c r="H324" s="175">
        <v>13950</v>
      </c>
      <c r="I324" s="175">
        <v>34080</v>
      </c>
      <c r="J324" s="175">
        <v>20130</v>
      </c>
    </row>
    <row r="325" spans="1:10" x14ac:dyDescent="0.3">
      <c r="A325" s="171">
        <v>321</v>
      </c>
      <c r="B325" s="171" t="s">
        <v>1830</v>
      </c>
      <c r="C325" s="172">
        <v>46198</v>
      </c>
      <c r="D325" s="173" t="s">
        <v>1831</v>
      </c>
      <c r="E325" s="172">
        <v>46198</v>
      </c>
      <c r="F325" s="173" t="s">
        <v>1832</v>
      </c>
      <c r="G325" s="174" t="s">
        <v>76</v>
      </c>
      <c r="H325" s="175">
        <v>13830</v>
      </c>
      <c r="I325" s="175">
        <v>33440</v>
      </c>
      <c r="J325" s="175">
        <v>19610</v>
      </c>
    </row>
    <row r="326" spans="1:10" x14ac:dyDescent="0.3">
      <c r="A326" s="171">
        <v>322</v>
      </c>
      <c r="B326" s="171" t="s">
        <v>1833</v>
      </c>
      <c r="C326" s="172">
        <v>46198</v>
      </c>
      <c r="D326" s="173" t="s">
        <v>1834</v>
      </c>
      <c r="E326" s="172">
        <v>46198</v>
      </c>
      <c r="F326" s="173" t="s">
        <v>1835</v>
      </c>
      <c r="G326" s="174" t="s">
        <v>839</v>
      </c>
      <c r="H326" s="175">
        <v>14030</v>
      </c>
      <c r="I326" s="175">
        <v>33730</v>
      </c>
      <c r="J326" s="175">
        <v>19700</v>
      </c>
    </row>
    <row r="327" spans="1:10" x14ac:dyDescent="0.3">
      <c r="A327" s="171">
        <v>323</v>
      </c>
      <c r="B327" s="171" t="s">
        <v>1836</v>
      </c>
      <c r="C327" s="172">
        <v>46198</v>
      </c>
      <c r="D327" s="173" t="s">
        <v>1837</v>
      </c>
      <c r="E327" s="172">
        <v>46198</v>
      </c>
      <c r="F327" s="173" t="s">
        <v>1838</v>
      </c>
      <c r="G327" s="174" t="s">
        <v>841</v>
      </c>
      <c r="H327" s="175">
        <v>13850</v>
      </c>
      <c r="I327" s="175">
        <v>32840</v>
      </c>
      <c r="J327" s="175">
        <v>18990</v>
      </c>
    </row>
    <row r="328" spans="1:10" x14ac:dyDescent="0.3">
      <c r="A328" s="171">
        <v>324</v>
      </c>
      <c r="B328" s="171" t="s">
        <v>1839</v>
      </c>
      <c r="C328" s="172">
        <v>46198</v>
      </c>
      <c r="D328" s="173" t="s">
        <v>1840</v>
      </c>
      <c r="E328" s="172">
        <v>46198</v>
      </c>
      <c r="F328" s="173" t="s">
        <v>1841</v>
      </c>
      <c r="G328" s="174" t="s">
        <v>80</v>
      </c>
      <c r="H328" s="175">
        <v>14140</v>
      </c>
      <c r="I328" s="175">
        <v>33310</v>
      </c>
      <c r="J328" s="175">
        <v>19170</v>
      </c>
    </row>
    <row r="329" spans="1:10" x14ac:dyDescent="0.3">
      <c r="A329" s="171">
        <v>325</v>
      </c>
      <c r="B329" s="171" t="s">
        <v>1842</v>
      </c>
      <c r="C329" s="172">
        <v>46198</v>
      </c>
      <c r="D329" s="173" t="s">
        <v>881</v>
      </c>
      <c r="E329" s="172">
        <v>46198</v>
      </c>
      <c r="F329" s="173" t="s">
        <v>1843</v>
      </c>
      <c r="G329" s="174" t="s">
        <v>43</v>
      </c>
      <c r="H329" s="175">
        <v>13910</v>
      </c>
      <c r="I329" s="175">
        <v>34350</v>
      </c>
      <c r="J329" s="175">
        <v>20440</v>
      </c>
    </row>
    <row r="330" spans="1:10" x14ac:dyDescent="0.3">
      <c r="A330" s="171">
        <v>326</v>
      </c>
      <c r="B330" s="171" t="s">
        <v>1844</v>
      </c>
      <c r="C330" s="172">
        <v>46198</v>
      </c>
      <c r="D330" s="173" t="s">
        <v>1845</v>
      </c>
      <c r="E330" s="172">
        <v>46198</v>
      </c>
      <c r="F330" s="173" t="s">
        <v>1846</v>
      </c>
      <c r="G330" s="174" t="s">
        <v>85</v>
      </c>
      <c r="H330" s="175">
        <v>13910</v>
      </c>
      <c r="I330" s="175">
        <v>32310</v>
      </c>
      <c r="J330" s="175">
        <v>18400</v>
      </c>
    </row>
    <row r="331" spans="1:10" x14ac:dyDescent="0.3">
      <c r="A331" s="171">
        <v>327</v>
      </c>
      <c r="B331" s="171" t="s">
        <v>1847</v>
      </c>
      <c r="C331" s="172">
        <v>46198</v>
      </c>
      <c r="D331" s="173" t="s">
        <v>1848</v>
      </c>
      <c r="E331" s="172">
        <v>46198</v>
      </c>
      <c r="F331" s="173" t="s">
        <v>1849</v>
      </c>
      <c r="G331" s="174" t="s">
        <v>335</v>
      </c>
      <c r="H331" s="175">
        <v>13720</v>
      </c>
      <c r="I331" s="175">
        <v>33220</v>
      </c>
      <c r="J331" s="175">
        <v>19500</v>
      </c>
    </row>
    <row r="332" spans="1:10" x14ac:dyDescent="0.3">
      <c r="A332" s="171">
        <v>328</v>
      </c>
      <c r="B332" s="171" t="s">
        <v>1850</v>
      </c>
      <c r="C332" s="172">
        <v>46198</v>
      </c>
      <c r="D332" s="173" t="s">
        <v>1851</v>
      </c>
      <c r="E332" s="172">
        <v>46198</v>
      </c>
      <c r="F332" s="173" t="s">
        <v>1852</v>
      </c>
      <c r="G332" s="174" t="s">
        <v>842</v>
      </c>
      <c r="H332" s="175">
        <v>13970</v>
      </c>
      <c r="I332" s="175">
        <v>32990</v>
      </c>
      <c r="J332" s="175">
        <v>19020</v>
      </c>
    </row>
    <row r="333" spans="1:10" x14ac:dyDescent="0.3">
      <c r="A333" s="171">
        <v>329</v>
      </c>
      <c r="B333" s="171" t="s">
        <v>1853</v>
      </c>
      <c r="C333" s="172">
        <v>46198</v>
      </c>
      <c r="D333" s="173" t="s">
        <v>1854</v>
      </c>
      <c r="E333" s="172">
        <v>46198</v>
      </c>
      <c r="F333" s="173" t="s">
        <v>1855</v>
      </c>
      <c r="G333" s="174" t="s">
        <v>64</v>
      </c>
      <c r="H333" s="175">
        <v>13820</v>
      </c>
      <c r="I333" s="175">
        <v>33590</v>
      </c>
      <c r="J333" s="175">
        <v>19770</v>
      </c>
    </row>
    <row r="334" spans="1:10" x14ac:dyDescent="0.3">
      <c r="A334" s="171">
        <v>330</v>
      </c>
      <c r="B334" s="171" t="s">
        <v>1856</v>
      </c>
      <c r="C334" s="172">
        <v>46198</v>
      </c>
      <c r="D334" s="173" t="s">
        <v>1857</v>
      </c>
      <c r="E334" s="172">
        <v>46198</v>
      </c>
      <c r="F334" s="173" t="s">
        <v>1858</v>
      </c>
      <c r="G334" s="174" t="s">
        <v>336</v>
      </c>
      <c r="H334" s="175">
        <v>13770</v>
      </c>
      <c r="I334" s="175">
        <v>33240</v>
      </c>
      <c r="J334" s="175">
        <v>19470</v>
      </c>
    </row>
    <row r="335" spans="1:10" x14ac:dyDescent="0.3">
      <c r="A335" s="171">
        <v>331</v>
      </c>
      <c r="B335" s="171" t="s">
        <v>1859</v>
      </c>
      <c r="C335" s="172">
        <v>46198</v>
      </c>
      <c r="D335" s="173" t="s">
        <v>1860</v>
      </c>
      <c r="E335" s="172">
        <v>46198</v>
      </c>
      <c r="F335" s="173" t="s">
        <v>672</v>
      </c>
      <c r="G335" s="174" t="s">
        <v>90</v>
      </c>
      <c r="H335" s="175">
        <v>13820</v>
      </c>
      <c r="I335" s="175">
        <v>34190</v>
      </c>
      <c r="J335" s="175">
        <v>20370</v>
      </c>
    </row>
    <row r="336" spans="1:10" x14ac:dyDescent="0.3">
      <c r="A336" s="171">
        <v>332</v>
      </c>
      <c r="B336" s="171" t="s">
        <v>1861</v>
      </c>
      <c r="C336" s="172">
        <v>46198</v>
      </c>
      <c r="D336" s="173" t="s">
        <v>1862</v>
      </c>
      <c r="E336" s="172">
        <v>46198</v>
      </c>
      <c r="F336" s="173" t="s">
        <v>1863</v>
      </c>
      <c r="G336" s="174" t="s">
        <v>55</v>
      </c>
      <c r="H336" s="175">
        <v>13740</v>
      </c>
      <c r="I336" s="175">
        <v>33340</v>
      </c>
      <c r="J336" s="175">
        <v>19600</v>
      </c>
    </row>
    <row r="337" spans="1:10" x14ac:dyDescent="0.3">
      <c r="A337" s="171">
        <v>333</v>
      </c>
      <c r="B337" s="171" t="s">
        <v>1864</v>
      </c>
      <c r="C337" s="172">
        <v>46198</v>
      </c>
      <c r="D337" s="173" t="s">
        <v>1865</v>
      </c>
      <c r="E337" s="172">
        <v>46198</v>
      </c>
      <c r="F337" s="173" t="s">
        <v>1866</v>
      </c>
      <c r="G337" s="174" t="s">
        <v>337</v>
      </c>
      <c r="H337" s="175">
        <v>13830</v>
      </c>
      <c r="I337" s="175">
        <v>33400</v>
      </c>
      <c r="J337" s="175">
        <v>19570</v>
      </c>
    </row>
    <row r="338" spans="1:10" x14ac:dyDescent="0.3">
      <c r="A338" s="171">
        <v>334</v>
      </c>
      <c r="B338" s="171" t="s">
        <v>1867</v>
      </c>
      <c r="C338" s="172">
        <v>46198</v>
      </c>
      <c r="D338" s="173" t="s">
        <v>1868</v>
      </c>
      <c r="E338" s="172">
        <v>46198</v>
      </c>
      <c r="F338" s="173" t="s">
        <v>1869</v>
      </c>
      <c r="G338" s="174" t="s">
        <v>844</v>
      </c>
      <c r="H338" s="175">
        <v>13950</v>
      </c>
      <c r="I338" s="175">
        <v>33780</v>
      </c>
      <c r="J338" s="175">
        <v>19830</v>
      </c>
    </row>
    <row r="339" spans="1:10" x14ac:dyDescent="0.3">
      <c r="A339" s="171">
        <v>335</v>
      </c>
      <c r="B339" s="171" t="s">
        <v>1870</v>
      </c>
      <c r="C339" s="172">
        <v>46198</v>
      </c>
      <c r="D339" s="173" t="s">
        <v>1871</v>
      </c>
      <c r="E339" s="172">
        <v>46198</v>
      </c>
      <c r="F339" s="173" t="s">
        <v>1872</v>
      </c>
      <c r="G339" s="174" t="s">
        <v>143</v>
      </c>
      <c r="H339" s="175">
        <v>13720</v>
      </c>
      <c r="I339" s="175">
        <v>33470</v>
      </c>
      <c r="J339" s="175">
        <v>19750</v>
      </c>
    </row>
    <row r="340" spans="1:10" x14ac:dyDescent="0.3">
      <c r="A340" s="171">
        <v>336</v>
      </c>
      <c r="B340" s="171" t="s">
        <v>1873</v>
      </c>
      <c r="C340" s="172">
        <v>46198</v>
      </c>
      <c r="D340" s="173" t="s">
        <v>1874</v>
      </c>
      <c r="E340" s="172">
        <v>46198</v>
      </c>
      <c r="F340" s="173" t="s">
        <v>866</v>
      </c>
      <c r="G340" s="174" t="s">
        <v>76</v>
      </c>
      <c r="H340" s="175">
        <v>13790</v>
      </c>
      <c r="I340" s="175">
        <v>34220</v>
      </c>
      <c r="J340" s="175">
        <v>20430</v>
      </c>
    </row>
    <row r="341" spans="1:10" x14ac:dyDescent="0.3">
      <c r="A341" s="171">
        <v>337</v>
      </c>
      <c r="B341" s="171" t="s">
        <v>1875</v>
      </c>
      <c r="C341" s="172">
        <v>46198</v>
      </c>
      <c r="D341" s="173" t="s">
        <v>1876</v>
      </c>
      <c r="E341" s="172">
        <v>46198</v>
      </c>
      <c r="F341" s="173" t="s">
        <v>1877</v>
      </c>
      <c r="G341" s="174" t="s">
        <v>839</v>
      </c>
      <c r="H341" s="175">
        <v>13990</v>
      </c>
      <c r="I341" s="175">
        <v>34270</v>
      </c>
      <c r="J341" s="175">
        <v>20280</v>
      </c>
    </row>
    <row r="342" spans="1:10" x14ac:dyDescent="0.3">
      <c r="A342" s="171">
        <v>338</v>
      </c>
      <c r="B342" s="171" t="s">
        <v>1878</v>
      </c>
      <c r="C342" s="172">
        <v>46198</v>
      </c>
      <c r="D342" s="173" t="s">
        <v>1879</v>
      </c>
      <c r="E342" s="172">
        <v>46198</v>
      </c>
      <c r="F342" s="173" t="s">
        <v>1880</v>
      </c>
      <c r="G342" s="174" t="s">
        <v>841</v>
      </c>
      <c r="H342" s="175">
        <v>13890</v>
      </c>
      <c r="I342" s="175">
        <v>33080</v>
      </c>
      <c r="J342" s="175">
        <v>19190</v>
      </c>
    </row>
    <row r="343" spans="1:10" x14ac:dyDescent="0.3">
      <c r="A343" s="171">
        <v>339</v>
      </c>
      <c r="B343" s="171" t="s">
        <v>1881</v>
      </c>
      <c r="C343" s="172">
        <v>46198</v>
      </c>
      <c r="D343" s="173" t="s">
        <v>1882</v>
      </c>
      <c r="E343" s="172">
        <v>46198</v>
      </c>
      <c r="F343" s="173" t="s">
        <v>1883</v>
      </c>
      <c r="G343" s="174" t="s">
        <v>80</v>
      </c>
      <c r="H343" s="175">
        <v>14110</v>
      </c>
      <c r="I343" s="175">
        <v>32860</v>
      </c>
      <c r="J343" s="175">
        <v>18750</v>
      </c>
    </row>
    <row r="344" spans="1:10" x14ac:dyDescent="0.3">
      <c r="A344" s="171">
        <v>340</v>
      </c>
      <c r="B344" s="171" t="s">
        <v>1884</v>
      </c>
      <c r="C344" s="172">
        <v>46198</v>
      </c>
      <c r="D344" s="173" t="s">
        <v>1885</v>
      </c>
      <c r="E344" s="172">
        <v>46198</v>
      </c>
      <c r="F344" s="173" t="s">
        <v>1886</v>
      </c>
      <c r="G344" s="174" t="s">
        <v>43</v>
      </c>
      <c r="H344" s="175">
        <v>13810</v>
      </c>
      <c r="I344" s="175">
        <v>32590</v>
      </c>
      <c r="J344" s="175">
        <v>18780</v>
      </c>
    </row>
    <row r="345" spans="1:10" x14ac:dyDescent="0.3">
      <c r="A345" s="171">
        <v>341</v>
      </c>
      <c r="B345" s="171" t="s">
        <v>1887</v>
      </c>
      <c r="C345" s="172">
        <v>46198</v>
      </c>
      <c r="D345" s="173" t="s">
        <v>1888</v>
      </c>
      <c r="E345" s="172">
        <v>46198</v>
      </c>
      <c r="F345" s="173" t="s">
        <v>858</v>
      </c>
      <c r="G345" s="174" t="s">
        <v>336</v>
      </c>
      <c r="H345" s="175">
        <v>13750</v>
      </c>
      <c r="I345" s="175">
        <v>33660</v>
      </c>
      <c r="J345" s="175">
        <v>19910</v>
      </c>
    </row>
    <row r="346" spans="1:10" x14ac:dyDescent="0.3">
      <c r="A346" s="171">
        <v>342</v>
      </c>
      <c r="B346" s="171" t="s">
        <v>1889</v>
      </c>
      <c r="C346" s="172">
        <v>46198</v>
      </c>
      <c r="D346" s="173" t="s">
        <v>1890</v>
      </c>
      <c r="E346" s="172">
        <v>46198</v>
      </c>
      <c r="F346" s="173" t="s">
        <v>1891</v>
      </c>
      <c r="G346" s="174" t="s">
        <v>85</v>
      </c>
      <c r="H346" s="175">
        <v>13920</v>
      </c>
      <c r="I346" s="175">
        <v>33640</v>
      </c>
      <c r="J346" s="175">
        <v>19720</v>
      </c>
    </row>
    <row r="347" spans="1:10" x14ac:dyDescent="0.3">
      <c r="A347" s="171">
        <v>343</v>
      </c>
      <c r="B347" s="171" t="s">
        <v>1892</v>
      </c>
      <c r="C347" s="172">
        <v>46198</v>
      </c>
      <c r="D347" s="173" t="s">
        <v>1893</v>
      </c>
      <c r="E347" s="172">
        <v>46198</v>
      </c>
      <c r="F347" s="173" t="s">
        <v>1894</v>
      </c>
      <c r="G347" s="174" t="s">
        <v>64</v>
      </c>
      <c r="H347" s="175">
        <v>13800</v>
      </c>
      <c r="I347" s="175">
        <v>32260</v>
      </c>
      <c r="J347" s="175">
        <v>18460</v>
      </c>
    </row>
    <row r="348" spans="1:10" x14ac:dyDescent="0.3">
      <c r="A348" s="171">
        <v>344</v>
      </c>
      <c r="B348" s="171" t="s">
        <v>1895</v>
      </c>
      <c r="C348" s="172">
        <v>46198</v>
      </c>
      <c r="D348" s="173" t="s">
        <v>1896</v>
      </c>
      <c r="E348" s="172">
        <v>46198</v>
      </c>
      <c r="F348" s="173" t="s">
        <v>1897</v>
      </c>
      <c r="G348" s="174" t="s">
        <v>842</v>
      </c>
      <c r="H348" s="175">
        <v>13910</v>
      </c>
      <c r="I348" s="175">
        <v>33350</v>
      </c>
      <c r="J348" s="175">
        <v>19440</v>
      </c>
    </row>
    <row r="349" spans="1:10" x14ac:dyDescent="0.3">
      <c r="A349" s="171">
        <v>345</v>
      </c>
      <c r="B349" s="171" t="s">
        <v>1898</v>
      </c>
      <c r="C349" s="172">
        <v>46198</v>
      </c>
      <c r="D349" s="173" t="s">
        <v>1899</v>
      </c>
      <c r="E349" s="172">
        <v>46198</v>
      </c>
      <c r="F349" s="173" t="s">
        <v>1900</v>
      </c>
      <c r="G349" s="174" t="s">
        <v>335</v>
      </c>
      <c r="H349" s="175">
        <v>13840</v>
      </c>
      <c r="I349" s="175">
        <v>32490</v>
      </c>
      <c r="J349" s="175">
        <v>18650</v>
      </c>
    </row>
    <row r="350" spans="1:10" x14ac:dyDescent="0.3">
      <c r="A350" s="171">
        <v>346</v>
      </c>
      <c r="B350" s="171" t="s">
        <v>1901</v>
      </c>
      <c r="C350" s="172">
        <v>46198</v>
      </c>
      <c r="D350" s="173" t="s">
        <v>1902</v>
      </c>
      <c r="E350" s="172">
        <v>46198</v>
      </c>
      <c r="F350" s="173" t="s">
        <v>1903</v>
      </c>
      <c r="G350" s="174" t="s">
        <v>337</v>
      </c>
      <c r="H350" s="175">
        <v>13660</v>
      </c>
      <c r="I350" s="175">
        <v>31670</v>
      </c>
      <c r="J350" s="175">
        <v>18010</v>
      </c>
    </row>
    <row r="351" spans="1:10" x14ac:dyDescent="0.3">
      <c r="A351" s="171">
        <v>347</v>
      </c>
      <c r="B351" s="171" t="s">
        <v>1904</v>
      </c>
      <c r="C351" s="172">
        <v>46198</v>
      </c>
      <c r="D351" s="173" t="s">
        <v>1905</v>
      </c>
      <c r="E351" s="172">
        <v>46198</v>
      </c>
      <c r="F351" s="173" t="s">
        <v>1906</v>
      </c>
      <c r="G351" s="174" t="s">
        <v>55</v>
      </c>
      <c r="H351" s="175">
        <v>13710</v>
      </c>
      <c r="I351" s="175">
        <v>31940</v>
      </c>
      <c r="J351" s="175">
        <v>18230</v>
      </c>
    </row>
    <row r="352" spans="1:10" x14ac:dyDescent="0.3">
      <c r="A352" s="171">
        <v>348</v>
      </c>
      <c r="B352" s="171" t="s">
        <v>1907</v>
      </c>
      <c r="C352" s="172">
        <v>46198</v>
      </c>
      <c r="D352" s="173" t="s">
        <v>1908</v>
      </c>
      <c r="E352" s="172">
        <v>46198</v>
      </c>
      <c r="F352" s="173" t="s">
        <v>1909</v>
      </c>
      <c r="G352" s="174" t="s">
        <v>844</v>
      </c>
      <c r="H352" s="175">
        <v>13860</v>
      </c>
      <c r="I352" s="175">
        <v>31010</v>
      </c>
      <c r="J352" s="175">
        <v>17150</v>
      </c>
    </row>
    <row r="353" spans="1:10" x14ac:dyDescent="0.3">
      <c r="A353" s="171">
        <v>349</v>
      </c>
      <c r="B353" s="171" t="s">
        <v>1910</v>
      </c>
      <c r="C353" s="172">
        <v>46198</v>
      </c>
      <c r="D353" s="173" t="s">
        <v>1911</v>
      </c>
      <c r="E353" s="172">
        <v>46198</v>
      </c>
      <c r="F353" s="173" t="s">
        <v>1912</v>
      </c>
      <c r="G353" s="174" t="s">
        <v>143</v>
      </c>
      <c r="H353" s="175">
        <v>13750</v>
      </c>
      <c r="I353" s="175">
        <v>31200</v>
      </c>
      <c r="J353" s="175">
        <v>17450</v>
      </c>
    </row>
    <row r="354" spans="1:10" x14ac:dyDescent="0.3">
      <c r="A354" s="171">
        <v>350</v>
      </c>
      <c r="B354" s="171" t="s">
        <v>1913</v>
      </c>
      <c r="C354" s="172">
        <v>46198</v>
      </c>
      <c r="D354" s="173" t="s">
        <v>1914</v>
      </c>
      <c r="E354" s="172">
        <v>46198</v>
      </c>
      <c r="F354" s="173" t="s">
        <v>1915</v>
      </c>
      <c r="G354" s="174" t="s">
        <v>76</v>
      </c>
      <c r="H354" s="175">
        <v>13760</v>
      </c>
      <c r="I354" s="175">
        <v>31240</v>
      </c>
      <c r="J354" s="175">
        <v>17480</v>
      </c>
    </row>
    <row r="355" spans="1:10" x14ac:dyDescent="0.3">
      <c r="A355" s="171">
        <v>351</v>
      </c>
      <c r="B355" s="171" t="s">
        <v>1916</v>
      </c>
      <c r="C355" s="172">
        <v>46198</v>
      </c>
      <c r="D355" s="173" t="s">
        <v>1917</v>
      </c>
      <c r="E355" s="172">
        <v>46198</v>
      </c>
      <c r="F355" s="173" t="s">
        <v>1918</v>
      </c>
      <c r="G355" s="174" t="s">
        <v>839</v>
      </c>
      <c r="H355" s="175">
        <v>13960</v>
      </c>
      <c r="I355" s="175">
        <v>30690</v>
      </c>
      <c r="J355" s="175">
        <v>16730</v>
      </c>
    </row>
    <row r="356" spans="1:10" x14ac:dyDescent="0.3">
      <c r="A356" s="171">
        <v>352</v>
      </c>
      <c r="B356" s="171" t="s">
        <v>1919</v>
      </c>
      <c r="C356" s="172">
        <v>46198</v>
      </c>
      <c r="D356" s="173" t="s">
        <v>1920</v>
      </c>
      <c r="E356" s="172">
        <v>46198</v>
      </c>
      <c r="F356" s="173" t="s">
        <v>1921</v>
      </c>
      <c r="G356" s="174" t="s">
        <v>841</v>
      </c>
      <c r="H356" s="175">
        <v>13790</v>
      </c>
      <c r="I356" s="175">
        <v>33680</v>
      </c>
      <c r="J356" s="175">
        <v>19890</v>
      </c>
    </row>
    <row r="357" spans="1:10" x14ac:dyDescent="0.3">
      <c r="A357" s="171">
        <v>353</v>
      </c>
      <c r="B357" s="171" t="s">
        <v>1922</v>
      </c>
      <c r="C357" s="172">
        <v>46198</v>
      </c>
      <c r="D357" s="173" t="s">
        <v>1923</v>
      </c>
      <c r="E357" s="172">
        <v>46198</v>
      </c>
      <c r="F357" s="173" t="s">
        <v>862</v>
      </c>
      <c r="G357" s="174" t="s">
        <v>80</v>
      </c>
      <c r="H357" s="175">
        <v>14000</v>
      </c>
      <c r="I357" s="175">
        <v>33580</v>
      </c>
      <c r="J357" s="175">
        <v>19580</v>
      </c>
    </row>
    <row r="358" spans="1:10" x14ac:dyDescent="0.3">
      <c r="A358" s="171">
        <v>354</v>
      </c>
      <c r="B358" s="171" t="s">
        <v>1924</v>
      </c>
      <c r="C358" s="172">
        <v>46198</v>
      </c>
      <c r="D358" s="173" t="s">
        <v>1925</v>
      </c>
      <c r="E358" s="172">
        <v>46198</v>
      </c>
      <c r="F358" s="173" t="s">
        <v>1926</v>
      </c>
      <c r="G358" s="174" t="s">
        <v>43</v>
      </c>
      <c r="H358" s="175">
        <v>13860</v>
      </c>
      <c r="I358" s="175">
        <v>33300</v>
      </c>
      <c r="J358" s="175">
        <v>19440</v>
      </c>
    </row>
    <row r="359" spans="1:10" x14ac:dyDescent="0.3">
      <c r="A359" s="171">
        <v>355</v>
      </c>
      <c r="B359" s="171" t="s">
        <v>1927</v>
      </c>
      <c r="C359" s="172">
        <v>46198</v>
      </c>
      <c r="D359" s="173" t="s">
        <v>1928</v>
      </c>
      <c r="E359" s="172">
        <v>46198</v>
      </c>
      <c r="F359" s="173" t="s">
        <v>1929</v>
      </c>
      <c r="G359" s="174" t="s">
        <v>90</v>
      </c>
      <c r="H359" s="175">
        <v>13810</v>
      </c>
      <c r="I359" s="175">
        <v>33240</v>
      </c>
      <c r="J359" s="175">
        <v>19430</v>
      </c>
    </row>
    <row r="360" spans="1:10" x14ac:dyDescent="0.3">
      <c r="A360" s="171">
        <v>356</v>
      </c>
      <c r="B360" s="171" t="s">
        <v>1930</v>
      </c>
      <c r="C360" s="172">
        <v>46198</v>
      </c>
      <c r="D360" s="173" t="s">
        <v>1931</v>
      </c>
      <c r="E360" s="172">
        <v>46198</v>
      </c>
      <c r="F360" s="173" t="s">
        <v>1932</v>
      </c>
      <c r="G360" s="174" t="s">
        <v>336</v>
      </c>
      <c r="H360" s="175">
        <v>13710</v>
      </c>
      <c r="I360" s="175">
        <v>29870</v>
      </c>
      <c r="J360" s="175">
        <v>16160</v>
      </c>
    </row>
    <row r="361" spans="1:10" x14ac:dyDescent="0.3">
      <c r="A361" s="171">
        <v>357</v>
      </c>
      <c r="B361" s="171" t="s">
        <v>1933</v>
      </c>
      <c r="C361" s="172">
        <v>46198</v>
      </c>
      <c r="D361" s="173" t="s">
        <v>1934</v>
      </c>
      <c r="E361" s="172">
        <v>46198</v>
      </c>
      <c r="F361" s="173" t="s">
        <v>899</v>
      </c>
      <c r="G361" s="174" t="s">
        <v>85</v>
      </c>
      <c r="H361" s="175">
        <v>13860</v>
      </c>
      <c r="I361" s="175">
        <v>31500</v>
      </c>
      <c r="J361" s="175">
        <v>17640</v>
      </c>
    </row>
    <row r="362" spans="1:10" x14ac:dyDescent="0.3">
      <c r="A362" s="171">
        <v>358</v>
      </c>
      <c r="B362" s="171" t="s">
        <v>1935</v>
      </c>
      <c r="C362" s="172">
        <v>46198</v>
      </c>
      <c r="D362" s="173" t="s">
        <v>1461</v>
      </c>
      <c r="E362" s="172">
        <v>46198</v>
      </c>
      <c r="F362" s="173" t="s">
        <v>1936</v>
      </c>
      <c r="G362" s="174" t="s">
        <v>64</v>
      </c>
      <c r="H362" s="175">
        <v>13750</v>
      </c>
      <c r="I362" s="175">
        <v>30660</v>
      </c>
      <c r="J362" s="175">
        <v>16910</v>
      </c>
    </row>
    <row r="363" spans="1:10" x14ac:dyDescent="0.3">
      <c r="A363" s="171">
        <v>359</v>
      </c>
      <c r="B363" s="171" t="s">
        <v>1937</v>
      </c>
      <c r="C363" s="172">
        <v>46198</v>
      </c>
      <c r="D363" s="173" t="s">
        <v>1938</v>
      </c>
      <c r="E363" s="172">
        <v>46198</v>
      </c>
      <c r="F363" s="173" t="s">
        <v>1939</v>
      </c>
      <c r="G363" s="174" t="s">
        <v>842</v>
      </c>
      <c r="H363" s="175">
        <v>13930</v>
      </c>
      <c r="I363" s="175">
        <v>31600</v>
      </c>
      <c r="J363" s="175">
        <v>17670</v>
      </c>
    </row>
    <row r="364" spans="1:10" x14ac:dyDescent="0.3">
      <c r="A364" s="171">
        <v>360</v>
      </c>
      <c r="B364" s="171" t="s">
        <v>1940</v>
      </c>
      <c r="C364" s="172">
        <v>46198</v>
      </c>
      <c r="D364" s="173" t="s">
        <v>1941</v>
      </c>
      <c r="E364" s="172">
        <v>46198</v>
      </c>
      <c r="F364" s="173" t="s">
        <v>1942</v>
      </c>
      <c r="G364" s="174" t="s">
        <v>335</v>
      </c>
      <c r="H364" s="175">
        <v>13670</v>
      </c>
      <c r="I364" s="175">
        <v>32060</v>
      </c>
      <c r="J364" s="175">
        <v>18390</v>
      </c>
    </row>
    <row r="365" spans="1:10" x14ac:dyDescent="0.3">
      <c r="A365" s="171">
        <v>361</v>
      </c>
      <c r="B365" s="171" t="s">
        <v>1943</v>
      </c>
      <c r="C365" s="172">
        <v>46198</v>
      </c>
      <c r="D365" s="173" t="s">
        <v>1944</v>
      </c>
      <c r="E365" s="172">
        <v>46198</v>
      </c>
      <c r="F365" s="173" t="s">
        <v>845</v>
      </c>
      <c r="G365" s="174" t="s">
        <v>143</v>
      </c>
      <c r="H365" s="175">
        <v>13690</v>
      </c>
      <c r="I365" s="175">
        <v>33340</v>
      </c>
      <c r="J365" s="175">
        <v>19650</v>
      </c>
    </row>
    <row r="366" spans="1:10" x14ac:dyDescent="0.3">
      <c r="A366" s="171">
        <v>362</v>
      </c>
      <c r="B366" s="171" t="s">
        <v>1945</v>
      </c>
      <c r="C366" s="172">
        <v>46198</v>
      </c>
      <c r="D366" s="173" t="s">
        <v>1946</v>
      </c>
      <c r="E366" s="172">
        <v>46198</v>
      </c>
      <c r="F366" s="173" t="s">
        <v>1947</v>
      </c>
      <c r="G366" s="174" t="s">
        <v>844</v>
      </c>
      <c r="H366" s="175">
        <v>13920</v>
      </c>
      <c r="I366" s="175">
        <v>30470</v>
      </c>
      <c r="J366" s="175">
        <v>16550</v>
      </c>
    </row>
    <row r="367" spans="1:10" x14ac:dyDescent="0.3">
      <c r="A367" s="171">
        <v>363</v>
      </c>
      <c r="B367" s="171" t="s">
        <v>1948</v>
      </c>
      <c r="C367" s="172">
        <v>46198</v>
      </c>
      <c r="D367" s="173" t="s">
        <v>1949</v>
      </c>
      <c r="E367" s="172">
        <v>46198</v>
      </c>
      <c r="F367" s="173" t="s">
        <v>1950</v>
      </c>
      <c r="G367" s="174" t="s">
        <v>337</v>
      </c>
      <c r="H367" s="175">
        <v>13680</v>
      </c>
      <c r="I367" s="175">
        <v>28170</v>
      </c>
      <c r="J367" s="175">
        <v>14490</v>
      </c>
    </row>
    <row r="368" spans="1:10" x14ac:dyDescent="0.3">
      <c r="A368" s="171">
        <v>364</v>
      </c>
      <c r="B368" s="171" t="s">
        <v>1951</v>
      </c>
      <c r="C368" s="172">
        <v>46198</v>
      </c>
      <c r="D368" s="173" t="s">
        <v>1952</v>
      </c>
      <c r="E368" s="172">
        <v>46198</v>
      </c>
      <c r="F368" s="173" t="s">
        <v>1953</v>
      </c>
      <c r="G368" s="174" t="s">
        <v>76</v>
      </c>
      <c r="H368" s="175">
        <v>13730</v>
      </c>
      <c r="I368" s="175">
        <v>29540</v>
      </c>
      <c r="J368" s="175">
        <v>15810</v>
      </c>
    </row>
    <row r="369" spans="1:10" x14ac:dyDescent="0.3">
      <c r="A369" s="171">
        <v>365</v>
      </c>
      <c r="B369" s="171" t="s">
        <v>1954</v>
      </c>
      <c r="C369" s="172">
        <v>46198</v>
      </c>
      <c r="D369" s="173" t="s">
        <v>1955</v>
      </c>
      <c r="E369" s="172">
        <v>46198</v>
      </c>
      <c r="F369" s="173" t="s">
        <v>1956</v>
      </c>
      <c r="G369" s="174" t="s">
        <v>841</v>
      </c>
      <c r="H369" s="175">
        <v>13750</v>
      </c>
      <c r="I369" s="175">
        <v>31490</v>
      </c>
      <c r="J369" s="175">
        <v>17740</v>
      </c>
    </row>
    <row r="370" spans="1:10" x14ac:dyDescent="0.3">
      <c r="A370" s="171">
        <v>366</v>
      </c>
      <c r="B370" s="171" t="s">
        <v>1957</v>
      </c>
      <c r="C370" s="172">
        <v>46198</v>
      </c>
      <c r="D370" s="173" t="s">
        <v>1958</v>
      </c>
      <c r="E370" s="172">
        <v>46198</v>
      </c>
      <c r="F370" s="173" t="s">
        <v>1959</v>
      </c>
      <c r="G370" s="174" t="s">
        <v>55</v>
      </c>
      <c r="H370" s="175">
        <v>13760</v>
      </c>
      <c r="I370" s="175">
        <v>33760</v>
      </c>
      <c r="J370" s="175">
        <v>20000</v>
      </c>
    </row>
    <row r="371" spans="1:10" x14ac:dyDescent="0.3">
      <c r="A371" s="171">
        <v>367</v>
      </c>
      <c r="B371" s="171" t="s">
        <v>1960</v>
      </c>
      <c r="C371" s="172">
        <v>46198</v>
      </c>
      <c r="D371" s="173" t="s">
        <v>846</v>
      </c>
      <c r="E371" s="172">
        <v>46198</v>
      </c>
      <c r="F371" s="173" t="s">
        <v>1961</v>
      </c>
      <c r="G371" s="174" t="s">
        <v>839</v>
      </c>
      <c r="H371" s="175">
        <v>13940</v>
      </c>
      <c r="I371" s="175">
        <v>32430</v>
      </c>
      <c r="J371" s="175">
        <v>18490</v>
      </c>
    </row>
    <row r="372" spans="1:10" x14ac:dyDescent="0.3">
      <c r="A372" s="171">
        <v>368</v>
      </c>
      <c r="B372" s="171" t="s">
        <v>1962</v>
      </c>
      <c r="C372" s="172">
        <v>46198</v>
      </c>
      <c r="D372" s="173" t="s">
        <v>1963</v>
      </c>
      <c r="E372" s="172">
        <v>46198</v>
      </c>
      <c r="F372" s="173" t="s">
        <v>1964</v>
      </c>
      <c r="G372" s="174" t="s">
        <v>43</v>
      </c>
      <c r="H372" s="175">
        <v>13750</v>
      </c>
      <c r="I372" s="175">
        <v>33260</v>
      </c>
      <c r="J372" s="175">
        <v>19510</v>
      </c>
    </row>
    <row r="373" spans="1:10" x14ac:dyDescent="0.3">
      <c r="A373" s="171">
        <v>369</v>
      </c>
      <c r="B373" s="171" t="s">
        <v>1965</v>
      </c>
      <c r="C373" s="172">
        <v>46198</v>
      </c>
      <c r="D373" s="173" t="s">
        <v>1966</v>
      </c>
      <c r="E373" s="172">
        <v>46198</v>
      </c>
      <c r="F373" s="173" t="s">
        <v>1967</v>
      </c>
      <c r="G373" s="174" t="s">
        <v>90</v>
      </c>
      <c r="H373" s="175">
        <v>13840</v>
      </c>
      <c r="I373" s="175">
        <v>32340</v>
      </c>
      <c r="J373" s="175">
        <v>18500</v>
      </c>
    </row>
    <row r="374" spans="1:10" x14ac:dyDescent="0.3">
      <c r="A374" s="171">
        <v>370</v>
      </c>
      <c r="B374" s="171" t="s">
        <v>1968</v>
      </c>
      <c r="C374" s="172">
        <v>46198</v>
      </c>
      <c r="D374" s="173" t="s">
        <v>1969</v>
      </c>
      <c r="E374" s="172">
        <v>46198</v>
      </c>
      <c r="F374" s="173" t="s">
        <v>1970</v>
      </c>
      <c r="G374" s="174" t="s">
        <v>80</v>
      </c>
      <c r="H374" s="175">
        <v>14890</v>
      </c>
      <c r="I374" s="175">
        <v>33440</v>
      </c>
      <c r="J374" s="175">
        <v>18550</v>
      </c>
    </row>
    <row r="375" spans="1:10" x14ac:dyDescent="0.3">
      <c r="A375" s="171">
        <v>371</v>
      </c>
      <c r="B375" s="171" t="s">
        <v>1971</v>
      </c>
      <c r="C375" s="172">
        <v>46198</v>
      </c>
      <c r="D375" s="173" t="s">
        <v>1972</v>
      </c>
      <c r="E375" s="172">
        <v>46198</v>
      </c>
      <c r="F375" s="173" t="s">
        <v>1973</v>
      </c>
      <c r="G375" s="174" t="s">
        <v>85</v>
      </c>
      <c r="H375" s="175">
        <v>13810</v>
      </c>
      <c r="I375" s="175">
        <v>33060</v>
      </c>
      <c r="J375" s="175">
        <v>19250</v>
      </c>
    </row>
    <row r="376" spans="1:10" x14ac:dyDescent="0.3">
      <c r="A376" s="171">
        <v>372</v>
      </c>
      <c r="B376" s="171" t="s">
        <v>1974</v>
      </c>
      <c r="C376" s="172">
        <v>46198</v>
      </c>
      <c r="D376" s="173" t="s">
        <v>1975</v>
      </c>
      <c r="E376" s="172">
        <v>46198</v>
      </c>
      <c r="F376" s="173" t="s">
        <v>1976</v>
      </c>
      <c r="G376" s="174" t="s">
        <v>336</v>
      </c>
      <c r="H376" s="175">
        <v>13670</v>
      </c>
      <c r="I376" s="175">
        <v>33020</v>
      </c>
      <c r="J376" s="175">
        <v>19350</v>
      </c>
    </row>
    <row r="377" spans="1:10" x14ac:dyDescent="0.3">
      <c r="A377" s="171">
        <v>373</v>
      </c>
      <c r="B377" s="171" t="s">
        <v>1977</v>
      </c>
      <c r="C377" s="172">
        <v>46198</v>
      </c>
      <c r="D377" s="173" t="s">
        <v>1978</v>
      </c>
      <c r="E377" s="172">
        <v>46198</v>
      </c>
      <c r="F377" s="173" t="s">
        <v>1979</v>
      </c>
      <c r="G377" s="174" t="s">
        <v>64</v>
      </c>
      <c r="H377" s="175">
        <v>13730</v>
      </c>
      <c r="I377" s="175">
        <v>33330</v>
      </c>
      <c r="J377" s="175">
        <v>19600</v>
      </c>
    </row>
    <row r="378" spans="1:10" x14ac:dyDescent="0.3">
      <c r="A378" s="171">
        <v>374</v>
      </c>
      <c r="B378" s="171" t="s">
        <v>1980</v>
      </c>
      <c r="C378" s="172">
        <v>46198</v>
      </c>
      <c r="D378" s="173" t="s">
        <v>1981</v>
      </c>
      <c r="E378" s="172">
        <v>46198</v>
      </c>
      <c r="F378" s="173" t="s">
        <v>1982</v>
      </c>
      <c r="G378" s="174" t="s">
        <v>842</v>
      </c>
      <c r="H378" s="175">
        <v>13900</v>
      </c>
      <c r="I378" s="175">
        <v>33680</v>
      </c>
      <c r="J378" s="175">
        <v>19780</v>
      </c>
    </row>
    <row r="379" spans="1:10" x14ac:dyDescent="0.3">
      <c r="A379" s="171">
        <v>375</v>
      </c>
      <c r="B379" s="171" t="s">
        <v>1983</v>
      </c>
      <c r="C379" s="172">
        <v>46198</v>
      </c>
      <c r="D379" s="173" t="s">
        <v>1984</v>
      </c>
      <c r="E379" s="172">
        <v>46198</v>
      </c>
      <c r="F379" s="173" t="s">
        <v>1985</v>
      </c>
      <c r="G379" s="174" t="s">
        <v>335</v>
      </c>
      <c r="H379" s="175">
        <v>13890</v>
      </c>
      <c r="I379" s="175">
        <v>33430</v>
      </c>
      <c r="J379" s="175">
        <v>19540</v>
      </c>
    </row>
    <row r="380" spans="1:10" x14ac:dyDescent="0.3">
      <c r="A380" s="171">
        <v>376</v>
      </c>
      <c r="B380" s="171" t="s">
        <v>1986</v>
      </c>
      <c r="C380" s="172">
        <v>46198</v>
      </c>
      <c r="D380" s="173" t="s">
        <v>1987</v>
      </c>
      <c r="E380" s="172">
        <v>46198</v>
      </c>
      <c r="F380" s="173" t="s">
        <v>1988</v>
      </c>
      <c r="G380" s="174" t="s">
        <v>143</v>
      </c>
      <c r="H380" s="175">
        <v>13670</v>
      </c>
      <c r="I380" s="175">
        <v>32820</v>
      </c>
      <c r="J380" s="175">
        <v>19150</v>
      </c>
    </row>
    <row r="381" spans="1:10" x14ac:dyDescent="0.3">
      <c r="A381" s="171">
        <v>377</v>
      </c>
      <c r="B381" s="171" t="s">
        <v>1989</v>
      </c>
      <c r="C381" s="172">
        <v>46198</v>
      </c>
      <c r="D381" s="173" t="s">
        <v>1990</v>
      </c>
      <c r="E381" s="172">
        <v>46198</v>
      </c>
      <c r="F381" s="173" t="s">
        <v>1991</v>
      </c>
      <c r="G381" s="174" t="s">
        <v>844</v>
      </c>
      <c r="H381" s="175">
        <v>13870</v>
      </c>
      <c r="I381" s="175">
        <v>31690</v>
      </c>
      <c r="J381" s="175">
        <v>17820</v>
      </c>
    </row>
    <row r="382" spans="1:10" x14ac:dyDescent="0.3">
      <c r="A382" s="171">
        <v>378</v>
      </c>
      <c r="B382" s="171" t="s">
        <v>1992</v>
      </c>
      <c r="C382" s="172">
        <v>46198</v>
      </c>
      <c r="D382" s="173" t="s">
        <v>1993</v>
      </c>
      <c r="E382" s="172">
        <v>46198</v>
      </c>
      <c r="F382" s="173" t="s">
        <v>1994</v>
      </c>
      <c r="G382" s="174" t="s">
        <v>337</v>
      </c>
      <c r="H382" s="175">
        <v>14010</v>
      </c>
      <c r="I382" s="175">
        <v>32940</v>
      </c>
      <c r="J382" s="175">
        <v>18930</v>
      </c>
    </row>
    <row r="383" spans="1:10" x14ac:dyDescent="0.3">
      <c r="A383" s="171">
        <v>379</v>
      </c>
      <c r="B383" s="171" t="s">
        <v>1995</v>
      </c>
      <c r="C383" s="172">
        <v>46198</v>
      </c>
      <c r="D383" s="173" t="s">
        <v>1996</v>
      </c>
      <c r="E383" s="172">
        <v>46198</v>
      </c>
      <c r="F383" s="173" t="s">
        <v>810</v>
      </c>
      <c r="G383" s="174" t="s">
        <v>55</v>
      </c>
      <c r="H383" s="175">
        <v>13650</v>
      </c>
      <c r="I383" s="175">
        <v>32780</v>
      </c>
      <c r="J383" s="175">
        <v>19130</v>
      </c>
    </row>
    <row r="384" spans="1:10" x14ac:dyDescent="0.3">
      <c r="A384" s="171">
        <v>380</v>
      </c>
      <c r="B384" s="171" t="s">
        <v>1997</v>
      </c>
      <c r="C384" s="172">
        <v>46198</v>
      </c>
      <c r="D384" s="173" t="s">
        <v>1998</v>
      </c>
      <c r="E384" s="172">
        <v>46198</v>
      </c>
      <c r="F384" s="173" t="s">
        <v>1999</v>
      </c>
      <c r="G384" s="174" t="s">
        <v>80</v>
      </c>
      <c r="H384" s="175">
        <v>14020</v>
      </c>
      <c r="I384" s="175">
        <v>34160</v>
      </c>
      <c r="J384" s="175">
        <v>20140</v>
      </c>
    </row>
    <row r="385" spans="1:10" x14ac:dyDescent="0.3">
      <c r="A385" s="171">
        <v>381</v>
      </c>
      <c r="B385" s="171" t="s">
        <v>2000</v>
      </c>
      <c r="C385" s="172">
        <v>46198</v>
      </c>
      <c r="D385" s="173" t="s">
        <v>2001</v>
      </c>
      <c r="E385" s="172">
        <v>46198</v>
      </c>
      <c r="F385" s="173" t="s">
        <v>2002</v>
      </c>
      <c r="G385" s="174" t="s">
        <v>90</v>
      </c>
      <c r="H385" s="175">
        <v>13750</v>
      </c>
      <c r="I385" s="175">
        <v>33890</v>
      </c>
      <c r="J385" s="175">
        <v>20140</v>
      </c>
    </row>
    <row r="386" spans="1:10" x14ac:dyDescent="0.3">
      <c r="A386" s="171">
        <v>382</v>
      </c>
      <c r="B386" s="171" t="s">
        <v>2003</v>
      </c>
      <c r="C386" s="172">
        <v>46198</v>
      </c>
      <c r="D386" s="173" t="s">
        <v>2004</v>
      </c>
      <c r="E386" s="172">
        <v>46198</v>
      </c>
      <c r="F386" s="173" t="s">
        <v>2005</v>
      </c>
      <c r="G386" s="174" t="s">
        <v>85</v>
      </c>
      <c r="H386" s="175">
        <v>13810</v>
      </c>
      <c r="I386" s="175">
        <v>33440</v>
      </c>
      <c r="J386" s="175">
        <v>19630</v>
      </c>
    </row>
    <row r="387" spans="1:10" x14ac:dyDescent="0.3">
      <c r="A387" s="171">
        <v>383</v>
      </c>
      <c r="B387" s="171" t="s">
        <v>2006</v>
      </c>
      <c r="C387" s="172">
        <v>46198</v>
      </c>
      <c r="D387" s="173" t="s">
        <v>2007</v>
      </c>
      <c r="E387" s="172">
        <v>46198</v>
      </c>
      <c r="F387" s="173" t="s">
        <v>2008</v>
      </c>
      <c r="G387" s="174" t="s">
        <v>64</v>
      </c>
      <c r="H387" s="175">
        <v>13700</v>
      </c>
      <c r="I387" s="175">
        <v>33150</v>
      </c>
      <c r="J387" s="175">
        <v>19450</v>
      </c>
    </row>
    <row r="388" spans="1:10" x14ac:dyDescent="0.3">
      <c r="A388" s="171">
        <v>384</v>
      </c>
      <c r="B388" s="171" t="s">
        <v>2009</v>
      </c>
      <c r="C388" s="172">
        <v>46198</v>
      </c>
      <c r="D388" s="173" t="s">
        <v>2010</v>
      </c>
      <c r="E388" s="172">
        <v>46198</v>
      </c>
      <c r="F388" s="173" t="s">
        <v>2011</v>
      </c>
      <c r="G388" s="174" t="s">
        <v>335</v>
      </c>
      <c r="H388" s="175">
        <v>13860</v>
      </c>
      <c r="I388" s="175">
        <v>32110</v>
      </c>
      <c r="J388" s="175">
        <v>18250</v>
      </c>
    </row>
    <row r="389" spans="1:10" x14ac:dyDescent="0.3">
      <c r="A389" s="171">
        <v>385</v>
      </c>
      <c r="B389" s="171" t="s">
        <v>2012</v>
      </c>
      <c r="C389" s="172">
        <v>46198</v>
      </c>
      <c r="D389" s="173" t="s">
        <v>2013</v>
      </c>
      <c r="E389" s="172">
        <v>46198</v>
      </c>
      <c r="F389" s="173" t="s">
        <v>2014</v>
      </c>
      <c r="G389" s="174" t="s">
        <v>143</v>
      </c>
      <c r="H389" s="175">
        <v>14010</v>
      </c>
      <c r="I389" s="175">
        <v>33410</v>
      </c>
      <c r="J389" s="175">
        <v>19400</v>
      </c>
    </row>
    <row r="390" spans="1:10" x14ac:dyDescent="0.3">
      <c r="A390" s="171">
        <v>386</v>
      </c>
      <c r="B390" s="171" t="s">
        <v>2015</v>
      </c>
      <c r="C390" s="172">
        <v>46199</v>
      </c>
      <c r="D390" s="173" t="s">
        <v>2016</v>
      </c>
      <c r="E390" s="172">
        <v>46199</v>
      </c>
      <c r="F390" s="173" t="s">
        <v>2017</v>
      </c>
      <c r="G390" s="174" t="s">
        <v>839</v>
      </c>
      <c r="H390" s="175">
        <v>13880</v>
      </c>
      <c r="I390" s="175">
        <v>33840</v>
      </c>
      <c r="J390" s="175">
        <v>19960</v>
      </c>
    </row>
    <row r="391" spans="1:10" x14ac:dyDescent="0.3">
      <c r="A391" s="171">
        <v>387</v>
      </c>
      <c r="B391" s="171" t="s">
        <v>2018</v>
      </c>
      <c r="C391" s="172">
        <v>46199</v>
      </c>
      <c r="D391" s="173" t="s">
        <v>2019</v>
      </c>
      <c r="E391" s="172">
        <v>46199</v>
      </c>
      <c r="F391" s="173" t="s">
        <v>1410</v>
      </c>
      <c r="G391" s="174" t="s">
        <v>85</v>
      </c>
      <c r="H391" s="175">
        <v>13960</v>
      </c>
      <c r="I391" s="175">
        <v>32120</v>
      </c>
      <c r="J391" s="175">
        <v>18160</v>
      </c>
    </row>
    <row r="392" spans="1:10" x14ac:dyDescent="0.3">
      <c r="A392" s="171">
        <v>388</v>
      </c>
      <c r="B392" s="171" t="s">
        <v>2020</v>
      </c>
      <c r="C392" s="172">
        <v>46199</v>
      </c>
      <c r="D392" s="173" t="s">
        <v>2021</v>
      </c>
      <c r="E392" s="172">
        <v>46199</v>
      </c>
      <c r="F392" s="173" t="s">
        <v>2022</v>
      </c>
      <c r="G392" s="174" t="s">
        <v>841</v>
      </c>
      <c r="H392" s="175">
        <v>14000</v>
      </c>
      <c r="I392" s="175">
        <v>32340</v>
      </c>
      <c r="J392" s="175">
        <v>18340</v>
      </c>
    </row>
    <row r="393" spans="1:10" x14ac:dyDescent="0.3">
      <c r="A393" s="171">
        <v>389</v>
      </c>
      <c r="B393" s="171" t="s">
        <v>2023</v>
      </c>
      <c r="C393" s="172">
        <v>46199</v>
      </c>
      <c r="D393" s="173" t="s">
        <v>2024</v>
      </c>
      <c r="E393" s="172">
        <v>46199</v>
      </c>
      <c r="F393" s="173" t="s">
        <v>2025</v>
      </c>
      <c r="G393" s="174" t="s">
        <v>43</v>
      </c>
      <c r="H393" s="175">
        <v>14030</v>
      </c>
      <c r="I393" s="175">
        <v>32880</v>
      </c>
      <c r="J393" s="175">
        <v>18850</v>
      </c>
    </row>
    <row r="394" spans="1:10" x14ac:dyDescent="0.3">
      <c r="A394" s="171">
        <v>390</v>
      </c>
      <c r="B394" s="171" t="s">
        <v>2026</v>
      </c>
      <c r="C394" s="172">
        <v>46199</v>
      </c>
      <c r="D394" s="173" t="s">
        <v>2027</v>
      </c>
      <c r="E394" s="172">
        <v>46199</v>
      </c>
      <c r="F394" s="173" t="s">
        <v>2028</v>
      </c>
      <c r="G394" s="174" t="s">
        <v>842</v>
      </c>
      <c r="H394" s="175">
        <v>14110</v>
      </c>
      <c r="I394" s="175">
        <v>33230</v>
      </c>
      <c r="J394" s="175">
        <v>19120</v>
      </c>
    </row>
    <row r="395" spans="1:10" x14ac:dyDescent="0.3">
      <c r="A395" s="171">
        <v>391</v>
      </c>
      <c r="B395" s="171" t="s">
        <v>2029</v>
      </c>
      <c r="C395" s="172">
        <v>46199</v>
      </c>
      <c r="D395" s="173" t="s">
        <v>2030</v>
      </c>
      <c r="E395" s="172">
        <v>46199</v>
      </c>
      <c r="F395" s="173" t="s">
        <v>2031</v>
      </c>
      <c r="G395" s="174" t="s">
        <v>76</v>
      </c>
      <c r="H395" s="175">
        <v>14040</v>
      </c>
      <c r="I395" s="175">
        <v>32550</v>
      </c>
      <c r="J395" s="175">
        <v>18510</v>
      </c>
    </row>
    <row r="396" spans="1:10" x14ac:dyDescent="0.3">
      <c r="A396" s="171">
        <v>392</v>
      </c>
      <c r="B396" s="171" t="s">
        <v>2032</v>
      </c>
      <c r="C396" s="172">
        <v>46199</v>
      </c>
      <c r="D396" s="173" t="s">
        <v>2033</v>
      </c>
      <c r="E396" s="172">
        <v>46199</v>
      </c>
      <c r="F396" s="173" t="s">
        <v>2034</v>
      </c>
      <c r="G396" s="174" t="s">
        <v>336</v>
      </c>
      <c r="H396" s="175">
        <v>13940</v>
      </c>
      <c r="I396" s="175">
        <v>31910</v>
      </c>
      <c r="J396" s="175">
        <v>17970</v>
      </c>
    </row>
    <row r="397" spans="1:10" x14ac:dyDescent="0.3">
      <c r="A397" s="171">
        <v>393</v>
      </c>
      <c r="B397" s="171" t="s">
        <v>2035</v>
      </c>
      <c r="C397" s="172">
        <v>46199</v>
      </c>
      <c r="D397" s="173" t="s">
        <v>2036</v>
      </c>
      <c r="E397" s="172">
        <v>46199</v>
      </c>
      <c r="F397" s="173" t="s">
        <v>1422</v>
      </c>
      <c r="G397" s="174" t="s">
        <v>55</v>
      </c>
      <c r="H397" s="175">
        <v>13890</v>
      </c>
      <c r="I397" s="175">
        <v>32830</v>
      </c>
      <c r="J397" s="175">
        <v>18940</v>
      </c>
    </row>
    <row r="398" spans="1:10" x14ac:dyDescent="0.3">
      <c r="A398" s="171">
        <v>394</v>
      </c>
      <c r="B398" s="171" t="s">
        <v>2037</v>
      </c>
      <c r="C398" s="172">
        <v>46199</v>
      </c>
      <c r="D398" s="173" t="s">
        <v>2038</v>
      </c>
      <c r="E398" s="172">
        <v>46199</v>
      </c>
      <c r="F398" s="173" t="s">
        <v>2039</v>
      </c>
      <c r="G398" s="174" t="s">
        <v>337</v>
      </c>
      <c r="H398" s="175">
        <v>13900</v>
      </c>
      <c r="I398" s="175">
        <v>32400</v>
      </c>
      <c r="J398" s="175">
        <v>18500</v>
      </c>
    </row>
    <row r="399" spans="1:10" x14ac:dyDescent="0.3">
      <c r="A399" s="171">
        <v>395</v>
      </c>
      <c r="B399" s="171" t="s">
        <v>2040</v>
      </c>
      <c r="C399" s="172">
        <v>46199</v>
      </c>
      <c r="D399" s="173" t="s">
        <v>2041</v>
      </c>
      <c r="E399" s="172">
        <v>46199</v>
      </c>
      <c r="F399" s="173" t="s">
        <v>2042</v>
      </c>
      <c r="G399" s="174" t="s">
        <v>64</v>
      </c>
      <c r="H399" s="175">
        <v>14000</v>
      </c>
      <c r="I399" s="175">
        <v>34410</v>
      </c>
      <c r="J399" s="175">
        <v>20410</v>
      </c>
    </row>
    <row r="400" spans="1:10" x14ac:dyDescent="0.3">
      <c r="A400" s="171">
        <v>396</v>
      </c>
      <c r="B400" s="171" t="s">
        <v>2043</v>
      </c>
      <c r="C400" s="172">
        <v>46199</v>
      </c>
      <c r="D400" s="173" t="s">
        <v>2044</v>
      </c>
      <c r="E400" s="172">
        <v>46199</v>
      </c>
      <c r="F400" s="173" t="s">
        <v>2045</v>
      </c>
      <c r="G400" s="174" t="s">
        <v>80</v>
      </c>
      <c r="H400" s="175">
        <v>13900</v>
      </c>
      <c r="I400" s="175">
        <v>33190</v>
      </c>
      <c r="J400" s="175">
        <v>19290</v>
      </c>
    </row>
    <row r="401" spans="1:10" x14ac:dyDescent="0.3">
      <c r="A401" s="171">
        <v>397</v>
      </c>
      <c r="B401" s="171" t="s">
        <v>2046</v>
      </c>
      <c r="C401" s="172">
        <v>46199</v>
      </c>
      <c r="D401" s="173" t="s">
        <v>2047</v>
      </c>
      <c r="E401" s="172">
        <v>46199</v>
      </c>
      <c r="F401" s="173" t="s">
        <v>2048</v>
      </c>
      <c r="G401" s="174" t="s">
        <v>143</v>
      </c>
      <c r="H401" s="175">
        <v>13920</v>
      </c>
      <c r="I401" s="175">
        <v>32410</v>
      </c>
      <c r="J401" s="175">
        <v>18490</v>
      </c>
    </row>
    <row r="402" spans="1:10" x14ac:dyDescent="0.3">
      <c r="A402" s="171">
        <v>398</v>
      </c>
      <c r="B402" s="171" t="s">
        <v>2049</v>
      </c>
      <c r="C402" s="172">
        <v>46199</v>
      </c>
      <c r="D402" s="173" t="s">
        <v>2050</v>
      </c>
      <c r="E402" s="172">
        <v>46199</v>
      </c>
      <c r="F402" s="173" t="s">
        <v>2051</v>
      </c>
      <c r="G402" s="174" t="s">
        <v>844</v>
      </c>
      <c r="H402" s="175">
        <v>13780</v>
      </c>
      <c r="I402" s="175">
        <v>34430</v>
      </c>
      <c r="J402" s="175">
        <v>20650</v>
      </c>
    </row>
    <row r="403" spans="1:10" x14ac:dyDescent="0.3">
      <c r="A403" s="171">
        <v>399</v>
      </c>
      <c r="B403" s="171" t="s">
        <v>2052</v>
      </c>
      <c r="C403" s="172">
        <v>46199</v>
      </c>
      <c r="D403" s="173" t="s">
        <v>2053</v>
      </c>
      <c r="E403" s="172">
        <v>46199</v>
      </c>
      <c r="F403" s="173" t="s">
        <v>2054</v>
      </c>
      <c r="G403" s="174" t="s">
        <v>335</v>
      </c>
      <c r="H403" s="175">
        <v>13780</v>
      </c>
      <c r="I403" s="175">
        <v>34230</v>
      </c>
      <c r="J403" s="175">
        <v>20450</v>
      </c>
    </row>
    <row r="404" spans="1:10" x14ac:dyDescent="0.3">
      <c r="A404" s="171">
        <v>400</v>
      </c>
      <c r="B404" s="171" t="s">
        <v>2055</v>
      </c>
      <c r="C404" s="172">
        <v>46199</v>
      </c>
      <c r="D404" s="173" t="s">
        <v>2056</v>
      </c>
      <c r="E404" s="172">
        <v>46199</v>
      </c>
      <c r="F404" s="173" t="s">
        <v>2057</v>
      </c>
      <c r="G404" s="174" t="s">
        <v>90</v>
      </c>
      <c r="H404" s="175">
        <v>13680</v>
      </c>
      <c r="I404" s="175">
        <v>32150</v>
      </c>
      <c r="J404" s="175">
        <v>18470</v>
      </c>
    </row>
    <row r="405" spans="1:10" x14ac:dyDescent="0.3">
      <c r="A405" s="171">
        <v>401</v>
      </c>
      <c r="B405" s="171" t="s">
        <v>2058</v>
      </c>
      <c r="C405" s="172">
        <v>46199</v>
      </c>
      <c r="D405" s="173" t="s">
        <v>2059</v>
      </c>
      <c r="E405" s="172">
        <v>46199</v>
      </c>
      <c r="F405" s="173" t="s">
        <v>2060</v>
      </c>
      <c r="G405" s="174" t="s">
        <v>839</v>
      </c>
      <c r="H405" s="175">
        <v>13820</v>
      </c>
      <c r="I405" s="175">
        <v>33650</v>
      </c>
      <c r="J405" s="175">
        <v>19830</v>
      </c>
    </row>
    <row r="406" spans="1:10" x14ac:dyDescent="0.3">
      <c r="A406" s="171">
        <v>402</v>
      </c>
      <c r="B406" s="171" t="s">
        <v>2061</v>
      </c>
      <c r="C406" s="172">
        <v>46199</v>
      </c>
      <c r="D406" s="173" t="s">
        <v>2062</v>
      </c>
      <c r="E406" s="172">
        <v>46199</v>
      </c>
      <c r="F406" s="173" t="s">
        <v>2063</v>
      </c>
      <c r="G406" s="174" t="s">
        <v>85</v>
      </c>
      <c r="H406" s="175">
        <v>13880</v>
      </c>
      <c r="I406" s="175">
        <v>34090</v>
      </c>
      <c r="J406" s="175">
        <v>20210</v>
      </c>
    </row>
    <row r="407" spans="1:10" x14ac:dyDescent="0.3">
      <c r="A407" s="171">
        <v>403</v>
      </c>
      <c r="B407" s="171" t="s">
        <v>2064</v>
      </c>
      <c r="C407" s="172">
        <v>46199</v>
      </c>
      <c r="D407" s="173" t="s">
        <v>2065</v>
      </c>
      <c r="E407" s="172">
        <v>46199</v>
      </c>
      <c r="F407" s="173" t="s">
        <v>2066</v>
      </c>
      <c r="G407" s="174" t="s">
        <v>841</v>
      </c>
      <c r="H407" s="175">
        <v>14330</v>
      </c>
      <c r="I407" s="175">
        <v>34120</v>
      </c>
      <c r="J407" s="175">
        <v>19790</v>
      </c>
    </row>
    <row r="408" spans="1:10" x14ac:dyDescent="0.3">
      <c r="A408" s="171">
        <v>404</v>
      </c>
      <c r="B408" s="171" t="s">
        <v>2067</v>
      </c>
      <c r="C408" s="172">
        <v>46199</v>
      </c>
      <c r="D408" s="173" t="s">
        <v>2068</v>
      </c>
      <c r="E408" s="172">
        <v>46199</v>
      </c>
      <c r="F408" s="173" t="s">
        <v>2069</v>
      </c>
      <c r="G408" s="174" t="s">
        <v>43</v>
      </c>
      <c r="H408" s="175">
        <v>13950</v>
      </c>
      <c r="I408" s="175">
        <v>32150</v>
      </c>
      <c r="J408" s="175">
        <v>18200</v>
      </c>
    </row>
    <row r="409" spans="1:10" x14ac:dyDescent="0.3">
      <c r="A409" s="171">
        <v>405</v>
      </c>
      <c r="B409" s="171" t="s">
        <v>2070</v>
      </c>
      <c r="C409" s="172">
        <v>46199</v>
      </c>
      <c r="D409" s="173" t="s">
        <v>2071</v>
      </c>
      <c r="E409" s="172">
        <v>46199</v>
      </c>
      <c r="F409" s="173" t="s">
        <v>2072</v>
      </c>
      <c r="G409" s="174" t="s">
        <v>76</v>
      </c>
      <c r="H409" s="175">
        <v>14020</v>
      </c>
      <c r="I409" s="175">
        <v>33790</v>
      </c>
      <c r="J409" s="175">
        <v>19770</v>
      </c>
    </row>
    <row r="410" spans="1:10" x14ac:dyDescent="0.3">
      <c r="A410" s="171">
        <v>406</v>
      </c>
      <c r="B410" s="171" t="s">
        <v>2073</v>
      </c>
      <c r="C410" s="172">
        <v>46199</v>
      </c>
      <c r="D410" s="173" t="s">
        <v>2074</v>
      </c>
      <c r="E410" s="172">
        <v>46199</v>
      </c>
      <c r="F410" s="173" t="s">
        <v>2075</v>
      </c>
      <c r="G410" s="174" t="s">
        <v>842</v>
      </c>
      <c r="H410" s="175">
        <v>14110</v>
      </c>
      <c r="I410" s="175">
        <v>30920</v>
      </c>
      <c r="J410" s="175">
        <v>16810</v>
      </c>
    </row>
    <row r="411" spans="1:10" x14ac:dyDescent="0.3">
      <c r="A411" s="171">
        <v>407</v>
      </c>
      <c r="B411" s="171" t="s">
        <v>2076</v>
      </c>
      <c r="C411" s="172">
        <v>46199</v>
      </c>
      <c r="D411" s="173" t="s">
        <v>2077</v>
      </c>
      <c r="E411" s="172">
        <v>46199</v>
      </c>
      <c r="F411" s="173" t="s">
        <v>2078</v>
      </c>
      <c r="G411" s="174" t="s">
        <v>336</v>
      </c>
      <c r="H411" s="175">
        <v>13910</v>
      </c>
      <c r="I411" s="175">
        <v>32410</v>
      </c>
      <c r="J411" s="175">
        <v>18500</v>
      </c>
    </row>
    <row r="412" spans="1:10" x14ac:dyDescent="0.3">
      <c r="A412" s="171">
        <v>408</v>
      </c>
      <c r="B412" s="171" t="s">
        <v>2079</v>
      </c>
      <c r="C412" s="172">
        <v>46199</v>
      </c>
      <c r="D412" s="173" t="s">
        <v>2080</v>
      </c>
      <c r="E412" s="172">
        <v>46199</v>
      </c>
      <c r="F412" s="173" t="s">
        <v>2081</v>
      </c>
      <c r="G412" s="174" t="s">
        <v>64</v>
      </c>
      <c r="H412" s="175">
        <v>13970</v>
      </c>
      <c r="I412" s="175">
        <v>30810</v>
      </c>
      <c r="J412" s="175">
        <v>16840</v>
      </c>
    </row>
    <row r="413" spans="1:10" x14ac:dyDescent="0.3">
      <c r="A413" s="171">
        <v>409</v>
      </c>
      <c r="B413" s="171" t="s">
        <v>2082</v>
      </c>
      <c r="C413" s="172">
        <v>46199</v>
      </c>
      <c r="D413" s="173" t="s">
        <v>2083</v>
      </c>
      <c r="E413" s="172">
        <v>46199</v>
      </c>
      <c r="F413" s="173" t="s">
        <v>2084</v>
      </c>
      <c r="G413" s="174" t="s">
        <v>55</v>
      </c>
      <c r="H413" s="175">
        <v>13860</v>
      </c>
      <c r="I413" s="175">
        <v>31320</v>
      </c>
      <c r="J413" s="175">
        <v>17460</v>
      </c>
    </row>
    <row r="414" spans="1:10" x14ac:dyDescent="0.3">
      <c r="A414" s="171">
        <v>410</v>
      </c>
      <c r="B414" s="171" t="s">
        <v>2085</v>
      </c>
      <c r="C414" s="172">
        <v>46199</v>
      </c>
      <c r="D414" s="173" t="s">
        <v>2086</v>
      </c>
      <c r="E414" s="172">
        <v>46199</v>
      </c>
      <c r="F414" s="173" t="s">
        <v>2087</v>
      </c>
      <c r="G414" s="174" t="s">
        <v>80</v>
      </c>
      <c r="H414" s="175">
        <v>13870</v>
      </c>
      <c r="I414" s="175">
        <v>32710</v>
      </c>
      <c r="J414" s="175">
        <v>18840</v>
      </c>
    </row>
    <row r="415" spans="1:10" x14ac:dyDescent="0.3">
      <c r="A415" s="171">
        <v>411</v>
      </c>
      <c r="B415" s="171" t="s">
        <v>2088</v>
      </c>
      <c r="C415" s="172">
        <v>46199</v>
      </c>
      <c r="D415" s="173" t="s">
        <v>874</v>
      </c>
      <c r="E415" s="172">
        <v>46199</v>
      </c>
      <c r="F415" s="173" t="s">
        <v>2089</v>
      </c>
      <c r="G415" s="174" t="s">
        <v>143</v>
      </c>
      <c r="H415" s="175">
        <v>13870</v>
      </c>
      <c r="I415" s="175">
        <v>32870</v>
      </c>
      <c r="J415" s="175">
        <v>19000</v>
      </c>
    </row>
    <row r="416" spans="1:10" x14ac:dyDescent="0.3">
      <c r="A416" s="171">
        <v>412</v>
      </c>
      <c r="B416" s="171" t="s">
        <v>2090</v>
      </c>
      <c r="C416" s="172">
        <v>46199</v>
      </c>
      <c r="D416" s="173" t="s">
        <v>2091</v>
      </c>
      <c r="E416" s="172">
        <v>46199</v>
      </c>
      <c r="F416" s="173" t="s">
        <v>2092</v>
      </c>
      <c r="G416" s="174" t="s">
        <v>337</v>
      </c>
      <c r="H416" s="175">
        <v>13840</v>
      </c>
      <c r="I416" s="175">
        <v>29080</v>
      </c>
      <c r="J416" s="175">
        <v>15240</v>
      </c>
    </row>
    <row r="417" spans="1:10" x14ac:dyDescent="0.3">
      <c r="A417" s="171">
        <v>413</v>
      </c>
      <c r="B417" s="171" t="s">
        <v>2093</v>
      </c>
      <c r="C417" s="172">
        <v>46199</v>
      </c>
      <c r="D417" s="173" t="s">
        <v>2094</v>
      </c>
      <c r="E417" s="172">
        <v>46199</v>
      </c>
      <c r="F417" s="173" t="s">
        <v>2095</v>
      </c>
      <c r="G417" s="174" t="s">
        <v>335</v>
      </c>
      <c r="H417" s="175">
        <v>13750</v>
      </c>
      <c r="I417" s="175">
        <v>29910</v>
      </c>
      <c r="J417" s="175">
        <v>16160</v>
      </c>
    </row>
    <row r="418" spans="1:10" x14ac:dyDescent="0.3">
      <c r="A418" s="171">
        <v>414</v>
      </c>
      <c r="B418" s="171" t="s">
        <v>2096</v>
      </c>
      <c r="C418" s="172">
        <v>46199</v>
      </c>
      <c r="D418" s="173" t="s">
        <v>2097</v>
      </c>
      <c r="E418" s="172">
        <v>46199</v>
      </c>
      <c r="F418" s="173" t="s">
        <v>2098</v>
      </c>
      <c r="G418" s="174" t="s">
        <v>90</v>
      </c>
      <c r="H418" s="175">
        <v>14000</v>
      </c>
      <c r="I418" s="175">
        <v>28810</v>
      </c>
      <c r="J418" s="175">
        <v>14810</v>
      </c>
    </row>
    <row r="419" spans="1:10" x14ac:dyDescent="0.3">
      <c r="A419" s="171">
        <v>415</v>
      </c>
      <c r="B419" s="171" t="s">
        <v>2099</v>
      </c>
      <c r="C419" s="172">
        <v>46199</v>
      </c>
      <c r="D419" s="173" t="s">
        <v>2100</v>
      </c>
      <c r="E419" s="172">
        <v>46199</v>
      </c>
      <c r="F419" s="173" t="s">
        <v>2101</v>
      </c>
      <c r="G419" s="174" t="s">
        <v>844</v>
      </c>
      <c r="H419" s="175">
        <v>13980</v>
      </c>
      <c r="I419" s="175">
        <v>33490</v>
      </c>
      <c r="J419" s="175">
        <v>19510</v>
      </c>
    </row>
    <row r="420" spans="1:10" x14ac:dyDescent="0.3">
      <c r="A420" s="171">
        <v>416</v>
      </c>
      <c r="B420" s="171" t="s">
        <v>2102</v>
      </c>
      <c r="C420" s="172">
        <v>46199</v>
      </c>
      <c r="D420" s="173" t="s">
        <v>2103</v>
      </c>
      <c r="E420" s="172">
        <v>46199</v>
      </c>
      <c r="F420" s="173" t="s">
        <v>2104</v>
      </c>
      <c r="G420" s="174" t="s">
        <v>839</v>
      </c>
      <c r="H420" s="175">
        <v>13790</v>
      </c>
      <c r="I420" s="175">
        <v>32220</v>
      </c>
      <c r="J420" s="175">
        <v>18430</v>
      </c>
    </row>
    <row r="421" spans="1:10" x14ac:dyDescent="0.3">
      <c r="A421" s="171">
        <v>417</v>
      </c>
      <c r="B421" s="171" t="s">
        <v>2105</v>
      </c>
      <c r="C421" s="172">
        <v>46199</v>
      </c>
      <c r="D421" s="173" t="s">
        <v>2106</v>
      </c>
      <c r="E421" s="172">
        <v>46199</v>
      </c>
      <c r="F421" s="173" t="s">
        <v>2107</v>
      </c>
      <c r="G421" s="174" t="s">
        <v>85</v>
      </c>
      <c r="H421" s="175">
        <v>13850</v>
      </c>
      <c r="I421" s="175">
        <v>32420</v>
      </c>
      <c r="J421" s="175">
        <v>18570</v>
      </c>
    </row>
    <row r="422" spans="1:10" x14ac:dyDescent="0.3">
      <c r="A422" s="171">
        <v>418</v>
      </c>
      <c r="B422" s="171" t="s">
        <v>2108</v>
      </c>
      <c r="C422" s="172">
        <v>46199</v>
      </c>
      <c r="D422" s="173" t="s">
        <v>1961</v>
      </c>
      <c r="E422" s="172">
        <v>46199</v>
      </c>
      <c r="F422" s="173" t="s">
        <v>2109</v>
      </c>
      <c r="G422" s="174" t="s">
        <v>43</v>
      </c>
      <c r="H422" s="175">
        <v>13930</v>
      </c>
      <c r="I422" s="175">
        <v>33080</v>
      </c>
      <c r="J422" s="175">
        <v>19150</v>
      </c>
    </row>
    <row r="423" spans="1:10" x14ac:dyDescent="0.3">
      <c r="A423" s="171">
        <v>419</v>
      </c>
      <c r="B423" s="171" t="s">
        <v>2110</v>
      </c>
      <c r="C423" s="172">
        <v>46199</v>
      </c>
      <c r="D423" s="173" t="s">
        <v>2111</v>
      </c>
      <c r="E423" s="172">
        <v>46199</v>
      </c>
      <c r="F423" s="173" t="s">
        <v>864</v>
      </c>
      <c r="G423" s="174" t="s">
        <v>841</v>
      </c>
      <c r="H423" s="175">
        <v>13980</v>
      </c>
      <c r="I423" s="175">
        <v>34200</v>
      </c>
      <c r="J423" s="175">
        <v>20220</v>
      </c>
    </row>
    <row r="424" spans="1:10" x14ac:dyDescent="0.3">
      <c r="A424" s="171">
        <v>420</v>
      </c>
      <c r="B424" s="171" t="s">
        <v>2112</v>
      </c>
      <c r="C424" s="172">
        <v>46199</v>
      </c>
      <c r="D424" s="173" t="s">
        <v>2113</v>
      </c>
      <c r="E424" s="172">
        <v>46199</v>
      </c>
      <c r="F424" s="173" t="s">
        <v>2114</v>
      </c>
      <c r="G424" s="174" t="s">
        <v>76</v>
      </c>
      <c r="H424" s="175">
        <v>13960</v>
      </c>
      <c r="I424" s="175">
        <v>32320</v>
      </c>
      <c r="J424" s="175">
        <v>18360</v>
      </c>
    </row>
    <row r="425" spans="1:10" x14ac:dyDescent="0.3">
      <c r="A425" s="171">
        <v>421</v>
      </c>
      <c r="B425" s="171" t="s">
        <v>2115</v>
      </c>
      <c r="C425" s="172">
        <v>46199</v>
      </c>
      <c r="D425" s="173" t="s">
        <v>2116</v>
      </c>
      <c r="E425" s="172">
        <v>46199</v>
      </c>
      <c r="F425" s="173" t="s">
        <v>2117</v>
      </c>
      <c r="G425" s="174" t="s">
        <v>842</v>
      </c>
      <c r="H425" s="175">
        <v>14070</v>
      </c>
      <c r="I425" s="175">
        <v>33310</v>
      </c>
      <c r="J425" s="175">
        <v>19240</v>
      </c>
    </row>
    <row r="426" spans="1:10" x14ac:dyDescent="0.3">
      <c r="A426" s="171">
        <v>422</v>
      </c>
      <c r="B426" s="171" t="s">
        <v>2118</v>
      </c>
      <c r="C426" s="172">
        <v>46199</v>
      </c>
      <c r="D426" s="173" t="s">
        <v>2119</v>
      </c>
      <c r="E426" s="172">
        <v>46199</v>
      </c>
      <c r="F426" s="173" t="s">
        <v>2120</v>
      </c>
      <c r="G426" s="174" t="s">
        <v>336</v>
      </c>
      <c r="H426" s="175">
        <v>13950</v>
      </c>
      <c r="I426" s="175">
        <v>32090</v>
      </c>
      <c r="J426" s="175">
        <v>18140</v>
      </c>
    </row>
    <row r="427" spans="1:10" x14ac:dyDescent="0.3">
      <c r="A427" s="171">
        <v>423</v>
      </c>
      <c r="B427" s="171" t="s">
        <v>2121</v>
      </c>
      <c r="C427" s="172">
        <v>46199</v>
      </c>
      <c r="D427" s="173" t="s">
        <v>2122</v>
      </c>
      <c r="E427" s="172">
        <v>46199</v>
      </c>
      <c r="F427" s="173" t="s">
        <v>2123</v>
      </c>
      <c r="G427" s="174" t="s">
        <v>55</v>
      </c>
      <c r="H427" s="175">
        <v>13840</v>
      </c>
      <c r="I427" s="175">
        <v>33930</v>
      </c>
      <c r="J427" s="175">
        <v>20090</v>
      </c>
    </row>
    <row r="428" spans="1:10" x14ac:dyDescent="0.3">
      <c r="A428" s="171">
        <v>424</v>
      </c>
      <c r="B428" s="171" t="s">
        <v>2124</v>
      </c>
      <c r="C428" s="172">
        <v>46199</v>
      </c>
      <c r="D428" s="173" t="s">
        <v>2125</v>
      </c>
      <c r="E428" s="172">
        <v>46199</v>
      </c>
      <c r="F428" s="173" t="s">
        <v>2126</v>
      </c>
      <c r="G428" s="174" t="s">
        <v>64</v>
      </c>
      <c r="H428" s="175">
        <v>13930</v>
      </c>
      <c r="I428" s="175">
        <v>33630</v>
      </c>
      <c r="J428" s="175">
        <v>19700</v>
      </c>
    </row>
    <row r="429" spans="1:10" x14ac:dyDescent="0.3">
      <c r="A429" s="171">
        <v>425</v>
      </c>
      <c r="B429" s="171" t="s">
        <v>2127</v>
      </c>
      <c r="C429" s="172">
        <v>46199</v>
      </c>
      <c r="D429" s="173" t="s">
        <v>2128</v>
      </c>
      <c r="E429" s="172">
        <v>46199</v>
      </c>
      <c r="F429" s="173" t="s">
        <v>2129</v>
      </c>
      <c r="G429" s="174" t="s">
        <v>80</v>
      </c>
      <c r="H429" s="175">
        <v>13830</v>
      </c>
      <c r="I429" s="175">
        <v>33290</v>
      </c>
      <c r="J429" s="175">
        <v>19460</v>
      </c>
    </row>
    <row r="430" spans="1:10" x14ac:dyDescent="0.3">
      <c r="A430" s="171">
        <v>426</v>
      </c>
      <c r="B430" s="171" t="s">
        <v>2130</v>
      </c>
      <c r="C430" s="172">
        <v>46199</v>
      </c>
      <c r="D430" s="173" t="s">
        <v>2131</v>
      </c>
      <c r="E430" s="172">
        <v>46199</v>
      </c>
      <c r="F430" s="173" t="s">
        <v>2132</v>
      </c>
      <c r="G430" s="174" t="s">
        <v>143</v>
      </c>
      <c r="H430" s="175">
        <v>13850</v>
      </c>
      <c r="I430" s="175">
        <v>34300</v>
      </c>
      <c r="J430" s="175">
        <v>20450</v>
      </c>
    </row>
    <row r="431" spans="1:10" x14ac:dyDescent="0.3">
      <c r="A431" s="171">
        <v>427</v>
      </c>
      <c r="B431" s="171" t="s">
        <v>2133</v>
      </c>
      <c r="C431" s="172">
        <v>46199</v>
      </c>
      <c r="D431" s="173" t="s">
        <v>2134</v>
      </c>
      <c r="E431" s="172">
        <v>46199</v>
      </c>
      <c r="F431" s="173" t="s">
        <v>2135</v>
      </c>
      <c r="G431" s="174" t="s">
        <v>337</v>
      </c>
      <c r="H431" s="175">
        <v>13800</v>
      </c>
      <c r="I431" s="175">
        <v>33010</v>
      </c>
      <c r="J431" s="175">
        <v>19210</v>
      </c>
    </row>
    <row r="432" spans="1:10" x14ac:dyDescent="0.3">
      <c r="A432" s="171">
        <v>428</v>
      </c>
      <c r="B432" s="171" t="s">
        <v>2136</v>
      </c>
      <c r="C432" s="172">
        <v>46199</v>
      </c>
      <c r="D432" s="173" t="s">
        <v>2137</v>
      </c>
      <c r="E432" s="172">
        <v>46199</v>
      </c>
      <c r="F432" s="173" t="s">
        <v>2138</v>
      </c>
      <c r="G432" s="174" t="s">
        <v>335</v>
      </c>
      <c r="H432" s="175">
        <v>13720</v>
      </c>
      <c r="I432" s="175">
        <v>33720</v>
      </c>
      <c r="J432" s="175">
        <v>20000</v>
      </c>
    </row>
    <row r="433" spans="1:10" x14ac:dyDescent="0.3">
      <c r="A433" s="171">
        <v>429</v>
      </c>
      <c r="B433" s="171" t="s">
        <v>2139</v>
      </c>
      <c r="C433" s="172">
        <v>46199</v>
      </c>
      <c r="D433" s="173" t="s">
        <v>2140</v>
      </c>
      <c r="E433" s="172">
        <v>46199</v>
      </c>
      <c r="F433" s="173" t="s">
        <v>2141</v>
      </c>
      <c r="G433" s="174" t="s">
        <v>90</v>
      </c>
      <c r="H433" s="175">
        <v>13960</v>
      </c>
      <c r="I433" s="175">
        <v>33360</v>
      </c>
      <c r="J433" s="175">
        <v>19400</v>
      </c>
    </row>
    <row r="434" spans="1:10" x14ac:dyDescent="0.3">
      <c r="A434" s="171">
        <v>430</v>
      </c>
      <c r="B434" s="171" t="s">
        <v>2142</v>
      </c>
      <c r="C434" s="172">
        <v>46199</v>
      </c>
      <c r="D434" s="173" t="s">
        <v>2143</v>
      </c>
      <c r="E434" s="172">
        <v>46199</v>
      </c>
      <c r="F434" s="173" t="s">
        <v>2144</v>
      </c>
      <c r="G434" s="174" t="s">
        <v>844</v>
      </c>
      <c r="H434" s="175">
        <v>13970</v>
      </c>
      <c r="I434" s="175">
        <v>33350</v>
      </c>
      <c r="J434" s="175">
        <v>19380</v>
      </c>
    </row>
    <row r="435" spans="1:10" x14ac:dyDescent="0.3">
      <c r="A435" s="171">
        <v>431</v>
      </c>
      <c r="B435" s="171" t="s">
        <v>2145</v>
      </c>
      <c r="C435" s="172">
        <v>46199</v>
      </c>
      <c r="D435" s="173" t="s">
        <v>2146</v>
      </c>
      <c r="E435" s="172">
        <v>46199</v>
      </c>
      <c r="F435" s="173" t="s">
        <v>2147</v>
      </c>
      <c r="G435" s="174" t="s">
        <v>839</v>
      </c>
      <c r="H435" s="175">
        <v>14050</v>
      </c>
      <c r="I435" s="175">
        <v>32890</v>
      </c>
      <c r="J435" s="175">
        <v>18840</v>
      </c>
    </row>
    <row r="436" spans="1:10" x14ac:dyDescent="0.3">
      <c r="A436" s="171">
        <v>432</v>
      </c>
      <c r="B436" s="171" t="s">
        <v>2148</v>
      </c>
      <c r="C436" s="172">
        <v>46199</v>
      </c>
      <c r="D436" s="173" t="s">
        <v>2149</v>
      </c>
      <c r="E436" s="172">
        <v>46199</v>
      </c>
      <c r="F436" s="173" t="s">
        <v>2150</v>
      </c>
      <c r="G436" s="174" t="s">
        <v>85</v>
      </c>
      <c r="H436" s="175">
        <v>13820</v>
      </c>
      <c r="I436" s="175">
        <v>34420</v>
      </c>
      <c r="J436" s="175">
        <v>20600</v>
      </c>
    </row>
    <row r="437" spans="1:10" x14ac:dyDescent="0.3">
      <c r="A437" s="171">
        <v>433</v>
      </c>
      <c r="B437" s="171" t="s">
        <v>2151</v>
      </c>
      <c r="C437" s="172">
        <v>46199</v>
      </c>
      <c r="D437" s="173" t="s">
        <v>2152</v>
      </c>
      <c r="E437" s="172">
        <v>46199</v>
      </c>
      <c r="F437" s="173" t="s">
        <v>2153</v>
      </c>
      <c r="G437" s="174" t="s">
        <v>43</v>
      </c>
      <c r="H437" s="175">
        <v>13900</v>
      </c>
      <c r="I437" s="175">
        <v>33950</v>
      </c>
      <c r="J437" s="175">
        <v>20050</v>
      </c>
    </row>
    <row r="438" spans="1:10" x14ac:dyDescent="0.3">
      <c r="A438" s="171">
        <v>434</v>
      </c>
      <c r="B438" s="171" t="s">
        <v>2154</v>
      </c>
      <c r="C438" s="172">
        <v>46199</v>
      </c>
      <c r="D438" s="173" t="s">
        <v>2155</v>
      </c>
      <c r="E438" s="172">
        <v>46199</v>
      </c>
      <c r="F438" s="173" t="s">
        <v>2156</v>
      </c>
      <c r="G438" s="174" t="s">
        <v>841</v>
      </c>
      <c r="H438" s="175">
        <v>13930</v>
      </c>
      <c r="I438" s="175">
        <v>33540</v>
      </c>
      <c r="J438" s="175">
        <v>19610</v>
      </c>
    </row>
    <row r="439" spans="1:10" x14ac:dyDescent="0.3">
      <c r="A439" s="171">
        <v>435</v>
      </c>
      <c r="B439" s="171" t="s">
        <v>2157</v>
      </c>
      <c r="C439" s="172">
        <v>46199</v>
      </c>
      <c r="D439" s="173" t="s">
        <v>2158</v>
      </c>
      <c r="E439" s="172">
        <v>46199</v>
      </c>
      <c r="F439" s="173" t="s">
        <v>901</v>
      </c>
      <c r="G439" s="174" t="s">
        <v>336</v>
      </c>
      <c r="H439" s="175">
        <v>13930</v>
      </c>
      <c r="I439" s="175">
        <v>33760</v>
      </c>
      <c r="J439" s="175">
        <v>19830</v>
      </c>
    </row>
    <row r="440" spans="1:10" x14ac:dyDescent="0.3">
      <c r="A440" s="171">
        <v>436</v>
      </c>
      <c r="B440" s="171" t="s">
        <v>2159</v>
      </c>
      <c r="C440" s="172">
        <v>46199</v>
      </c>
      <c r="D440" s="173" t="s">
        <v>2160</v>
      </c>
      <c r="E440" s="172">
        <v>46199</v>
      </c>
      <c r="F440" s="173" t="s">
        <v>2161</v>
      </c>
      <c r="G440" s="174" t="s">
        <v>80</v>
      </c>
      <c r="H440" s="175">
        <v>13830</v>
      </c>
      <c r="I440" s="175">
        <v>33910</v>
      </c>
      <c r="J440" s="175">
        <v>20080</v>
      </c>
    </row>
    <row r="441" spans="1:10" x14ac:dyDescent="0.3">
      <c r="A441" s="171">
        <v>437</v>
      </c>
      <c r="B441" s="171" t="s">
        <v>2162</v>
      </c>
      <c r="C441" s="172">
        <v>46199</v>
      </c>
      <c r="D441" s="173" t="s">
        <v>2163</v>
      </c>
      <c r="E441" s="172">
        <v>46199</v>
      </c>
      <c r="F441" s="173" t="s">
        <v>2164</v>
      </c>
      <c r="G441" s="174" t="s">
        <v>143</v>
      </c>
      <c r="H441" s="175">
        <v>13880</v>
      </c>
      <c r="I441" s="175">
        <v>33690</v>
      </c>
      <c r="J441" s="175">
        <v>19810</v>
      </c>
    </row>
    <row r="442" spans="1:10" x14ac:dyDescent="0.3">
      <c r="A442" s="171">
        <v>438</v>
      </c>
      <c r="B442" s="171" t="s">
        <v>2165</v>
      </c>
      <c r="C442" s="172">
        <v>46199</v>
      </c>
      <c r="D442" s="173" t="s">
        <v>2166</v>
      </c>
      <c r="E442" s="172">
        <v>46199</v>
      </c>
      <c r="F442" s="173" t="s">
        <v>2167</v>
      </c>
      <c r="G442" s="174" t="s">
        <v>337</v>
      </c>
      <c r="H442" s="175">
        <v>13780</v>
      </c>
      <c r="I442" s="175">
        <v>31200</v>
      </c>
      <c r="J442" s="175">
        <v>17420</v>
      </c>
    </row>
    <row r="443" spans="1:10" x14ac:dyDescent="0.3">
      <c r="A443" s="171">
        <v>439</v>
      </c>
      <c r="B443" s="171" t="s">
        <v>2168</v>
      </c>
      <c r="C443" s="172">
        <v>46199</v>
      </c>
      <c r="D443" s="173" t="s">
        <v>2169</v>
      </c>
      <c r="E443" s="172">
        <v>46199</v>
      </c>
      <c r="F443" s="173" t="s">
        <v>2170</v>
      </c>
      <c r="G443" s="174" t="s">
        <v>335</v>
      </c>
      <c r="H443" s="175">
        <v>13690</v>
      </c>
      <c r="I443" s="175">
        <v>33030</v>
      </c>
      <c r="J443" s="175">
        <v>19340</v>
      </c>
    </row>
    <row r="444" spans="1:10" x14ac:dyDescent="0.3">
      <c r="A444" s="171">
        <v>440</v>
      </c>
      <c r="B444" s="171" t="s">
        <v>2171</v>
      </c>
      <c r="C444" s="172">
        <v>46200</v>
      </c>
      <c r="D444" s="173" t="s">
        <v>698</v>
      </c>
      <c r="E444" s="172">
        <v>46200</v>
      </c>
      <c r="F444" s="173" t="s">
        <v>921</v>
      </c>
      <c r="G444" s="174" t="s">
        <v>839</v>
      </c>
      <c r="H444" s="175">
        <v>14020</v>
      </c>
      <c r="I444" s="175">
        <v>31210</v>
      </c>
      <c r="J444" s="175">
        <v>17190</v>
      </c>
    </row>
    <row r="445" spans="1:10" x14ac:dyDescent="0.3">
      <c r="A445" s="171">
        <v>441</v>
      </c>
      <c r="B445" s="171" t="s">
        <v>2172</v>
      </c>
      <c r="C445" s="172">
        <v>46200</v>
      </c>
      <c r="D445" s="173" t="s">
        <v>840</v>
      </c>
      <c r="E445" s="172">
        <v>46200</v>
      </c>
      <c r="F445" s="173" t="s">
        <v>2173</v>
      </c>
      <c r="G445" s="174" t="s">
        <v>336</v>
      </c>
      <c r="H445" s="175">
        <v>13770</v>
      </c>
      <c r="I445" s="175">
        <v>32800</v>
      </c>
      <c r="J445" s="175">
        <v>19030</v>
      </c>
    </row>
    <row r="446" spans="1:10" x14ac:dyDescent="0.3">
      <c r="A446" s="171">
        <v>442</v>
      </c>
      <c r="B446" s="171" t="s">
        <v>2174</v>
      </c>
      <c r="C446" s="172">
        <v>46200</v>
      </c>
      <c r="D446" s="173" t="s">
        <v>2175</v>
      </c>
      <c r="E446" s="172">
        <v>46200</v>
      </c>
      <c r="F446" s="173" t="s">
        <v>2176</v>
      </c>
      <c r="G446" s="174" t="s">
        <v>43</v>
      </c>
      <c r="H446" s="175">
        <v>13800</v>
      </c>
      <c r="I446" s="175">
        <v>32220</v>
      </c>
      <c r="J446" s="175">
        <v>18420</v>
      </c>
    </row>
    <row r="447" spans="1:10" x14ac:dyDescent="0.3">
      <c r="A447" s="171">
        <v>443</v>
      </c>
      <c r="B447" s="171" t="s">
        <v>2177</v>
      </c>
      <c r="C447" s="172">
        <v>46200</v>
      </c>
      <c r="D447" s="173" t="s">
        <v>1840</v>
      </c>
      <c r="E447" s="172">
        <v>46200</v>
      </c>
      <c r="F447" s="173" t="s">
        <v>2178</v>
      </c>
      <c r="G447" s="174" t="s">
        <v>71</v>
      </c>
      <c r="H447" s="175">
        <v>13800</v>
      </c>
      <c r="I447" s="175">
        <v>32620</v>
      </c>
      <c r="J447" s="175">
        <v>18820</v>
      </c>
    </row>
    <row r="448" spans="1:10" x14ac:dyDescent="0.3">
      <c r="A448" s="171">
        <v>444</v>
      </c>
      <c r="B448" s="171" t="s">
        <v>2179</v>
      </c>
      <c r="C448" s="172">
        <v>46200</v>
      </c>
      <c r="D448" s="173" t="s">
        <v>2180</v>
      </c>
      <c r="E448" s="172">
        <v>46200</v>
      </c>
      <c r="F448" s="173" t="s">
        <v>889</v>
      </c>
      <c r="G448" s="174" t="s">
        <v>80</v>
      </c>
      <c r="H448" s="175">
        <v>14160</v>
      </c>
      <c r="I448" s="175">
        <v>31640</v>
      </c>
      <c r="J448" s="175">
        <v>17480</v>
      </c>
    </row>
    <row r="449" spans="1:10" x14ac:dyDescent="0.3">
      <c r="A449" s="171">
        <v>445</v>
      </c>
      <c r="B449" s="171" t="s">
        <v>2181</v>
      </c>
      <c r="C449" s="172">
        <v>46200</v>
      </c>
      <c r="D449" s="173" t="s">
        <v>2182</v>
      </c>
      <c r="E449" s="172">
        <v>46200</v>
      </c>
      <c r="F449" s="173" t="s">
        <v>2183</v>
      </c>
      <c r="G449" s="174" t="s">
        <v>537</v>
      </c>
      <c r="H449" s="175">
        <v>13860</v>
      </c>
      <c r="I449" s="175">
        <v>32950</v>
      </c>
      <c r="J449" s="175">
        <v>19090</v>
      </c>
    </row>
    <row r="450" spans="1:10" x14ac:dyDescent="0.3">
      <c r="A450" s="171">
        <v>446</v>
      </c>
      <c r="B450" s="171" t="s">
        <v>2184</v>
      </c>
      <c r="C450" s="172">
        <v>46200</v>
      </c>
      <c r="D450" s="173" t="s">
        <v>872</v>
      </c>
      <c r="E450" s="172">
        <v>46200</v>
      </c>
      <c r="F450" s="173" t="s">
        <v>2185</v>
      </c>
      <c r="G450" s="174" t="s">
        <v>55</v>
      </c>
      <c r="H450" s="175">
        <v>13790</v>
      </c>
      <c r="I450" s="175">
        <v>32530</v>
      </c>
      <c r="J450" s="175">
        <v>18740</v>
      </c>
    </row>
    <row r="451" spans="1:10" x14ac:dyDescent="0.3">
      <c r="A451" s="171">
        <v>447</v>
      </c>
      <c r="B451" s="171" t="s">
        <v>2186</v>
      </c>
      <c r="C451" s="172">
        <v>46200</v>
      </c>
      <c r="D451" s="173" t="s">
        <v>2187</v>
      </c>
      <c r="E451" s="172">
        <v>46200</v>
      </c>
      <c r="F451" s="173" t="s">
        <v>2188</v>
      </c>
      <c r="G451" s="174" t="s">
        <v>64</v>
      </c>
      <c r="H451" s="175">
        <v>13870</v>
      </c>
      <c r="I451" s="175">
        <v>32930</v>
      </c>
      <c r="J451" s="175">
        <v>19060</v>
      </c>
    </row>
    <row r="452" spans="1:10" x14ac:dyDescent="0.3">
      <c r="A452" s="171">
        <v>448</v>
      </c>
      <c r="B452" s="171" t="s">
        <v>2189</v>
      </c>
      <c r="C452" s="172">
        <v>46200</v>
      </c>
      <c r="D452" s="173" t="s">
        <v>879</v>
      </c>
      <c r="E452" s="172">
        <v>46200</v>
      </c>
      <c r="F452" s="173" t="s">
        <v>2190</v>
      </c>
      <c r="G452" s="174" t="s">
        <v>842</v>
      </c>
      <c r="H452" s="175">
        <v>14040</v>
      </c>
      <c r="I452" s="175">
        <v>33740</v>
      </c>
      <c r="J452" s="175">
        <v>19700</v>
      </c>
    </row>
    <row r="453" spans="1:10" x14ac:dyDescent="0.3">
      <c r="A453" s="171">
        <v>449</v>
      </c>
      <c r="B453" s="171" t="s">
        <v>2191</v>
      </c>
      <c r="C453" s="172">
        <v>46200</v>
      </c>
      <c r="D453" s="173" t="s">
        <v>2192</v>
      </c>
      <c r="E453" s="172">
        <v>46200</v>
      </c>
      <c r="F453" s="173" t="s">
        <v>2193</v>
      </c>
      <c r="G453" s="174" t="s">
        <v>90</v>
      </c>
      <c r="H453" s="175">
        <v>13840</v>
      </c>
      <c r="I453" s="175">
        <v>30680</v>
      </c>
      <c r="J453" s="175">
        <v>16840</v>
      </c>
    </row>
    <row r="454" spans="1:10" x14ac:dyDescent="0.3">
      <c r="A454" s="171">
        <v>450</v>
      </c>
      <c r="B454" s="171" t="s">
        <v>2194</v>
      </c>
      <c r="C454" s="172">
        <v>46200</v>
      </c>
      <c r="D454" s="173" t="s">
        <v>2195</v>
      </c>
      <c r="E454" s="172">
        <v>46200</v>
      </c>
      <c r="F454" s="173" t="s">
        <v>2196</v>
      </c>
      <c r="G454" s="174" t="s">
        <v>337</v>
      </c>
      <c r="H454" s="175">
        <v>13720</v>
      </c>
      <c r="I454" s="175">
        <v>32510</v>
      </c>
      <c r="J454" s="175">
        <v>18790</v>
      </c>
    </row>
    <row r="455" spans="1:10" x14ac:dyDescent="0.3">
      <c r="A455" s="171">
        <v>451</v>
      </c>
      <c r="B455" s="171" t="s">
        <v>2197</v>
      </c>
      <c r="C455" s="172">
        <v>46200</v>
      </c>
      <c r="D455" s="173" t="s">
        <v>2198</v>
      </c>
      <c r="E455" s="172">
        <v>46200</v>
      </c>
      <c r="F455" s="173" t="s">
        <v>2199</v>
      </c>
      <c r="G455" s="174" t="s">
        <v>85</v>
      </c>
      <c r="H455" s="175">
        <v>13770</v>
      </c>
      <c r="I455" s="175">
        <v>32810</v>
      </c>
      <c r="J455" s="175">
        <v>19040</v>
      </c>
    </row>
    <row r="456" spans="1:10" x14ac:dyDescent="0.3">
      <c r="A456" s="171">
        <v>452</v>
      </c>
      <c r="B456" s="171" t="s">
        <v>2200</v>
      </c>
      <c r="C456" s="172">
        <v>46200</v>
      </c>
      <c r="D456" s="173" t="s">
        <v>2201</v>
      </c>
      <c r="E456" s="172">
        <v>46200</v>
      </c>
      <c r="F456" s="173" t="s">
        <v>2202</v>
      </c>
      <c r="G456" s="174" t="s">
        <v>335</v>
      </c>
      <c r="H456" s="175">
        <v>13710</v>
      </c>
      <c r="I456" s="175">
        <v>31960</v>
      </c>
      <c r="J456" s="175">
        <v>18250</v>
      </c>
    </row>
    <row r="457" spans="1:10" x14ac:dyDescent="0.3">
      <c r="A457" s="171">
        <v>453</v>
      </c>
      <c r="B457" s="171" t="s">
        <v>2203</v>
      </c>
      <c r="C457" s="172">
        <v>46200</v>
      </c>
      <c r="D457" s="173" t="s">
        <v>2204</v>
      </c>
      <c r="E457" s="172">
        <v>46200</v>
      </c>
      <c r="F457" s="173" t="s">
        <v>843</v>
      </c>
      <c r="G457" s="174" t="s">
        <v>844</v>
      </c>
      <c r="H457" s="175">
        <v>13860</v>
      </c>
      <c r="I457" s="175">
        <v>34050</v>
      </c>
      <c r="J457" s="175">
        <v>20190</v>
      </c>
    </row>
    <row r="458" spans="1:10" x14ac:dyDescent="0.3">
      <c r="A458" s="171">
        <v>454</v>
      </c>
      <c r="B458" s="171" t="s">
        <v>2205</v>
      </c>
      <c r="C458" s="172">
        <v>46200</v>
      </c>
      <c r="D458" s="173" t="s">
        <v>2206</v>
      </c>
      <c r="E458" s="172">
        <v>46200</v>
      </c>
      <c r="F458" s="173" t="s">
        <v>2207</v>
      </c>
      <c r="G458" s="174" t="s">
        <v>143</v>
      </c>
      <c r="H458" s="175">
        <v>13770</v>
      </c>
      <c r="I458" s="175">
        <v>33890</v>
      </c>
      <c r="J458" s="175">
        <v>20120</v>
      </c>
    </row>
    <row r="459" spans="1:10" x14ac:dyDescent="0.3">
      <c r="A459" s="171">
        <v>455</v>
      </c>
      <c r="B459" s="171" t="s">
        <v>2208</v>
      </c>
      <c r="C459" s="172">
        <v>46200</v>
      </c>
      <c r="D459" s="173" t="s">
        <v>2209</v>
      </c>
      <c r="E459" s="172">
        <v>46200</v>
      </c>
      <c r="F459" s="173" t="s">
        <v>2210</v>
      </c>
      <c r="G459" s="174" t="s">
        <v>839</v>
      </c>
      <c r="H459" s="175">
        <v>13970</v>
      </c>
      <c r="I459" s="175">
        <v>33280</v>
      </c>
      <c r="J459" s="175">
        <v>19310</v>
      </c>
    </row>
    <row r="460" spans="1:10" x14ac:dyDescent="0.3">
      <c r="A460" s="171">
        <v>456</v>
      </c>
      <c r="B460" s="171" t="s">
        <v>2211</v>
      </c>
      <c r="C460" s="172">
        <v>46200</v>
      </c>
      <c r="D460" s="173" t="s">
        <v>2212</v>
      </c>
      <c r="E460" s="172">
        <v>46200</v>
      </c>
      <c r="F460" s="173" t="s">
        <v>2213</v>
      </c>
      <c r="G460" s="174" t="s">
        <v>336</v>
      </c>
      <c r="H460" s="175">
        <v>13670</v>
      </c>
      <c r="I460" s="175">
        <v>34040</v>
      </c>
      <c r="J460" s="175">
        <v>20370</v>
      </c>
    </row>
    <row r="461" spans="1:10" x14ac:dyDescent="0.3">
      <c r="A461" s="171">
        <v>457</v>
      </c>
      <c r="B461" s="171" t="s">
        <v>2214</v>
      </c>
      <c r="C461" s="172">
        <v>46200</v>
      </c>
      <c r="D461" s="173" t="s">
        <v>876</v>
      </c>
      <c r="E461" s="172">
        <v>46200</v>
      </c>
      <c r="F461" s="173" t="s">
        <v>2215</v>
      </c>
      <c r="G461" s="174" t="s">
        <v>43</v>
      </c>
      <c r="H461" s="175">
        <v>13860</v>
      </c>
      <c r="I461" s="175">
        <v>33260</v>
      </c>
      <c r="J461" s="175">
        <v>19400</v>
      </c>
    </row>
    <row r="462" spans="1:10" x14ac:dyDescent="0.3">
      <c r="A462" s="171">
        <v>458</v>
      </c>
      <c r="B462" s="171" t="s">
        <v>2216</v>
      </c>
      <c r="C462" s="172">
        <v>46200</v>
      </c>
      <c r="D462" s="173" t="s">
        <v>2217</v>
      </c>
      <c r="E462" s="172">
        <v>46200</v>
      </c>
      <c r="F462" s="173" t="s">
        <v>2218</v>
      </c>
      <c r="G462" s="174" t="s">
        <v>80</v>
      </c>
      <c r="H462" s="175">
        <v>14190</v>
      </c>
      <c r="I462" s="175">
        <v>33300</v>
      </c>
      <c r="J462" s="175">
        <v>19110</v>
      </c>
    </row>
    <row r="463" spans="1:10" x14ac:dyDescent="0.3">
      <c r="A463" s="171">
        <v>459</v>
      </c>
      <c r="B463" s="171" t="s">
        <v>2219</v>
      </c>
      <c r="C463" s="172">
        <v>46200</v>
      </c>
      <c r="D463" s="173" t="s">
        <v>2220</v>
      </c>
      <c r="E463" s="172">
        <v>46200</v>
      </c>
      <c r="F463" s="173" t="s">
        <v>2221</v>
      </c>
      <c r="G463" s="174" t="s">
        <v>71</v>
      </c>
      <c r="H463" s="175">
        <v>13820</v>
      </c>
      <c r="I463" s="175">
        <v>33160</v>
      </c>
      <c r="J463" s="175">
        <v>19340</v>
      </c>
    </row>
    <row r="464" spans="1:10" x14ac:dyDescent="0.3">
      <c r="A464" s="171">
        <v>460</v>
      </c>
      <c r="B464" s="171" t="s">
        <v>2222</v>
      </c>
      <c r="C464" s="172">
        <v>46200</v>
      </c>
      <c r="D464" s="173" t="s">
        <v>2223</v>
      </c>
      <c r="E464" s="172">
        <v>46200</v>
      </c>
      <c r="F464" s="173" t="s">
        <v>2224</v>
      </c>
      <c r="G464" s="174" t="s">
        <v>537</v>
      </c>
      <c r="H464" s="175">
        <v>13810</v>
      </c>
      <c r="I464" s="175">
        <v>34210</v>
      </c>
      <c r="J464" s="175">
        <v>20400</v>
      </c>
    </row>
    <row r="465" spans="1:10" x14ac:dyDescent="0.3">
      <c r="A465" s="171">
        <v>461</v>
      </c>
      <c r="B465" s="171" t="s">
        <v>2225</v>
      </c>
      <c r="C465" s="172">
        <v>46200</v>
      </c>
      <c r="D465" s="173" t="s">
        <v>2226</v>
      </c>
      <c r="E465" s="172">
        <v>46200</v>
      </c>
      <c r="F465" s="173" t="s">
        <v>2227</v>
      </c>
      <c r="G465" s="174" t="s">
        <v>64</v>
      </c>
      <c r="H465" s="175">
        <v>13820</v>
      </c>
      <c r="I465" s="175">
        <v>32900</v>
      </c>
      <c r="J465" s="175">
        <v>19080</v>
      </c>
    </row>
    <row r="466" spans="1:10" x14ac:dyDescent="0.3">
      <c r="A466" s="171">
        <v>462</v>
      </c>
      <c r="B466" s="171" t="s">
        <v>2228</v>
      </c>
      <c r="C466" s="172">
        <v>46200</v>
      </c>
      <c r="D466" s="173" t="s">
        <v>859</v>
      </c>
      <c r="E466" s="172">
        <v>46200</v>
      </c>
      <c r="F466" s="173" t="s">
        <v>883</v>
      </c>
      <c r="G466" s="174" t="s">
        <v>55</v>
      </c>
      <c r="H466" s="175">
        <v>13760</v>
      </c>
      <c r="I466" s="175">
        <v>33270</v>
      </c>
      <c r="J466" s="175">
        <v>19510</v>
      </c>
    </row>
    <row r="467" spans="1:10" x14ac:dyDescent="0.3">
      <c r="A467" s="171">
        <v>463</v>
      </c>
      <c r="B467" s="171" t="s">
        <v>2229</v>
      </c>
      <c r="C467" s="172">
        <v>46200</v>
      </c>
      <c r="D467" s="173" t="s">
        <v>2230</v>
      </c>
      <c r="E467" s="172">
        <v>46200</v>
      </c>
      <c r="F467" s="173" t="s">
        <v>2231</v>
      </c>
      <c r="G467" s="174" t="s">
        <v>842</v>
      </c>
      <c r="H467" s="175">
        <v>13970</v>
      </c>
      <c r="I467" s="175">
        <v>33440</v>
      </c>
      <c r="J467" s="175">
        <v>19470</v>
      </c>
    </row>
    <row r="468" spans="1:10" x14ac:dyDescent="0.3">
      <c r="A468" s="171">
        <v>464</v>
      </c>
      <c r="B468" s="171" t="s">
        <v>2232</v>
      </c>
      <c r="C468" s="172">
        <v>46200</v>
      </c>
      <c r="D468" s="173" t="s">
        <v>2233</v>
      </c>
      <c r="E468" s="172">
        <v>46200</v>
      </c>
      <c r="F468" s="173" t="s">
        <v>2234</v>
      </c>
      <c r="G468" s="174" t="s">
        <v>85</v>
      </c>
      <c r="H468" s="175">
        <v>13750</v>
      </c>
      <c r="I468" s="175">
        <v>30740</v>
      </c>
      <c r="J468" s="175">
        <v>16990</v>
      </c>
    </row>
    <row r="469" spans="1:10" x14ac:dyDescent="0.3">
      <c r="A469" s="171">
        <v>465</v>
      </c>
      <c r="B469" s="171" t="s">
        <v>2235</v>
      </c>
      <c r="C469" s="172">
        <v>46200</v>
      </c>
      <c r="D469" s="173" t="s">
        <v>2236</v>
      </c>
      <c r="E469" s="172">
        <v>46200</v>
      </c>
      <c r="F469" s="173" t="s">
        <v>2237</v>
      </c>
      <c r="G469" s="174" t="s">
        <v>337</v>
      </c>
      <c r="H469" s="175">
        <v>13710</v>
      </c>
      <c r="I469" s="175">
        <v>30050</v>
      </c>
      <c r="J469" s="175">
        <v>16340</v>
      </c>
    </row>
    <row r="470" spans="1:10" x14ac:dyDescent="0.3">
      <c r="A470" s="171">
        <v>466</v>
      </c>
      <c r="B470" s="171" t="s">
        <v>2238</v>
      </c>
      <c r="C470" s="172">
        <v>46200</v>
      </c>
      <c r="D470" s="173" t="s">
        <v>2239</v>
      </c>
      <c r="E470" s="172">
        <v>46200</v>
      </c>
      <c r="F470" s="173" t="s">
        <v>2240</v>
      </c>
      <c r="G470" s="174" t="s">
        <v>335</v>
      </c>
      <c r="H470" s="175">
        <v>13740</v>
      </c>
      <c r="I470" s="175">
        <v>28870</v>
      </c>
      <c r="J470" s="175">
        <v>15130</v>
      </c>
    </row>
    <row r="471" spans="1:10" x14ac:dyDescent="0.3">
      <c r="A471" s="171">
        <v>467</v>
      </c>
      <c r="B471" s="171" t="s">
        <v>2241</v>
      </c>
      <c r="C471" s="172">
        <v>46200</v>
      </c>
      <c r="D471" s="173" t="s">
        <v>2242</v>
      </c>
      <c r="E471" s="172">
        <v>46200</v>
      </c>
      <c r="F471" s="173" t="s">
        <v>2243</v>
      </c>
      <c r="G471" s="174" t="s">
        <v>844</v>
      </c>
      <c r="H471" s="175">
        <v>13840</v>
      </c>
      <c r="I471" s="175">
        <v>29250</v>
      </c>
      <c r="J471" s="175">
        <v>15410</v>
      </c>
    </row>
    <row r="472" spans="1:10" x14ac:dyDescent="0.3">
      <c r="A472" s="171">
        <v>468</v>
      </c>
      <c r="B472" s="171" t="s">
        <v>2244</v>
      </c>
      <c r="C472" s="172">
        <v>46200</v>
      </c>
      <c r="D472" s="173" t="s">
        <v>2245</v>
      </c>
      <c r="E472" s="172">
        <v>46200</v>
      </c>
      <c r="F472" s="173" t="s">
        <v>2246</v>
      </c>
      <c r="G472" s="174" t="s">
        <v>143</v>
      </c>
      <c r="H472" s="175">
        <v>13550</v>
      </c>
      <c r="I472" s="175">
        <v>30780</v>
      </c>
      <c r="J472" s="175">
        <v>17230</v>
      </c>
    </row>
    <row r="473" spans="1:10" x14ac:dyDescent="0.3">
      <c r="A473" s="171">
        <v>469</v>
      </c>
      <c r="B473" s="171" t="s">
        <v>2247</v>
      </c>
      <c r="C473" s="172">
        <v>46200</v>
      </c>
      <c r="D473" s="173" t="s">
        <v>2248</v>
      </c>
      <c r="E473" s="172">
        <v>46200</v>
      </c>
      <c r="F473" s="173" t="s">
        <v>2249</v>
      </c>
      <c r="G473" s="174" t="s">
        <v>839</v>
      </c>
      <c r="H473" s="175">
        <v>13940</v>
      </c>
      <c r="I473" s="175">
        <v>30330</v>
      </c>
      <c r="J473" s="175">
        <v>16390</v>
      </c>
    </row>
    <row r="474" spans="1:10" x14ac:dyDescent="0.3">
      <c r="A474" s="171">
        <v>470</v>
      </c>
      <c r="B474" s="171" t="s">
        <v>2250</v>
      </c>
      <c r="C474" s="172">
        <v>46200</v>
      </c>
      <c r="D474" s="173" t="s">
        <v>2251</v>
      </c>
      <c r="E474" s="172">
        <v>46200</v>
      </c>
      <c r="F474" s="173" t="s">
        <v>875</v>
      </c>
      <c r="G474" s="174" t="s">
        <v>336</v>
      </c>
      <c r="H474" s="175">
        <v>13690</v>
      </c>
      <c r="I474" s="175">
        <v>30970</v>
      </c>
      <c r="J474" s="175">
        <v>17280</v>
      </c>
    </row>
    <row r="475" spans="1:10" x14ac:dyDescent="0.3">
      <c r="A475" s="171">
        <v>471</v>
      </c>
      <c r="B475" s="171" t="s">
        <v>2252</v>
      </c>
      <c r="C475" s="172">
        <v>46200</v>
      </c>
      <c r="D475" s="173" t="s">
        <v>2253</v>
      </c>
      <c r="E475" s="172">
        <v>46200</v>
      </c>
      <c r="F475" s="173" t="s">
        <v>2254</v>
      </c>
      <c r="G475" s="174" t="s">
        <v>43</v>
      </c>
      <c r="H475" s="175">
        <v>13810</v>
      </c>
      <c r="I475" s="175">
        <v>30100</v>
      </c>
      <c r="J475" s="175">
        <v>16290</v>
      </c>
    </row>
    <row r="476" spans="1:10" x14ac:dyDescent="0.3">
      <c r="A476" s="171">
        <v>472</v>
      </c>
      <c r="B476" s="171" t="s">
        <v>2255</v>
      </c>
      <c r="C476" s="172">
        <v>46200</v>
      </c>
      <c r="D476" s="173" t="s">
        <v>2256</v>
      </c>
      <c r="E476" s="172">
        <v>46200</v>
      </c>
      <c r="F476" s="173" t="s">
        <v>2257</v>
      </c>
      <c r="G476" s="174" t="s">
        <v>90</v>
      </c>
      <c r="H476" s="175">
        <v>13810</v>
      </c>
      <c r="I476" s="175">
        <v>30700</v>
      </c>
      <c r="J476" s="175">
        <v>16890</v>
      </c>
    </row>
    <row r="477" spans="1:10" x14ac:dyDescent="0.3">
      <c r="A477" s="171">
        <v>473</v>
      </c>
      <c r="B477" s="171" t="s">
        <v>2258</v>
      </c>
      <c r="C477" s="172">
        <v>46200</v>
      </c>
      <c r="D477" s="173" t="s">
        <v>2259</v>
      </c>
      <c r="E477" s="172">
        <v>46200</v>
      </c>
      <c r="F477" s="173" t="s">
        <v>2260</v>
      </c>
      <c r="G477" s="174" t="s">
        <v>80</v>
      </c>
      <c r="H477" s="175">
        <v>14010</v>
      </c>
      <c r="I477" s="175">
        <v>30510</v>
      </c>
      <c r="J477" s="175">
        <v>16500</v>
      </c>
    </row>
    <row r="478" spans="1:10" x14ac:dyDescent="0.3">
      <c r="A478" s="171">
        <v>474</v>
      </c>
      <c r="B478" s="171" t="s">
        <v>2261</v>
      </c>
      <c r="C478" s="172">
        <v>46200</v>
      </c>
      <c r="D478" s="173" t="s">
        <v>2262</v>
      </c>
      <c r="E478" s="172">
        <v>46200</v>
      </c>
      <c r="F478" s="173" t="s">
        <v>2263</v>
      </c>
      <c r="G478" s="174" t="s">
        <v>537</v>
      </c>
      <c r="H478" s="175">
        <v>13750</v>
      </c>
      <c r="I478" s="175">
        <v>32300</v>
      </c>
      <c r="J478" s="175">
        <v>18550</v>
      </c>
    </row>
    <row r="479" spans="1:10" x14ac:dyDescent="0.3">
      <c r="A479" s="171">
        <v>475</v>
      </c>
      <c r="B479" s="171" t="s">
        <v>2264</v>
      </c>
      <c r="C479" s="172">
        <v>46200</v>
      </c>
      <c r="D479" s="173" t="s">
        <v>2265</v>
      </c>
      <c r="E479" s="172">
        <v>46200</v>
      </c>
      <c r="F479" s="173" t="s">
        <v>2266</v>
      </c>
      <c r="G479" s="174" t="s">
        <v>64</v>
      </c>
      <c r="H479" s="175">
        <v>13800</v>
      </c>
      <c r="I479" s="175">
        <v>32130</v>
      </c>
      <c r="J479" s="175">
        <v>18330</v>
      </c>
    </row>
    <row r="480" spans="1:10" x14ac:dyDescent="0.3">
      <c r="A480" s="171">
        <v>476</v>
      </c>
      <c r="B480" s="171" t="s">
        <v>2267</v>
      </c>
      <c r="C480" s="172">
        <v>46200</v>
      </c>
      <c r="D480" s="173" t="s">
        <v>2268</v>
      </c>
      <c r="E480" s="172">
        <v>46200</v>
      </c>
      <c r="F480" s="173" t="s">
        <v>2269</v>
      </c>
      <c r="G480" s="174" t="s">
        <v>55</v>
      </c>
      <c r="H480" s="175">
        <v>13720</v>
      </c>
      <c r="I480" s="175">
        <v>30890</v>
      </c>
      <c r="J480" s="175">
        <v>17170</v>
      </c>
    </row>
    <row r="481" spans="1:10" x14ac:dyDescent="0.3">
      <c r="A481" s="171">
        <v>477</v>
      </c>
      <c r="B481" s="171" t="s">
        <v>2270</v>
      </c>
      <c r="C481" s="172">
        <v>46200</v>
      </c>
      <c r="D481" s="173" t="s">
        <v>2271</v>
      </c>
      <c r="E481" s="172">
        <v>46200</v>
      </c>
      <c r="F481" s="173" t="s">
        <v>2272</v>
      </c>
      <c r="G481" s="174" t="s">
        <v>842</v>
      </c>
      <c r="H481" s="175">
        <v>13950</v>
      </c>
      <c r="I481" s="175">
        <v>31070</v>
      </c>
      <c r="J481" s="175">
        <v>17120</v>
      </c>
    </row>
    <row r="482" spans="1:10" x14ac:dyDescent="0.3">
      <c r="A482" s="171">
        <v>478</v>
      </c>
      <c r="B482" s="171" t="s">
        <v>2273</v>
      </c>
      <c r="C482" s="172">
        <v>46200</v>
      </c>
      <c r="D482" s="173" t="s">
        <v>2274</v>
      </c>
      <c r="E482" s="172">
        <v>46200</v>
      </c>
      <c r="F482" s="173" t="s">
        <v>2275</v>
      </c>
      <c r="G482" s="174" t="s">
        <v>85</v>
      </c>
      <c r="H482" s="175">
        <v>13720</v>
      </c>
      <c r="I482" s="175">
        <v>30780</v>
      </c>
      <c r="J482" s="175">
        <v>17060</v>
      </c>
    </row>
    <row r="483" spans="1:10" x14ac:dyDescent="0.3">
      <c r="A483" s="171">
        <v>479</v>
      </c>
      <c r="B483" s="171" t="s">
        <v>2276</v>
      </c>
      <c r="C483" s="172">
        <v>46200</v>
      </c>
      <c r="D483" s="173" t="s">
        <v>2277</v>
      </c>
      <c r="E483" s="172">
        <v>46200</v>
      </c>
      <c r="F483" s="173" t="s">
        <v>2278</v>
      </c>
      <c r="G483" s="174" t="s">
        <v>335</v>
      </c>
      <c r="H483" s="175">
        <v>13700</v>
      </c>
      <c r="I483" s="175">
        <v>32220</v>
      </c>
      <c r="J483" s="175">
        <v>18520</v>
      </c>
    </row>
    <row r="484" spans="1:10" x14ac:dyDescent="0.3">
      <c r="A484" s="171">
        <v>480</v>
      </c>
      <c r="B484" s="171" t="s">
        <v>2279</v>
      </c>
      <c r="C484" s="172">
        <v>46200</v>
      </c>
      <c r="D484" s="173" t="s">
        <v>2280</v>
      </c>
      <c r="E484" s="172">
        <v>46200</v>
      </c>
      <c r="F484" s="173" t="s">
        <v>2281</v>
      </c>
      <c r="G484" s="174" t="s">
        <v>844</v>
      </c>
      <c r="H484" s="175">
        <v>13800</v>
      </c>
      <c r="I484" s="175">
        <v>30750</v>
      </c>
      <c r="J484" s="175">
        <v>16950</v>
      </c>
    </row>
    <row r="485" spans="1:10" x14ac:dyDescent="0.3">
      <c r="A485" s="171">
        <v>481</v>
      </c>
      <c r="B485" s="171" t="s">
        <v>2282</v>
      </c>
      <c r="C485" s="172">
        <v>46200</v>
      </c>
      <c r="D485" s="173" t="s">
        <v>2283</v>
      </c>
      <c r="E485" s="172">
        <v>46200</v>
      </c>
      <c r="F485" s="173" t="s">
        <v>2284</v>
      </c>
      <c r="G485" s="174" t="s">
        <v>337</v>
      </c>
      <c r="H485" s="175">
        <v>13680</v>
      </c>
      <c r="I485" s="175">
        <v>29550</v>
      </c>
      <c r="J485" s="175">
        <v>15870</v>
      </c>
    </row>
    <row r="486" spans="1:10" x14ac:dyDescent="0.3">
      <c r="A486" s="171">
        <v>482</v>
      </c>
      <c r="B486" s="171" t="s">
        <v>2285</v>
      </c>
      <c r="C486" s="172">
        <v>46200</v>
      </c>
      <c r="D486" s="173" t="s">
        <v>2286</v>
      </c>
      <c r="E486" s="172">
        <v>46200</v>
      </c>
      <c r="F486" s="173" t="s">
        <v>2287</v>
      </c>
      <c r="G486" s="174" t="s">
        <v>143</v>
      </c>
      <c r="H486" s="175">
        <v>13710</v>
      </c>
      <c r="I486" s="175">
        <v>29910</v>
      </c>
      <c r="J486" s="175">
        <v>16200</v>
      </c>
    </row>
    <row r="487" spans="1:10" x14ac:dyDescent="0.3">
      <c r="A487" s="171">
        <v>483</v>
      </c>
      <c r="B487" s="171" t="s">
        <v>2288</v>
      </c>
      <c r="C487" s="172">
        <v>46200</v>
      </c>
      <c r="D487" s="173" t="s">
        <v>2289</v>
      </c>
      <c r="E487" s="172">
        <v>46200</v>
      </c>
      <c r="F487" s="173" t="s">
        <v>2290</v>
      </c>
      <c r="G487" s="174" t="s">
        <v>839</v>
      </c>
      <c r="H487" s="175">
        <v>13910</v>
      </c>
      <c r="I487" s="175">
        <v>30320</v>
      </c>
      <c r="J487" s="175">
        <v>16410</v>
      </c>
    </row>
    <row r="488" spans="1:10" x14ac:dyDescent="0.3">
      <c r="A488" s="171">
        <v>484</v>
      </c>
      <c r="B488" s="171" t="s">
        <v>2291</v>
      </c>
      <c r="C488" s="172">
        <v>46200</v>
      </c>
      <c r="D488" s="173" t="s">
        <v>2292</v>
      </c>
      <c r="E488" s="172">
        <v>46200</v>
      </c>
      <c r="F488" s="173" t="s">
        <v>2293</v>
      </c>
      <c r="G488" s="174" t="s">
        <v>336</v>
      </c>
      <c r="H488" s="175">
        <v>13630</v>
      </c>
      <c r="I488" s="175">
        <v>33900</v>
      </c>
      <c r="J488" s="175">
        <v>20270</v>
      </c>
    </row>
    <row r="489" spans="1:10" x14ac:dyDescent="0.3">
      <c r="A489" s="171">
        <v>485</v>
      </c>
      <c r="B489" s="171" t="s">
        <v>2294</v>
      </c>
      <c r="C489" s="172">
        <v>46200</v>
      </c>
      <c r="D489" s="173" t="s">
        <v>2295</v>
      </c>
      <c r="E489" s="172">
        <v>46200</v>
      </c>
      <c r="F489" s="173" t="s">
        <v>2296</v>
      </c>
      <c r="G489" s="174" t="s">
        <v>43</v>
      </c>
      <c r="H489" s="175">
        <v>13750</v>
      </c>
      <c r="I489" s="175">
        <v>32950</v>
      </c>
      <c r="J489" s="175">
        <v>19200</v>
      </c>
    </row>
    <row r="490" spans="1:10" x14ac:dyDescent="0.3">
      <c r="A490" s="171">
        <v>486</v>
      </c>
      <c r="B490" s="171" t="s">
        <v>2297</v>
      </c>
      <c r="C490" s="172">
        <v>46200</v>
      </c>
      <c r="D490" s="173" t="s">
        <v>2298</v>
      </c>
      <c r="E490" s="172">
        <v>46200</v>
      </c>
      <c r="F490" s="173" t="s">
        <v>2299</v>
      </c>
      <c r="G490" s="174" t="s">
        <v>90</v>
      </c>
      <c r="H490" s="175">
        <v>13800</v>
      </c>
      <c r="I490" s="175">
        <v>33360</v>
      </c>
      <c r="J490" s="175">
        <v>19560</v>
      </c>
    </row>
    <row r="491" spans="1:10" x14ac:dyDescent="0.3">
      <c r="A491" s="171">
        <v>487</v>
      </c>
      <c r="B491" s="171" t="s">
        <v>2300</v>
      </c>
      <c r="C491" s="172">
        <v>46200</v>
      </c>
      <c r="D491" s="173" t="s">
        <v>2301</v>
      </c>
      <c r="E491" s="172">
        <v>46200</v>
      </c>
      <c r="F491" s="173" t="s">
        <v>2302</v>
      </c>
      <c r="G491" s="174" t="s">
        <v>80</v>
      </c>
      <c r="H491" s="175">
        <v>14090</v>
      </c>
      <c r="I491" s="175">
        <v>33600</v>
      </c>
      <c r="J491" s="175">
        <v>19510</v>
      </c>
    </row>
    <row r="492" spans="1:10" x14ac:dyDescent="0.3">
      <c r="A492" s="171">
        <v>488</v>
      </c>
      <c r="B492" s="171" t="s">
        <v>2303</v>
      </c>
      <c r="C492" s="172">
        <v>46200</v>
      </c>
      <c r="D492" s="173" t="s">
        <v>2304</v>
      </c>
      <c r="E492" s="172">
        <v>46200</v>
      </c>
      <c r="F492" s="173" t="s">
        <v>2305</v>
      </c>
      <c r="G492" s="174" t="s">
        <v>537</v>
      </c>
      <c r="H492" s="175">
        <v>13790</v>
      </c>
      <c r="I492" s="175">
        <v>33180</v>
      </c>
      <c r="J492" s="175">
        <v>19390</v>
      </c>
    </row>
    <row r="493" spans="1:10" x14ac:dyDescent="0.3">
      <c r="A493" s="171">
        <v>489</v>
      </c>
      <c r="B493" s="171" t="s">
        <v>2306</v>
      </c>
      <c r="C493" s="172">
        <v>46200</v>
      </c>
      <c r="D493" s="173" t="s">
        <v>2307</v>
      </c>
      <c r="E493" s="172">
        <v>46200</v>
      </c>
      <c r="F493" s="173" t="s">
        <v>2308</v>
      </c>
      <c r="G493" s="174" t="s">
        <v>71</v>
      </c>
      <c r="H493" s="175">
        <v>13780</v>
      </c>
      <c r="I493" s="175">
        <v>33270</v>
      </c>
      <c r="J493" s="175">
        <v>19490</v>
      </c>
    </row>
    <row r="494" spans="1:10" x14ac:dyDescent="0.3">
      <c r="A494" s="171">
        <v>490</v>
      </c>
      <c r="B494" s="171" t="s">
        <v>2309</v>
      </c>
      <c r="C494" s="172">
        <v>46200</v>
      </c>
      <c r="D494" s="173" t="s">
        <v>2310</v>
      </c>
      <c r="E494" s="172">
        <v>46200</v>
      </c>
      <c r="F494" s="173" t="s">
        <v>2311</v>
      </c>
      <c r="G494" s="174" t="s">
        <v>64</v>
      </c>
      <c r="H494" s="175">
        <v>13770</v>
      </c>
      <c r="I494" s="175">
        <v>32290</v>
      </c>
      <c r="J494" s="175">
        <v>18520</v>
      </c>
    </row>
    <row r="495" spans="1:10" x14ac:dyDescent="0.3">
      <c r="A495" s="171">
        <v>491</v>
      </c>
      <c r="B495" s="171" t="s">
        <v>2312</v>
      </c>
      <c r="C495" s="172">
        <v>46200</v>
      </c>
      <c r="D495" s="173" t="s">
        <v>2313</v>
      </c>
      <c r="E495" s="172">
        <v>46200</v>
      </c>
      <c r="F495" s="173" t="s">
        <v>2314</v>
      </c>
      <c r="G495" s="174" t="s">
        <v>55</v>
      </c>
      <c r="H495" s="175">
        <v>13680</v>
      </c>
      <c r="I495" s="175">
        <v>33580</v>
      </c>
      <c r="J495" s="175">
        <v>19900</v>
      </c>
    </row>
    <row r="496" spans="1:10" x14ac:dyDescent="0.3">
      <c r="A496" s="171">
        <v>492</v>
      </c>
      <c r="B496" s="171" t="s">
        <v>2315</v>
      </c>
      <c r="C496" s="172">
        <v>46200</v>
      </c>
      <c r="D496" s="173" t="s">
        <v>2316</v>
      </c>
      <c r="E496" s="172">
        <v>46200</v>
      </c>
      <c r="F496" s="173" t="s">
        <v>2317</v>
      </c>
      <c r="G496" s="174" t="s">
        <v>842</v>
      </c>
      <c r="H496" s="175">
        <v>13920</v>
      </c>
      <c r="I496" s="175">
        <v>32740</v>
      </c>
      <c r="J496" s="175">
        <v>18820</v>
      </c>
    </row>
    <row r="497" spans="1:10" x14ac:dyDescent="0.3">
      <c r="A497" s="171">
        <v>493</v>
      </c>
      <c r="B497" s="171" t="s">
        <v>2318</v>
      </c>
      <c r="C497" s="172">
        <v>46200</v>
      </c>
      <c r="D497" s="173" t="s">
        <v>1252</v>
      </c>
      <c r="E497" s="172">
        <v>46200</v>
      </c>
      <c r="F497" s="173" t="s">
        <v>2319</v>
      </c>
      <c r="G497" s="174" t="s">
        <v>844</v>
      </c>
      <c r="H497" s="175">
        <v>13770</v>
      </c>
      <c r="I497" s="175">
        <v>33100</v>
      </c>
      <c r="J497" s="175">
        <v>19330</v>
      </c>
    </row>
    <row r="498" spans="1:10" x14ac:dyDescent="0.3">
      <c r="A498" s="171">
        <v>494</v>
      </c>
      <c r="B498" s="171" t="s">
        <v>2320</v>
      </c>
      <c r="C498" s="172">
        <v>46200</v>
      </c>
      <c r="D498" s="173" t="s">
        <v>2321</v>
      </c>
      <c r="E498" s="172">
        <v>46200</v>
      </c>
      <c r="F498" s="173" t="s">
        <v>2322</v>
      </c>
      <c r="G498" s="174" t="s">
        <v>335</v>
      </c>
      <c r="H498" s="175">
        <v>13970</v>
      </c>
      <c r="I498" s="175">
        <v>34090</v>
      </c>
      <c r="J498" s="175">
        <v>20120</v>
      </c>
    </row>
    <row r="499" spans="1:10" x14ac:dyDescent="0.3">
      <c r="A499" s="171">
        <v>495</v>
      </c>
      <c r="B499" s="171" t="s">
        <v>2323</v>
      </c>
      <c r="C499" s="172">
        <v>46200</v>
      </c>
      <c r="D499" s="173" t="s">
        <v>2324</v>
      </c>
      <c r="E499" s="172">
        <v>46200</v>
      </c>
      <c r="F499" s="173" t="s">
        <v>2325</v>
      </c>
      <c r="G499" s="174" t="s">
        <v>337</v>
      </c>
      <c r="H499" s="175">
        <v>13650</v>
      </c>
      <c r="I499" s="175">
        <v>33610</v>
      </c>
      <c r="J499" s="175">
        <v>19960</v>
      </c>
    </row>
    <row r="500" spans="1:10" x14ac:dyDescent="0.3">
      <c r="A500" s="171">
        <v>496</v>
      </c>
      <c r="B500" s="171" t="s">
        <v>2326</v>
      </c>
      <c r="C500" s="172">
        <v>46200</v>
      </c>
      <c r="D500" s="173" t="s">
        <v>2327</v>
      </c>
      <c r="E500" s="172">
        <v>46200</v>
      </c>
      <c r="F500" s="173" t="s">
        <v>2328</v>
      </c>
      <c r="G500" s="174" t="s">
        <v>839</v>
      </c>
      <c r="H500" s="175">
        <v>13890</v>
      </c>
      <c r="I500" s="175">
        <v>32660</v>
      </c>
      <c r="J500" s="175">
        <v>18770</v>
      </c>
    </row>
    <row r="501" spans="1:10" x14ac:dyDescent="0.3">
      <c r="A501" s="171">
        <v>497</v>
      </c>
      <c r="B501" s="171" t="s">
        <v>2329</v>
      </c>
      <c r="C501" s="172">
        <v>46200</v>
      </c>
      <c r="D501" s="173" t="s">
        <v>2330</v>
      </c>
      <c r="E501" s="172">
        <v>46200</v>
      </c>
      <c r="F501" s="173" t="s">
        <v>2331</v>
      </c>
      <c r="G501" s="174" t="s">
        <v>143</v>
      </c>
      <c r="H501" s="175">
        <v>13680</v>
      </c>
      <c r="I501" s="175">
        <v>32310</v>
      </c>
      <c r="J501" s="175">
        <v>18630</v>
      </c>
    </row>
    <row r="502" spans="1:10" x14ac:dyDescent="0.3">
      <c r="A502" s="171">
        <v>498</v>
      </c>
      <c r="B502" s="171" t="s">
        <v>2332</v>
      </c>
      <c r="C502" s="172">
        <v>46200</v>
      </c>
      <c r="D502" s="173" t="s">
        <v>2333</v>
      </c>
      <c r="E502" s="172">
        <v>46200</v>
      </c>
      <c r="F502" s="173" t="s">
        <v>2334</v>
      </c>
      <c r="G502" s="174" t="s">
        <v>43</v>
      </c>
      <c r="H502" s="175">
        <v>13720</v>
      </c>
      <c r="I502" s="175">
        <v>32480</v>
      </c>
      <c r="J502" s="175">
        <v>18760</v>
      </c>
    </row>
    <row r="503" spans="1:10" x14ac:dyDescent="0.3">
      <c r="A503" s="171">
        <v>499</v>
      </c>
      <c r="B503" s="171" t="s">
        <v>2335</v>
      </c>
      <c r="C503" s="172">
        <v>46200</v>
      </c>
      <c r="D503" s="173" t="s">
        <v>2336</v>
      </c>
      <c r="E503" s="172">
        <v>46200</v>
      </c>
      <c r="F503" s="173" t="s">
        <v>2337</v>
      </c>
      <c r="G503" s="174" t="s">
        <v>336</v>
      </c>
      <c r="H503" s="175">
        <v>14000</v>
      </c>
      <c r="I503" s="175">
        <v>33980</v>
      </c>
      <c r="J503" s="175">
        <v>19980</v>
      </c>
    </row>
    <row r="504" spans="1:10" x14ac:dyDescent="0.3">
      <c r="A504" s="171">
        <v>500</v>
      </c>
      <c r="B504" s="171" t="s">
        <v>2338</v>
      </c>
      <c r="C504" s="172">
        <v>46200</v>
      </c>
      <c r="D504" s="173" t="s">
        <v>2339</v>
      </c>
      <c r="E504" s="172">
        <v>46200</v>
      </c>
      <c r="F504" s="173" t="s">
        <v>2340</v>
      </c>
      <c r="G504" s="174" t="s">
        <v>80</v>
      </c>
      <c r="H504" s="175">
        <v>14030</v>
      </c>
      <c r="I504" s="175">
        <v>33170</v>
      </c>
      <c r="J504" s="175">
        <v>19140</v>
      </c>
    </row>
    <row r="505" spans="1:10" x14ac:dyDescent="0.3">
      <c r="A505" s="171">
        <v>501</v>
      </c>
      <c r="B505" s="171" t="s">
        <v>2341</v>
      </c>
      <c r="C505" s="172">
        <v>46200</v>
      </c>
      <c r="D505" s="173" t="s">
        <v>2342</v>
      </c>
      <c r="E505" s="172">
        <v>46200</v>
      </c>
      <c r="F505" s="173" t="s">
        <v>2343</v>
      </c>
      <c r="G505" s="174" t="s">
        <v>537</v>
      </c>
      <c r="H505" s="175">
        <v>14060</v>
      </c>
      <c r="I505" s="175">
        <v>34240</v>
      </c>
      <c r="J505" s="175">
        <v>20180</v>
      </c>
    </row>
    <row r="506" spans="1:10" x14ac:dyDescent="0.3">
      <c r="A506" s="171">
        <v>502</v>
      </c>
      <c r="B506" s="171" t="s">
        <v>2344</v>
      </c>
      <c r="C506" s="172">
        <v>46200</v>
      </c>
      <c r="D506" s="173" t="s">
        <v>2345</v>
      </c>
      <c r="E506" s="172">
        <v>46200</v>
      </c>
      <c r="F506" s="173" t="s">
        <v>2346</v>
      </c>
      <c r="G506" s="174" t="s">
        <v>71</v>
      </c>
      <c r="H506" s="175">
        <v>14010</v>
      </c>
      <c r="I506" s="175">
        <v>33670</v>
      </c>
      <c r="J506" s="175">
        <v>19660</v>
      </c>
    </row>
    <row r="507" spans="1:10" x14ac:dyDescent="0.3">
      <c r="A507" s="171">
        <v>503</v>
      </c>
      <c r="B507" s="171" t="s">
        <v>2347</v>
      </c>
      <c r="C507" s="172">
        <v>46200</v>
      </c>
      <c r="D507" s="173" t="s">
        <v>2348</v>
      </c>
      <c r="E507" s="172">
        <v>46200</v>
      </c>
      <c r="F507" s="173" t="s">
        <v>2349</v>
      </c>
      <c r="G507" s="174" t="s">
        <v>64</v>
      </c>
      <c r="H507" s="175">
        <v>13750</v>
      </c>
      <c r="I507" s="175">
        <v>34010</v>
      </c>
      <c r="J507" s="175">
        <v>20260</v>
      </c>
    </row>
    <row r="508" spans="1:10" x14ac:dyDescent="0.3">
      <c r="A508" s="171">
        <v>504</v>
      </c>
      <c r="B508" s="171" t="s">
        <v>2350</v>
      </c>
      <c r="C508" s="172">
        <v>46200</v>
      </c>
      <c r="D508" s="173" t="s">
        <v>2351</v>
      </c>
      <c r="E508" s="172">
        <v>46200</v>
      </c>
      <c r="F508" s="173" t="s">
        <v>2352</v>
      </c>
      <c r="G508" s="174" t="s">
        <v>90</v>
      </c>
      <c r="H508" s="175">
        <v>13770</v>
      </c>
      <c r="I508" s="175">
        <v>33580</v>
      </c>
      <c r="J508" s="175">
        <v>19810</v>
      </c>
    </row>
    <row r="509" spans="1:10" x14ac:dyDescent="0.3">
      <c r="A509" s="171">
        <v>505</v>
      </c>
      <c r="B509" s="171" t="s">
        <v>2353</v>
      </c>
      <c r="C509" s="172">
        <v>46200</v>
      </c>
      <c r="D509" s="173" t="s">
        <v>2354</v>
      </c>
      <c r="E509" s="172">
        <v>46200</v>
      </c>
      <c r="F509" s="173" t="s">
        <v>2355</v>
      </c>
      <c r="G509" s="174" t="s">
        <v>55</v>
      </c>
      <c r="H509" s="175">
        <v>13660</v>
      </c>
      <c r="I509" s="175">
        <v>32240</v>
      </c>
      <c r="J509" s="175">
        <v>18580</v>
      </c>
    </row>
    <row r="510" spans="1:10" x14ac:dyDescent="0.3">
      <c r="A510" s="171">
        <v>506</v>
      </c>
      <c r="B510" s="171" t="s">
        <v>2356</v>
      </c>
      <c r="C510" s="172">
        <v>46200</v>
      </c>
      <c r="D510" s="173" t="s">
        <v>2357</v>
      </c>
      <c r="E510" s="172">
        <v>46200</v>
      </c>
      <c r="F510" s="173" t="s">
        <v>2358</v>
      </c>
      <c r="G510" s="174" t="s">
        <v>842</v>
      </c>
      <c r="H510" s="175">
        <v>13900</v>
      </c>
      <c r="I510" s="175">
        <v>33990</v>
      </c>
      <c r="J510" s="175">
        <v>20090</v>
      </c>
    </row>
    <row r="511" spans="1:10" x14ac:dyDescent="0.3">
      <c r="A511" s="171">
        <v>507</v>
      </c>
      <c r="B511" s="171" t="s">
        <v>2359</v>
      </c>
      <c r="C511" s="172">
        <v>46200</v>
      </c>
      <c r="D511" s="173" t="s">
        <v>2360</v>
      </c>
      <c r="E511" s="172">
        <v>46200</v>
      </c>
      <c r="F511" s="173" t="s">
        <v>2361</v>
      </c>
      <c r="G511" s="174" t="s">
        <v>844</v>
      </c>
      <c r="H511" s="175">
        <v>13740</v>
      </c>
      <c r="I511" s="175">
        <v>32520</v>
      </c>
      <c r="J511" s="175">
        <v>18780</v>
      </c>
    </row>
    <row r="512" spans="1:10" x14ac:dyDescent="0.3">
      <c r="A512" s="171">
        <v>508</v>
      </c>
      <c r="B512" s="171" t="s">
        <v>2362</v>
      </c>
      <c r="C512" s="172">
        <v>46200</v>
      </c>
      <c r="D512" s="173" t="s">
        <v>2363</v>
      </c>
      <c r="E512" s="172">
        <v>46200</v>
      </c>
      <c r="F512" s="173" t="s">
        <v>2364</v>
      </c>
      <c r="G512" s="174" t="s">
        <v>335</v>
      </c>
      <c r="H512" s="175">
        <v>13940</v>
      </c>
      <c r="I512" s="175">
        <v>32750</v>
      </c>
      <c r="J512" s="175">
        <v>18810</v>
      </c>
    </row>
    <row r="513" spans="1:10" x14ac:dyDescent="0.3">
      <c r="A513" s="171">
        <v>509</v>
      </c>
      <c r="B513" s="171" t="s">
        <v>2365</v>
      </c>
      <c r="C513" s="172">
        <v>46200</v>
      </c>
      <c r="D513" s="173" t="s">
        <v>2366</v>
      </c>
      <c r="E513" s="172">
        <v>46200</v>
      </c>
      <c r="F513" s="173" t="s">
        <v>2367</v>
      </c>
      <c r="G513" s="174" t="s">
        <v>337</v>
      </c>
      <c r="H513" s="175">
        <v>13610</v>
      </c>
      <c r="I513" s="175">
        <v>33000</v>
      </c>
      <c r="J513" s="175">
        <v>19390</v>
      </c>
    </row>
    <row r="514" spans="1:10" x14ac:dyDescent="0.3">
      <c r="A514" s="171">
        <v>510</v>
      </c>
      <c r="B514" s="171" t="s">
        <v>2368</v>
      </c>
      <c r="C514" s="172">
        <v>46200</v>
      </c>
      <c r="D514" s="173" t="s">
        <v>2369</v>
      </c>
      <c r="E514" s="172">
        <v>46200</v>
      </c>
      <c r="F514" s="173" t="s">
        <v>2370</v>
      </c>
      <c r="G514" s="174" t="s">
        <v>143</v>
      </c>
      <c r="H514" s="175">
        <v>13730</v>
      </c>
      <c r="I514" s="175">
        <v>33560</v>
      </c>
      <c r="J514" s="175">
        <v>19830</v>
      </c>
    </row>
    <row r="515" spans="1:10" x14ac:dyDescent="0.3">
      <c r="A515" s="171">
        <v>511</v>
      </c>
      <c r="B515" s="171" t="s">
        <v>2371</v>
      </c>
      <c r="C515" s="172">
        <v>46200</v>
      </c>
      <c r="D515" s="173" t="s">
        <v>2372</v>
      </c>
      <c r="E515" s="172">
        <v>46200</v>
      </c>
      <c r="F515" s="173" t="s">
        <v>2373</v>
      </c>
      <c r="G515" s="174" t="s">
        <v>90</v>
      </c>
      <c r="H515" s="175">
        <v>13710</v>
      </c>
      <c r="I515" s="175">
        <v>32580</v>
      </c>
      <c r="J515" s="175">
        <v>18870</v>
      </c>
    </row>
    <row r="516" spans="1:10" x14ac:dyDescent="0.3">
      <c r="A516" s="171">
        <v>512</v>
      </c>
      <c r="B516" s="171" t="s">
        <v>2374</v>
      </c>
      <c r="C516" s="172">
        <v>46200</v>
      </c>
      <c r="D516" s="173" t="s">
        <v>2375</v>
      </c>
      <c r="E516" s="172">
        <v>46200</v>
      </c>
      <c r="F516" s="173" t="s">
        <v>2376</v>
      </c>
      <c r="G516" s="174" t="s">
        <v>64</v>
      </c>
      <c r="H516" s="175">
        <v>14080</v>
      </c>
      <c r="I516" s="175">
        <v>33830</v>
      </c>
      <c r="J516" s="175">
        <v>19750</v>
      </c>
    </row>
    <row r="517" spans="1:10" x14ac:dyDescent="0.3">
      <c r="A517" s="171">
        <v>513</v>
      </c>
      <c r="B517" s="171" t="s">
        <v>2377</v>
      </c>
      <c r="C517" s="172">
        <v>46200</v>
      </c>
      <c r="D517" s="173" t="s">
        <v>857</v>
      </c>
      <c r="E517" s="172">
        <v>46200</v>
      </c>
      <c r="F517" s="173" t="s">
        <v>2378</v>
      </c>
      <c r="G517" s="174" t="s">
        <v>55</v>
      </c>
      <c r="H517" s="175">
        <v>14030</v>
      </c>
      <c r="I517" s="175">
        <v>34400</v>
      </c>
      <c r="J517" s="175">
        <v>20370</v>
      </c>
    </row>
    <row r="518" spans="1:10" x14ac:dyDescent="0.3">
      <c r="A518" s="171">
        <v>514</v>
      </c>
      <c r="B518" s="171" t="s">
        <v>2379</v>
      </c>
      <c r="C518" s="172">
        <v>46200</v>
      </c>
      <c r="D518" s="173" t="s">
        <v>2380</v>
      </c>
      <c r="E518" s="172">
        <v>46200</v>
      </c>
      <c r="F518" s="173" t="s">
        <v>2381</v>
      </c>
      <c r="G518" s="174" t="s">
        <v>85</v>
      </c>
      <c r="H518" s="175">
        <v>13960</v>
      </c>
      <c r="I518" s="175">
        <v>32550</v>
      </c>
      <c r="J518" s="175">
        <v>18590</v>
      </c>
    </row>
    <row r="519" spans="1:10" x14ac:dyDescent="0.3">
      <c r="A519" s="171">
        <v>515</v>
      </c>
      <c r="B519" s="171" t="s">
        <v>2382</v>
      </c>
      <c r="C519" s="172">
        <v>46200</v>
      </c>
      <c r="D519" s="173" t="s">
        <v>2383</v>
      </c>
      <c r="E519" s="172">
        <v>46200</v>
      </c>
      <c r="F519" s="173" t="s">
        <v>2384</v>
      </c>
      <c r="G519" s="174" t="s">
        <v>844</v>
      </c>
      <c r="H519" s="175">
        <v>13990</v>
      </c>
      <c r="I519" s="175">
        <v>32900</v>
      </c>
      <c r="J519" s="175">
        <v>18910</v>
      </c>
    </row>
    <row r="520" spans="1:10" x14ac:dyDescent="0.3">
      <c r="A520" s="171">
        <v>516</v>
      </c>
      <c r="B520" s="171" t="s">
        <v>2385</v>
      </c>
      <c r="C520" s="172">
        <v>46200</v>
      </c>
      <c r="D520" s="173" t="s">
        <v>892</v>
      </c>
      <c r="E520" s="172">
        <v>46200</v>
      </c>
      <c r="F520" s="173" t="s">
        <v>2386</v>
      </c>
      <c r="G520" s="174" t="s">
        <v>335</v>
      </c>
      <c r="H520" s="175">
        <v>13910</v>
      </c>
      <c r="I520" s="175">
        <v>32840</v>
      </c>
      <c r="J520" s="175">
        <v>18930</v>
      </c>
    </row>
    <row r="521" spans="1:10" x14ac:dyDescent="0.3">
      <c r="A521" s="171">
        <v>517</v>
      </c>
      <c r="B521" s="171" t="s">
        <v>2387</v>
      </c>
      <c r="C521" s="172">
        <v>46200</v>
      </c>
      <c r="D521" s="173" t="s">
        <v>2388</v>
      </c>
      <c r="E521" s="172">
        <v>46200</v>
      </c>
      <c r="F521" s="173" t="s">
        <v>2389</v>
      </c>
      <c r="G521" s="174" t="s">
        <v>337</v>
      </c>
      <c r="H521" s="175">
        <v>14030</v>
      </c>
      <c r="I521" s="175">
        <v>33480</v>
      </c>
      <c r="J521" s="175">
        <v>19450</v>
      </c>
    </row>
    <row r="522" spans="1:10" x14ac:dyDescent="0.3">
      <c r="A522" s="171">
        <v>518</v>
      </c>
      <c r="B522" s="171" t="s">
        <v>2390</v>
      </c>
      <c r="C522" s="172">
        <v>46200</v>
      </c>
      <c r="D522" s="173" t="s">
        <v>2391</v>
      </c>
      <c r="E522" s="172">
        <v>46200</v>
      </c>
      <c r="F522" s="173" t="s">
        <v>2392</v>
      </c>
      <c r="G522" s="174" t="s">
        <v>143</v>
      </c>
      <c r="H522" s="175">
        <v>14030</v>
      </c>
      <c r="I522" s="175">
        <v>31900</v>
      </c>
      <c r="J522" s="175">
        <v>17870</v>
      </c>
    </row>
    <row r="523" spans="1:10" x14ac:dyDescent="0.3">
      <c r="A523" s="171">
        <v>519</v>
      </c>
      <c r="B523" s="171" t="s">
        <v>2393</v>
      </c>
      <c r="C523" s="172">
        <v>46201</v>
      </c>
      <c r="D523" s="173" t="s">
        <v>728</v>
      </c>
      <c r="E523" s="172">
        <v>46201</v>
      </c>
      <c r="F523" s="173" t="s">
        <v>2394</v>
      </c>
      <c r="G523" s="174" t="s">
        <v>839</v>
      </c>
      <c r="H523" s="175">
        <v>13870</v>
      </c>
      <c r="I523" s="175">
        <v>32840</v>
      </c>
      <c r="J523" s="175">
        <v>18970</v>
      </c>
    </row>
    <row r="524" spans="1:10" x14ac:dyDescent="0.3">
      <c r="A524" s="171">
        <v>520</v>
      </c>
      <c r="B524" s="171" t="s">
        <v>2395</v>
      </c>
      <c r="C524" s="172">
        <v>46201</v>
      </c>
      <c r="D524" s="173" t="s">
        <v>848</v>
      </c>
      <c r="E524" s="172">
        <v>46201</v>
      </c>
      <c r="F524" s="173" t="s">
        <v>2396</v>
      </c>
      <c r="G524" s="174" t="s">
        <v>71</v>
      </c>
      <c r="H524" s="175">
        <v>14010</v>
      </c>
      <c r="I524" s="175">
        <v>33300</v>
      </c>
      <c r="J524" s="175">
        <v>19290</v>
      </c>
    </row>
    <row r="525" spans="1:10" x14ac:dyDescent="0.3">
      <c r="A525" s="171">
        <v>521</v>
      </c>
      <c r="B525" s="171" t="s">
        <v>2397</v>
      </c>
      <c r="C525" s="172">
        <v>46201</v>
      </c>
      <c r="D525" s="173" t="s">
        <v>849</v>
      </c>
      <c r="E525" s="172">
        <v>46201</v>
      </c>
      <c r="F525" s="173" t="s">
        <v>2398</v>
      </c>
      <c r="G525" s="174" t="s">
        <v>85</v>
      </c>
      <c r="H525" s="175">
        <v>13920</v>
      </c>
      <c r="I525" s="175">
        <v>32630</v>
      </c>
      <c r="J525" s="175">
        <v>18710</v>
      </c>
    </row>
    <row r="526" spans="1:10" x14ac:dyDescent="0.3">
      <c r="A526" s="171">
        <v>522</v>
      </c>
      <c r="B526" s="171" t="s">
        <v>2399</v>
      </c>
      <c r="C526" s="172">
        <v>46201</v>
      </c>
      <c r="D526" s="173" t="s">
        <v>895</v>
      </c>
      <c r="E526" s="172">
        <v>46201</v>
      </c>
      <c r="F526" s="173" t="s">
        <v>2400</v>
      </c>
      <c r="G526" s="174" t="s">
        <v>143</v>
      </c>
      <c r="H526" s="175">
        <v>13950</v>
      </c>
      <c r="I526" s="175">
        <v>33700</v>
      </c>
      <c r="J526" s="175">
        <v>19750</v>
      </c>
    </row>
    <row r="527" spans="1:10" x14ac:dyDescent="0.3">
      <c r="A527" s="171">
        <v>523</v>
      </c>
      <c r="B527" s="171" t="s">
        <v>2401</v>
      </c>
      <c r="C527" s="172">
        <v>46201</v>
      </c>
      <c r="D527" s="173" t="s">
        <v>840</v>
      </c>
      <c r="E527" s="172">
        <v>46201</v>
      </c>
      <c r="F527" s="173" t="s">
        <v>2402</v>
      </c>
      <c r="G527" s="174" t="s">
        <v>64</v>
      </c>
      <c r="H527" s="175">
        <v>14040</v>
      </c>
      <c r="I527" s="175">
        <v>33630</v>
      </c>
      <c r="J527" s="175">
        <v>19590</v>
      </c>
    </row>
    <row r="528" spans="1:10" x14ac:dyDescent="0.3">
      <c r="A528" s="171">
        <v>524</v>
      </c>
      <c r="B528" s="171" t="s">
        <v>2403</v>
      </c>
      <c r="C528" s="172">
        <v>46201</v>
      </c>
      <c r="D528" s="173" t="s">
        <v>2404</v>
      </c>
      <c r="E528" s="172">
        <v>46201</v>
      </c>
      <c r="F528" s="173" t="s">
        <v>2405</v>
      </c>
      <c r="G528" s="174" t="s">
        <v>55</v>
      </c>
      <c r="H528" s="175">
        <v>13910</v>
      </c>
      <c r="I528" s="175">
        <v>32120</v>
      </c>
      <c r="J528" s="175">
        <v>18210</v>
      </c>
    </row>
    <row r="529" spans="1:10" x14ac:dyDescent="0.3">
      <c r="A529" s="171">
        <v>525</v>
      </c>
      <c r="B529" s="171" t="s">
        <v>2406</v>
      </c>
      <c r="C529" s="172">
        <v>46201</v>
      </c>
      <c r="D529" s="173" t="s">
        <v>2407</v>
      </c>
      <c r="E529" s="172">
        <v>46201</v>
      </c>
      <c r="F529" s="173" t="s">
        <v>2408</v>
      </c>
      <c r="G529" s="174" t="s">
        <v>337</v>
      </c>
      <c r="H529" s="175">
        <v>13920</v>
      </c>
      <c r="I529" s="175">
        <v>33480</v>
      </c>
      <c r="J529" s="175">
        <v>19560</v>
      </c>
    </row>
    <row r="530" spans="1:10" x14ac:dyDescent="0.3">
      <c r="A530" s="171">
        <v>526</v>
      </c>
      <c r="B530" s="171" t="s">
        <v>2409</v>
      </c>
      <c r="C530" s="172">
        <v>46201</v>
      </c>
      <c r="D530" s="173" t="s">
        <v>2187</v>
      </c>
      <c r="E530" s="172">
        <v>46201</v>
      </c>
      <c r="F530" s="173" t="s">
        <v>2410</v>
      </c>
      <c r="G530" s="174" t="s">
        <v>842</v>
      </c>
      <c r="H530" s="175">
        <v>14130</v>
      </c>
      <c r="I530" s="175">
        <v>32640</v>
      </c>
      <c r="J530" s="175">
        <v>18510</v>
      </c>
    </row>
    <row r="531" spans="1:10" x14ac:dyDescent="0.3">
      <c r="A531" s="171">
        <v>527</v>
      </c>
      <c r="B531" s="171" t="s">
        <v>2411</v>
      </c>
      <c r="C531" s="172">
        <v>46201</v>
      </c>
      <c r="D531" s="173" t="s">
        <v>2412</v>
      </c>
      <c r="E531" s="172">
        <v>46201</v>
      </c>
      <c r="F531" s="173" t="s">
        <v>2413</v>
      </c>
      <c r="G531" s="174" t="s">
        <v>43</v>
      </c>
      <c r="H531" s="175">
        <v>13720</v>
      </c>
      <c r="I531" s="175">
        <v>32130</v>
      </c>
      <c r="J531" s="175">
        <v>18410</v>
      </c>
    </row>
    <row r="532" spans="1:10" x14ac:dyDescent="0.3">
      <c r="A532" s="171">
        <v>528</v>
      </c>
      <c r="B532" s="171" t="s">
        <v>2414</v>
      </c>
      <c r="C532" s="172">
        <v>46201</v>
      </c>
      <c r="D532" s="173" t="s">
        <v>2415</v>
      </c>
      <c r="E532" s="172">
        <v>46201</v>
      </c>
      <c r="F532" s="173" t="s">
        <v>69</v>
      </c>
      <c r="G532" s="174" t="s">
        <v>80</v>
      </c>
      <c r="H532" s="175">
        <v>13940</v>
      </c>
      <c r="I532" s="175">
        <v>33000</v>
      </c>
      <c r="J532" s="175">
        <v>19060</v>
      </c>
    </row>
    <row r="533" spans="1:10" x14ac:dyDescent="0.3">
      <c r="A533" s="171">
        <v>529</v>
      </c>
      <c r="B533" s="171" t="s">
        <v>2416</v>
      </c>
      <c r="C533" s="172">
        <v>46201</v>
      </c>
      <c r="D533" s="173" t="s">
        <v>2417</v>
      </c>
      <c r="E533" s="172">
        <v>46201</v>
      </c>
      <c r="F533" s="173" t="s">
        <v>2418</v>
      </c>
      <c r="G533" s="174" t="s">
        <v>90</v>
      </c>
      <c r="H533" s="175">
        <v>13710</v>
      </c>
      <c r="I533" s="175">
        <v>32330</v>
      </c>
      <c r="J533" s="175">
        <v>18620</v>
      </c>
    </row>
    <row r="534" spans="1:10" x14ac:dyDescent="0.3">
      <c r="A534" s="171">
        <v>530</v>
      </c>
      <c r="B534" s="171" t="s">
        <v>2419</v>
      </c>
      <c r="C534" s="172">
        <v>46201</v>
      </c>
      <c r="D534" s="173" t="s">
        <v>2420</v>
      </c>
      <c r="E534" s="172">
        <v>46201</v>
      </c>
      <c r="F534" s="173" t="s">
        <v>2421</v>
      </c>
      <c r="G534" s="174" t="s">
        <v>537</v>
      </c>
      <c r="H534" s="175">
        <v>14000</v>
      </c>
      <c r="I534" s="175">
        <v>33760</v>
      </c>
      <c r="J534" s="175">
        <v>19760</v>
      </c>
    </row>
    <row r="535" spans="1:10" x14ac:dyDescent="0.3">
      <c r="A535" s="171">
        <v>531</v>
      </c>
      <c r="B535" s="171" t="s">
        <v>2422</v>
      </c>
      <c r="C535" s="172">
        <v>46201</v>
      </c>
      <c r="D535" s="173" t="s">
        <v>2423</v>
      </c>
      <c r="E535" s="172">
        <v>46201</v>
      </c>
      <c r="F535" s="173" t="s">
        <v>2424</v>
      </c>
      <c r="G535" s="174" t="s">
        <v>336</v>
      </c>
      <c r="H535" s="175">
        <v>13930</v>
      </c>
      <c r="I535" s="175">
        <v>34530</v>
      </c>
      <c r="J535" s="175">
        <v>20600</v>
      </c>
    </row>
    <row r="536" spans="1:10" x14ac:dyDescent="0.3">
      <c r="A536" s="171">
        <v>532</v>
      </c>
      <c r="B536" s="171" t="s">
        <v>2425</v>
      </c>
      <c r="C536" s="172">
        <v>46201</v>
      </c>
      <c r="D536" s="173" t="s">
        <v>2426</v>
      </c>
      <c r="E536" s="172">
        <v>46201</v>
      </c>
      <c r="F536" s="173" t="s">
        <v>2427</v>
      </c>
      <c r="G536" s="174" t="s">
        <v>335</v>
      </c>
      <c r="H536" s="175">
        <v>13890</v>
      </c>
      <c r="I536" s="175">
        <v>33220</v>
      </c>
      <c r="J536" s="175">
        <v>19330</v>
      </c>
    </row>
    <row r="537" spans="1:10" x14ac:dyDescent="0.3">
      <c r="A537" s="171">
        <v>533</v>
      </c>
      <c r="B537" s="171" t="s">
        <v>2428</v>
      </c>
      <c r="C537" s="172">
        <v>46201</v>
      </c>
      <c r="D537" s="173" t="s">
        <v>2429</v>
      </c>
      <c r="E537" s="172">
        <v>46201</v>
      </c>
      <c r="F537" s="173" t="s">
        <v>2430</v>
      </c>
      <c r="G537" s="174" t="s">
        <v>844</v>
      </c>
      <c r="H537" s="175">
        <v>13910</v>
      </c>
      <c r="I537" s="175">
        <v>33490</v>
      </c>
      <c r="J537" s="175">
        <v>19580</v>
      </c>
    </row>
    <row r="538" spans="1:10" x14ac:dyDescent="0.3">
      <c r="A538" s="171">
        <v>534</v>
      </c>
      <c r="B538" s="171" t="s">
        <v>2431</v>
      </c>
      <c r="C538" s="172">
        <v>46201</v>
      </c>
      <c r="D538" s="173" t="s">
        <v>2432</v>
      </c>
      <c r="E538" s="172">
        <v>46201</v>
      </c>
      <c r="F538" s="173" t="s">
        <v>2433</v>
      </c>
      <c r="G538" s="174" t="s">
        <v>839</v>
      </c>
      <c r="H538" s="175">
        <v>13830</v>
      </c>
      <c r="I538" s="175">
        <v>33710</v>
      </c>
      <c r="J538" s="175">
        <v>19880</v>
      </c>
    </row>
    <row r="539" spans="1:10" x14ac:dyDescent="0.3">
      <c r="A539" s="171">
        <v>535</v>
      </c>
      <c r="B539" s="171" t="s">
        <v>2434</v>
      </c>
      <c r="C539" s="172">
        <v>46201</v>
      </c>
      <c r="D539" s="173" t="s">
        <v>2435</v>
      </c>
      <c r="E539" s="172">
        <v>46201</v>
      </c>
      <c r="F539" s="173" t="s">
        <v>2436</v>
      </c>
      <c r="G539" s="174" t="s">
        <v>71</v>
      </c>
      <c r="H539" s="175">
        <v>13970</v>
      </c>
      <c r="I539" s="175">
        <v>33530</v>
      </c>
      <c r="J539" s="175">
        <v>19560</v>
      </c>
    </row>
    <row r="540" spans="1:10" x14ac:dyDescent="0.3">
      <c r="A540" s="171">
        <v>536</v>
      </c>
      <c r="B540" s="171" t="s">
        <v>2437</v>
      </c>
      <c r="C540" s="172">
        <v>46201</v>
      </c>
      <c r="D540" s="173" t="s">
        <v>2438</v>
      </c>
      <c r="E540" s="172">
        <v>46201</v>
      </c>
      <c r="F540" s="173" t="s">
        <v>2439</v>
      </c>
      <c r="G540" s="174" t="s">
        <v>43</v>
      </c>
      <c r="H540" s="175">
        <v>13700</v>
      </c>
      <c r="I540" s="175">
        <v>32420</v>
      </c>
      <c r="J540" s="175">
        <v>18720</v>
      </c>
    </row>
    <row r="541" spans="1:10" x14ac:dyDescent="0.3">
      <c r="A541" s="171">
        <v>537</v>
      </c>
      <c r="B541" s="171" t="s">
        <v>2440</v>
      </c>
      <c r="C541" s="172">
        <v>46201</v>
      </c>
      <c r="D541" s="173" t="s">
        <v>2441</v>
      </c>
      <c r="E541" s="172">
        <v>46201</v>
      </c>
      <c r="F541" s="173" t="s">
        <v>887</v>
      </c>
      <c r="G541" s="174" t="s">
        <v>55</v>
      </c>
      <c r="H541" s="175">
        <v>13870</v>
      </c>
      <c r="I541" s="175">
        <v>33320</v>
      </c>
      <c r="J541" s="175">
        <v>19450</v>
      </c>
    </row>
    <row r="542" spans="1:10" x14ac:dyDescent="0.3">
      <c r="A542" s="171">
        <v>538</v>
      </c>
      <c r="B542" s="171" t="s">
        <v>2442</v>
      </c>
      <c r="C542" s="172">
        <v>46201</v>
      </c>
      <c r="D542" s="173" t="s">
        <v>2443</v>
      </c>
      <c r="E542" s="172">
        <v>46201</v>
      </c>
      <c r="F542" s="173" t="s">
        <v>2444</v>
      </c>
      <c r="G542" s="174" t="s">
        <v>337</v>
      </c>
      <c r="H542" s="175">
        <v>13920</v>
      </c>
      <c r="I542" s="175">
        <v>33460</v>
      </c>
      <c r="J542" s="175">
        <v>19540</v>
      </c>
    </row>
    <row r="543" spans="1:10" x14ac:dyDescent="0.3">
      <c r="A543" s="171">
        <v>539</v>
      </c>
      <c r="B543" s="171" t="s">
        <v>2445</v>
      </c>
      <c r="C543" s="172">
        <v>46201</v>
      </c>
      <c r="D543" s="173" t="s">
        <v>2446</v>
      </c>
      <c r="E543" s="172">
        <v>46201</v>
      </c>
      <c r="F543" s="173" t="s">
        <v>2447</v>
      </c>
      <c r="G543" s="174" t="s">
        <v>143</v>
      </c>
      <c r="H543" s="175">
        <v>13900</v>
      </c>
      <c r="I543" s="175">
        <v>32010</v>
      </c>
      <c r="J543" s="175">
        <v>18110</v>
      </c>
    </row>
    <row r="544" spans="1:10" x14ac:dyDescent="0.3">
      <c r="A544" s="171">
        <v>540</v>
      </c>
      <c r="B544" s="171" t="s">
        <v>2448</v>
      </c>
      <c r="C544" s="172">
        <v>46201</v>
      </c>
      <c r="D544" s="173" t="s">
        <v>2449</v>
      </c>
      <c r="E544" s="172">
        <v>46201</v>
      </c>
      <c r="F544" s="173" t="s">
        <v>2450</v>
      </c>
      <c r="G544" s="174" t="s">
        <v>64</v>
      </c>
      <c r="H544" s="175">
        <v>14010</v>
      </c>
      <c r="I544" s="175">
        <v>31670</v>
      </c>
      <c r="J544" s="175">
        <v>17660</v>
      </c>
    </row>
    <row r="545" spans="1:10" x14ac:dyDescent="0.3">
      <c r="A545" s="171">
        <v>541</v>
      </c>
      <c r="B545" s="171" t="s">
        <v>2451</v>
      </c>
      <c r="C545" s="172">
        <v>46201</v>
      </c>
      <c r="D545" s="173" t="s">
        <v>2452</v>
      </c>
      <c r="E545" s="172">
        <v>46201</v>
      </c>
      <c r="F545" s="173" t="s">
        <v>2453</v>
      </c>
      <c r="G545" s="174" t="s">
        <v>842</v>
      </c>
      <c r="H545" s="175">
        <v>14100</v>
      </c>
      <c r="I545" s="175">
        <v>31710</v>
      </c>
      <c r="J545" s="175">
        <v>17610</v>
      </c>
    </row>
    <row r="546" spans="1:10" x14ac:dyDescent="0.3">
      <c r="A546" s="171">
        <v>542</v>
      </c>
      <c r="B546" s="171" t="s">
        <v>2454</v>
      </c>
      <c r="C546" s="172">
        <v>46201</v>
      </c>
      <c r="D546" s="173" t="s">
        <v>2455</v>
      </c>
      <c r="E546" s="172">
        <v>46201</v>
      </c>
      <c r="F546" s="173" t="s">
        <v>860</v>
      </c>
      <c r="G546" s="174" t="s">
        <v>80</v>
      </c>
      <c r="H546" s="175">
        <v>13920</v>
      </c>
      <c r="I546" s="175">
        <v>32150</v>
      </c>
      <c r="J546" s="175">
        <v>18230</v>
      </c>
    </row>
    <row r="547" spans="1:10" x14ac:dyDescent="0.3">
      <c r="A547" s="171">
        <v>543</v>
      </c>
      <c r="B547" s="171" t="s">
        <v>2456</v>
      </c>
      <c r="C547" s="172">
        <v>46201</v>
      </c>
      <c r="D547" s="173" t="s">
        <v>2457</v>
      </c>
      <c r="E547" s="172">
        <v>46201</v>
      </c>
      <c r="F547" s="173" t="s">
        <v>2458</v>
      </c>
      <c r="G547" s="174" t="s">
        <v>90</v>
      </c>
      <c r="H547" s="175">
        <v>13670</v>
      </c>
      <c r="I547" s="175">
        <v>33470</v>
      </c>
      <c r="J547" s="175">
        <v>19800</v>
      </c>
    </row>
    <row r="548" spans="1:10" x14ac:dyDescent="0.3">
      <c r="A548" s="171">
        <v>544</v>
      </c>
      <c r="B548" s="171" t="s">
        <v>2459</v>
      </c>
      <c r="C548" s="172">
        <v>46201</v>
      </c>
      <c r="D548" s="173" t="s">
        <v>2460</v>
      </c>
      <c r="E548" s="172">
        <v>46201</v>
      </c>
      <c r="F548" s="173" t="s">
        <v>867</v>
      </c>
      <c r="G548" s="174" t="s">
        <v>335</v>
      </c>
      <c r="H548" s="175">
        <v>13920</v>
      </c>
      <c r="I548" s="175">
        <v>32530</v>
      </c>
      <c r="J548" s="175">
        <v>18610</v>
      </c>
    </row>
    <row r="549" spans="1:10" x14ac:dyDescent="0.3">
      <c r="A549" s="171">
        <v>545</v>
      </c>
      <c r="B549" s="171" t="s">
        <v>2461</v>
      </c>
      <c r="C549" s="172">
        <v>46201</v>
      </c>
      <c r="D549" s="173" t="s">
        <v>2462</v>
      </c>
      <c r="E549" s="172">
        <v>46201</v>
      </c>
      <c r="F549" s="173" t="s">
        <v>2463</v>
      </c>
      <c r="G549" s="174" t="s">
        <v>537</v>
      </c>
      <c r="H549" s="175">
        <v>14030</v>
      </c>
      <c r="I549" s="175">
        <v>33120</v>
      </c>
      <c r="J549" s="175">
        <v>19090</v>
      </c>
    </row>
    <row r="550" spans="1:10" x14ac:dyDescent="0.3">
      <c r="A550" s="171">
        <v>546</v>
      </c>
      <c r="B550" s="171" t="s">
        <v>2464</v>
      </c>
      <c r="C550" s="172">
        <v>46201</v>
      </c>
      <c r="D550" s="173" t="s">
        <v>2465</v>
      </c>
      <c r="E550" s="172">
        <v>46201</v>
      </c>
      <c r="F550" s="173" t="s">
        <v>896</v>
      </c>
      <c r="G550" s="174" t="s">
        <v>336</v>
      </c>
      <c r="H550" s="175">
        <v>13940</v>
      </c>
      <c r="I550" s="175">
        <v>34810</v>
      </c>
      <c r="J550" s="175">
        <v>20870</v>
      </c>
    </row>
    <row r="551" spans="1:10" x14ac:dyDescent="0.3">
      <c r="A551" s="171">
        <v>547</v>
      </c>
      <c r="B551" s="171" t="s">
        <v>2466</v>
      </c>
      <c r="C551" s="172">
        <v>46201</v>
      </c>
      <c r="D551" s="173" t="s">
        <v>2467</v>
      </c>
      <c r="E551" s="172">
        <v>46201</v>
      </c>
      <c r="F551" s="173" t="s">
        <v>2468</v>
      </c>
      <c r="G551" s="174" t="s">
        <v>844</v>
      </c>
      <c r="H551" s="175">
        <v>13920</v>
      </c>
      <c r="I551" s="175">
        <v>31860</v>
      </c>
      <c r="J551" s="175">
        <v>17940</v>
      </c>
    </row>
    <row r="552" spans="1:10" x14ac:dyDescent="0.3">
      <c r="A552" s="171">
        <v>548</v>
      </c>
      <c r="B552" s="171" t="s">
        <v>2469</v>
      </c>
      <c r="C552" s="172">
        <v>46201</v>
      </c>
      <c r="D552" s="173" t="s">
        <v>2470</v>
      </c>
      <c r="E552" s="172">
        <v>46201</v>
      </c>
      <c r="F552" s="173" t="s">
        <v>2471</v>
      </c>
      <c r="G552" s="174" t="s">
        <v>839</v>
      </c>
      <c r="H552" s="175">
        <v>13810</v>
      </c>
      <c r="I552" s="175">
        <v>34110</v>
      </c>
      <c r="J552" s="175">
        <v>20300</v>
      </c>
    </row>
    <row r="553" spans="1:10" x14ac:dyDescent="0.3">
      <c r="A553" s="171">
        <v>549</v>
      </c>
      <c r="B553" s="171" t="s">
        <v>2472</v>
      </c>
      <c r="C553" s="172">
        <v>46201</v>
      </c>
      <c r="D553" s="173" t="s">
        <v>877</v>
      </c>
      <c r="E553" s="172">
        <v>46201</v>
      </c>
      <c r="F553" s="173" t="s">
        <v>2473</v>
      </c>
      <c r="G553" s="174" t="s">
        <v>71</v>
      </c>
      <c r="H553" s="175">
        <v>13940</v>
      </c>
      <c r="I553" s="175">
        <v>35120</v>
      </c>
      <c r="J553" s="175">
        <v>21180</v>
      </c>
    </row>
    <row r="554" spans="1:10" x14ac:dyDescent="0.3">
      <c r="A554" s="171">
        <v>550</v>
      </c>
      <c r="B554" s="171" t="s">
        <v>2474</v>
      </c>
      <c r="C554" s="172">
        <v>46201</v>
      </c>
      <c r="D554" s="173" t="s">
        <v>2475</v>
      </c>
      <c r="E554" s="172">
        <v>46201</v>
      </c>
      <c r="F554" s="173" t="s">
        <v>2476</v>
      </c>
      <c r="G554" s="174" t="s">
        <v>43</v>
      </c>
      <c r="H554" s="175">
        <v>13650</v>
      </c>
      <c r="I554" s="175">
        <v>33820</v>
      </c>
      <c r="J554" s="175">
        <v>20170</v>
      </c>
    </row>
    <row r="555" spans="1:10" x14ac:dyDescent="0.3">
      <c r="A555" s="171">
        <v>551</v>
      </c>
      <c r="B555" s="171" t="s">
        <v>2477</v>
      </c>
      <c r="C555" s="172">
        <v>46201</v>
      </c>
      <c r="D555" s="173" t="s">
        <v>2478</v>
      </c>
      <c r="E555" s="172">
        <v>46201</v>
      </c>
      <c r="F555" s="173" t="s">
        <v>2479</v>
      </c>
      <c r="G555" s="174" t="s">
        <v>55</v>
      </c>
      <c r="H555" s="175">
        <v>13850</v>
      </c>
      <c r="I555" s="175">
        <v>33640</v>
      </c>
      <c r="J555" s="175">
        <v>19790</v>
      </c>
    </row>
    <row r="556" spans="1:10" x14ac:dyDescent="0.3">
      <c r="A556" s="171">
        <v>552</v>
      </c>
      <c r="B556" s="171" t="s">
        <v>2480</v>
      </c>
      <c r="C556" s="172">
        <v>46201</v>
      </c>
      <c r="D556" s="173" t="s">
        <v>2481</v>
      </c>
      <c r="E556" s="172">
        <v>46201</v>
      </c>
      <c r="F556" s="173" t="s">
        <v>2482</v>
      </c>
      <c r="G556" s="174" t="s">
        <v>337</v>
      </c>
      <c r="H556" s="175">
        <v>13850</v>
      </c>
      <c r="I556" s="175">
        <v>33310</v>
      </c>
      <c r="J556" s="175">
        <v>19460</v>
      </c>
    </row>
    <row r="557" spans="1:10" x14ac:dyDescent="0.3">
      <c r="A557" s="171">
        <v>553</v>
      </c>
      <c r="B557" s="171" t="s">
        <v>2483</v>
      </c>
      <c r="C557" s="172">
        <v>46201</v>
      </c>
      <c r="D557" s="173" t="s">
        <v>2484</v>
      </c>
      <c r="E557" s="172">
        <v>46201</v>
      </c>
      <c r="F557" s="173" t="s">
        <v>2485</v>
      </c>
      <c r="G557" s="174" t="s">
        <v>143</v>
      </c>
      <c r="H557" s="175">
        <v>13850</v>
      </c>
      <c r="I557" s="175">
        <v>32330</v>
      </c>
      <c r="J557" s="175">
        <v>18480</v>
      </c>
    </row>
    <row r="558" spans="1:10" x14ac:dyDescent="0.3">
      <c r="A558" s="171">
        <v>554</v>
      </c>
      <c r="B558" s="171" t="s">
        <v>2486</v>
      </c>
      <c r="C558" s="172">
        <v>46201</v>
      </c>
      <c r="D558" s="173" t="s">
        <v>885</v>
      </c>
      <c r="E558" s="172">
        <v>46201</v>
      </c>
      <c r="F558" s="173" t="s">
        <v>2487</v>
      </c>
      <c r="G558" s="174" t="s">
        <v>64</v>
      </c>
      <c r="H558" s="175">
        <v>13980</v>
      </c>
      <c r="I558" s="175">
        <v>33240</v>
      </c>
      <c r="J558" s="175">
        <v>19260</v>
      </c>
    </row>
    <row r="559" spans="1:10" x14ac:dyDescent="0.3">
      <c r="A559" s="171">
        <v>555</v>
      </c>
      <c r="B559" s="171" t="s">
        <v>2488</v>
      </c>
      <c r="C559" s="172">
        <v>46201</v>
      </c>
      <c r="D559" s="173" t="s">
        <v>2489</v>
      </c>
      <c r="E559" s="172">
        <v>46201</v>
      </c>
      <c r="F559" s="173" t="s">
        <v>2490</v>
      </c>
      <c r="G559" s="174" t="s">
        <v>80</v>
      </c>
      <c r="H559" s="175">
        <v>13870</v>
      </c>
      <c r="I559" s="175">
        <v>34540</v>
      </c>
      <c r="J559" s="175">
        <v>20670</v>
      </c>
    </row>
    <row r="560" spans="1:10" x14ac:dyDescent="0.3">
      <c r="A560" s="171">
        <v>556</v>
      </c>
      <c r="B560" s="171" t="s">
        <v>2491</v>
      </c>
      <c r="C560" s="172">
        <v>46201</v>
      </c>
      <c r="D560" s="173" t="s">
        <v>2492</v>
      </c>
      <c r="E560" s="172">
        <v>46201</v>
      </c>
      <c r="F560" s="173" t="s">
        <v>2493</v>
      </c>
      <c r="G560" s="174" t="s">
        <v>842</v>
      </c>
      <c r="H560" s="175">
        <v>14060</v>
      </c>
      <c r="I560" s="175">
        <v>33090</v>
      </c>
      <c r="J560" s="175">
        <v>19030</v>
      </c>
    </row>
    <row r="561" spans="1:10" x14ac:dyDescent="0.3">
      <c r="A561" s="171">
        <v>557</v>
      </c>
      <c r="B561" s="171" t="s">
        <v>2494</v>
      </c>
      <c r="C561" s="172">
        <v>46201</v>
      </c>
      <c r="D561" s="173" t="s">
        <v>2495</v>
      </c>
      <c r="E561" s="172">
        <v>46201</v>
      </c>
      <c r="F561" s="173" t="s">
        <v>2496</v>
      </c>
      <c r="G561" s="174" t="s">
        <v>335</v>
      </c>
      <c r="H561" s="175">
        <v>13830</v>
      </c>
      <c r="I561" s="175">
        <v>31970</v>
      </c>
      <c r="J561" s="175">
        <v>18140</v>
      </c>
    </row>
    <row r="562" spans="1:10" x14ac:dyDescent="0.3">
      <c r="A562" s="171">
        <v>558</v>
      </c>
      <c r="B562" s="171" t="s">
        <v>2497</v>
      </c>
      <c r="C562" s="172">
        <v>46201</v>
      </c>
      <c r="D562" s="173" t="s">
        <v>2498</v>
      </c>
      <c r="E562" s="172">
        <v>46201</v>
      </c>
      <c r="F562" s="173" t="s">
        <v>2499</v>
      </c>
      <c r="G562" s="174" t="s">
        <v>537</v>
      </c>
      <c r="H562" s="175">
        <v>13940</v>
      </c>
      <c r="I562" s="175">
        <v>31940</v>
      </c>
      <c r="J562" s="175">
        <v>18000</v>
      </c>
    </row>
    <row r="563" spans="1:10" x14ac:dyDescent="0.3">
      <c r="A563" s="171">
        <v>559</v>
      </c>
      <c r="B563" s="171" t="s">
        <v>2500</v>
      </c>
      <c r="C563" s="172">
        <v>46201</v>
      </c>
      <c r="D563" s="173" t="s">
        <v>2501</v>
      </c>
      <c r="E563" s="172">
        <v>46201</v>
      </c>
      <c r="F563" s="173" t="s">
        <v>2502</v>
      </c>
      <c r="G563" s="174" t="s">
        <v>844</v>
      </c>
      <c r="H563" s="175">
        <v>13810</v>
      </c>
      <c r="I563" s="175">
        <v>31940</v>
      </c>
      <c r="J563" s="175">
        <v>18130</v>
      </c>
    </row>
    <row r="564" spans="1:10" x14ac:dyDescent="0.3">
      <c r="A564" s="171">
        <v>560</v>
      </c>
      <c r="B564" s="171" t="s">
        <v>2503</v>
      </c>
      <c r="C564" s="172">
        <v>46201</v>
      </c>
      <c r="D564" s="173" t="s">
        <v>900</v>
      </c>
      <c r="E564" s="172">
        <v>46201</v>
      </c>
      <c r="F564" s="173" t="s">
        <v>2504</v>
      </c>
      <c r="G564" s="174" t="s">
        <v>839</v>
      </c>
      <c r="H564" s="175">
        <v>13770</v>
      </c>
      <c r="I564" s="175">
        <v>31600</v>
      </c>
      <c r="J564" s="175">
        <v>17830</v>
      </c>
    </row>
    <row r="565" spans="1:10" x14ac:dyDescent="0.3">
      <c r="A565" s="171">
        <v>561</v>
      </c>
      <c r="B565" s="171" t="s">
        <v>2505</v>
      </c>
      <c r="C565" s="172">
        <v>46201</v>
      </c>
      <c r="D565" s="173" t="s">
        <v>2506</v>
      </c>
      <c r="E565" s="172">
        <v>46201</v>
      </c>
      <c r="F565" s="173" t="s">
        <v>2507</v>
      </c>
      <c r="G565" s="174" t="s">
        <v>336</v>
      </c>
      <c r="H565" s="175">
        <v>13910</v>
      </c>
      <c r="I565" s="175">
        <v>31500</v>
      </c>
      <c r="J565" s="175">
        <v>17590</v>
      </c>
    </row>
    <row r="566" spans="1:10" x14ac:dyDescent="0.3">
      <c r="A566" s="171">
        <v>562</v>
      </c>
      <c r="B566" s="171" t="s">
        <v>2508</v>
      </c>
      <c r="C566" s="172">
        <v>46201</v>
      </c>
      <c r="D566" s="173" t="s">
        <v>2509</v>
      </c>
      <c r="E566" s="172">
        <v>46201</v>
      </c>
      <c r="F566" s="173" t="s">
        <v>2510</v>
      </c>
      <c r="G566" s="174" t="s">
        <v>90</v>
      </c>
      <c r="H566" s="175">
        <v>13630</v>
      </c>
      <c r="I566" s="175">
        <v>33000</v>
      </c>
      <c r="J566" s="175">
        <v>19370</v>
      </c>
    </row>
    <row r="567" spans="1:10" x14ac:dyDescent="0.3">
      <c r="A567" s="171">
        <v>563</v>
      </c>
      <c r="B567" s="171" t="s">
        <v>2511</v>
      </c>
      <c r="C567" s="172">
        <v>46201</v>
      </c>
      <c r="D567" s="173" t="s">
        <v>2512</v>
      </c>
      <c r="E567" s="172">
        <v>46201</v>
      </c>
      <c r="F567" s="173" t="s">
        <v>2513</v>
      </c>
      <c r="G567" s="174" t="s">
        <v>71</v>
      </c>
      <c r="H567" s="175">
        <v>13900</v>
      </c>
      <c r="I567" s="175">
        <v>32010</v>
      </c>
      <c r="J567" s="175">
        <v>18110</v>
      </c>
    </row>
    <row r="568" spans="1:10" x14ac:dyDescent="0.3">
      <c r="A568" s="171">
        <v>564</v>
      </c>
      <c r="B568" s="171" t="s">
        <v>2514</v>
      </c>
      <c r="C568" s="172">
        <v>46201</v>
      </c>
      <c r="D568" s="173" t="s">
        <v>2515</v>
      </c>
      <c r="E568" s="172">
        <v>46201</v>
      </c>
      <c r="F568" s="173" t="s">
        <v>2516</v>
      </c>
      <c r="G568" s="174" t="s">
        <v>43</v>
      </c>
      <c r="H568" s="175">
        <v>14010</v>
      </c>
      <c r="I568" s="175">
        <v>33560</v>
      </c>
      <c r="J568" s="175">
        <v>19550</v>
      </c>
    </row>
    <row r="569" spans="1:10" x14ac:dyDescent="0.3">
      <c r="A569" s="171">
        <v>565</v>
      </c>
      <c r="B569" s="171" t="s">
        <v>2517</v>
      </c>
      <c r="C569" s="172">
        <v>46201</v>
      </c>
      <c r="D569" s="173" t="s">
        <v>2518</v>
      </c>
      <c r="E569" s="172">
        <v>46201</v>
      </c>
      <c r="F569" s="173" t="s">
        <v>2519</v>
      </c>
      <c r="G569" s="174" t="s">
        <v>55</v>
      </c>
      <c r="H569" s="175">
        <v>13910</v>
      </c>
      <c r="I569" s="175">
        <v>34640</v>
      </c>
      <c r="J569" s="175">
        <v>20730</v>
      </c>
    </row>
    <row r="570" spans="1:10" x14ac:dyDescent="0.3">
      <c r="A570" s="171">
        <v>566</v>
      </c>
      <c r="B570" s="171" t="s">
        <v>2520</v>
      </c>
      <c r="C570" s="172">
        <v>46201</v>
      </c>
      <c r="D570" s="173" t="s">
        <v>2521</v>
      </c>
      <c r="E570" s="172">
        <v>46201</v>
      </c>
      <c r="F570" s="173" t="s">
        <v>2522</v>
      </c>
      <c r="G570" s="174" t="s">
        <v>337</v>
      </c>
      <c r="H570" s="175">
        <v>13800</v>
      </c>
      <c r="I570" s="175">
        <v>33700</v>
      </c>
      <c r="J570" s="175">
        <v>19900</v>
      </c>
    </row>
    <row r="571" spans="1:10" x14ac:dyDescent="0.3">
      <c r="A571" s="171">
        <v>567</v>
      </c>
      <c r="B571" s="171" t="s">
        <v>2523</v>
      </c>
      <c r="C571" s="172">
        <v>46201</v>
      </c>
      <c r="D571" s="173" t="s">
        <v>2524</v>
      </c>
      <c r="E571" s="172">
        <v>46201</v>
      </c>
      <c r="F571" s="173" t="s">
        <v>2525</v>
      </c>
      <c r="G571" s="174" t="s">
        <v>143</v>
      </c>
      <c r="H571" s="175">
        <v>13850</v>
      </c>
      <c r="I571" s="175">
        <v>31890</v>
      </c>
      <c r="J571" s="175">
        <v>18040</v>
      </c>
    </row>
    <row r="572" spans="1:10" x14ac:dyDescent="0.3">
      <c r="A572" s="171">
        <v>568</v>
      </c>
      <c r="B572" s="171" t="s">
        <v>2526</v>
      </c>
      <c r="C572" s="172">
        <v>46201</v>
      </c>
      <c r="D572" s="173" t="s">
        <v>2527</v>
      </c>
      <c r="E572" s="172">
        <v>46201</v>
      </c>
      <c r="F572" s="173" t="s">
        <v>2528</v>
      </c>
      <c r="G572" s="174" t="s">
        <v>64</v>
      </c>
      <c r="H572" s="175">
        <v>13900</v>
      </c>
      <c r="I572" s="175">
        <v>33700</v>
      </c>
      <c r="J572" s="175">
        <v>19800</v>
      </c>
    </row>
    <row r="573" spans="1:10" x14ac:dyDescent="0.3">
      <c r="A573" s="171">
        <v>569</v>
      </c>
      <c r="B573" s="171" t="s">
        <v>2529</v>
      </c>
      <c r="C573" s="172">
        <v>46201</v>
      </c>
      <c r="D573" s="173" t="s">
        <v>2530</v>
      </c>
      <c r="E573" s="172">
        <v>46201</v>
      </c>
      <c r="F573" s="173" t="s">
        <v>2531</v>
      </c>
      <c r="G573" s="174" t="s">
        <v>85</v>
      </c>
      <c r="H573" s="175">
        <v>13940</v>
      </c>
      <c r="I573" s="175">
        <v>33270</v>
      </c>
      <c r="J573" s="175">
        <v>19330</v>
      </c>
    </row>
    <row r="574" spans="1:10" x14ac:dyDescent="0.3">
      <c r="A574" s="171">
        <v>570</v>
      </c>
      <c r="B574" s="171" t="s">
        <v>2532</v>
      </c>
      <c r="C574" s="172">
        <v>46201</v>
      </c>
      <c r="D574" s="173" t="s">
        <v>2533</v>
      </c>
      <c r="E574" s="172">
        <v>46201</v>
      </c>
      <c r="F574" s="173" t="s">
        <v>2534</v>
      </c>
      <c r="G574" s="174" t="s">
        <v>80</v>
      </c>
      <c r="H574" s="175">
        <v>13860</v>
      </c>
      <c r="I574" s="175">
        <v>32810</v>
      </c>
      <c r="J574" s="175">
        <v>18950</v>
      </c>
    </row>
    <row r="575" spans="1:10" x14ac:dyDescent="0.3">
      <c r="A575" s="171">
        <v>571</v>
      </c>
      <c r="B575" s="171" t="s">
        <v>2535</v>
      </c>
      <c r="C575" s="172">
        <v>46201</v>
      </c>
      <c r="D575" s="173" t="s">
        <v>2536</v>
      </c>
      <c r="E575" s="172">
        <v>46201</v>
      </c>
      <c r="F575" s="173" t="s">
        <v>2537</v>
      </c>
      <c r="G575" s="174" t="s">
        <v>335</v>
      </c>
      <c r="H575" s="175">
        <v>13800</v>
      </c>
      <c r="I575" s="175">
        <v>31320</v>
      </c>
      <c r="J575" s="175">
        <v>17520</v>
      </c>
    </row>
    <row r="576" spans="1:10" x14ac:dyDescent="0.3">
      <c r="A576" s="171">
        <v>572</v>
      </c>
      <c r="B576" s="171" t="s">
        <v>2538</v>
      </c>
      <c r="C576" s="172">
        <v>46201</v>
      </c>
      <c r="D576" s="173" t="s">
        <v>2539</v>
      </c>
      <c r="E576" s="172">
        <v>46201</v>
      </c>
      <c r="F576" s="173" t="s">
        <v>2540</v>
      </c>
      <c r="G576" s="174" t="s">
        <v>842</v>
      </c>
      <c r="H576" s="175">
        <v>14110</v>
      </c>
      <c r="I576" s="175">
        <v>34490</v>
      </c>
      <c r="J576" s="175">
        <v>20380</v>
      </c>
    </row>
    <row r="577" spans="1:10" x14ac:dyDescent="0.3">
      <c r="A577" s="171">
        <v>573</v>
      </c>
      <c r="B577" s="171" t="s">
        <v>2541</v>
      </c>
      <c r="C577" s="172">
        <v>46201</v>
      </c>
      <c r="D577" s="173" t="s">
        <v>2542</v>
      </c>
      <c r="E577" s="172">
        <v>46201</v>
      </c>
      <c r="F577" s="173" t="s">
        <v>2543</v>
      </c>
      <c r="G577" s="174" t="s">
        <v>537</v>
      </c>
      <c r="H577" s="175">
        <v>13890</v>
      </c>
      <c r="I577" s="175">
        <v>34490</v>
      </c>
      <c r="J577" s="175">
        <v>20600</v>
      </c>
    </row>
    <row r="578" spans="1:10" x14ac:dyDescent="0.3">
      <c r="A578" s="171">
        <v>574</v>
      </c>
      <c r="B578" s="171" t="s">
        <v>2544</v>
      </c>
      <c r="C578" s="172">
        <v>46201</v>
      </c>
      <c r="D578" s="173" t="s">
        <v>2545</v>
      </c>
      <c r="E578" s="172">
        <v>46201</v>
      </c>
      <c r="F578" s="173" t="s">
        <v>1246</v>
      </c>
      <c r="G578" s="174" t="s">
        <v>839</v>
      </c>
      <c r="H578" s="175">
        <v>13740</v>
      </c>
      <c r="I578" s="175">
        <v>33740</v>
      </c>
      <c r="J578" s="175">
        <v>20000</v>
      </c>
    </row>
    <row r="579" spans="1:10" x14ac:dyDescent="0.3">
      <c r="A579" s="171">
        <v>575</v>
      </c>
      <c r="B579" s="171" t="s">
        <v>2546</v>
      </c>
      <c r="C579" s="172">
        <v>46201</v>
      </c>
      <c r="D579" s="173" t="s">
        <v>2547</v>
      </c>
      <c r="E579" s="172">
        <v>46201</v>
      </c>
      <c r="F579" s="173" t="s">
        <v>2548</v>
      </c>
      <c r="G579" s="174" t="s">
        <v>844</v>
      </c>
      <c r="H579" s="175">
        <v>13940</v>
      </c>
      <c r="I579" s="175">
        <v>32780</v>
      </c>
      <c r="J579" s="175">
        <v>18840</v>
      </c>
    </row>
    <row r="580" spans="1:10" x14ac:dyDescent="0.3">
      <c r="A580" s="171">
        <v>576</v>
      </c>
      <c r="B580" s="171" t="s">
        <v>2549</v>
      </c>
      <c r="C580" s="172">
        <v>46201</v>
      </c>
      <c r="D580" s="173" t="s">
        <v>2550</v>
      </c>
      <c r="E580" s="172">
        <v>46201</v>
      </c>
      <c r="F580" s="173" t="s">
        <v>2551</v>
      </c>
      <c r="G580" s="174" t="s">
        <v>71</v>
      </c>
      <c r="H580" s="175">
        <v>13890</v>
      </c>
      <c r="I580" s="175">
        <v>33610</v>
      </c>
      <c r="J580" s="175">
        <v>19720</v>
      </c>
    </row>
    <row r="581" spans="1:10" x14ac:dyDescent="0.3">
      <c r="A581" s="171">
        <v>577</v>
      </c>
      <c r="B581" s="171" t="s">
        <v>2552</v>
      </c>
      <c r="C581" s="172">
        <v>46201</v>
      </c>
      <c r="D581" s="173" t="s">
        <v>2553</v>
      </c>
      <c r="E581" s="172">
        <v>46201</v>
      </c>
      <c r="F581" s="173" t="s">
        <v>2554</v>
      </c>
      <c r="G581" s="174" t="s">
        <v>336</v>
      </c>
      <c r="H581" s="175">
        <v>13910</v>
      </c>
      <c r="I581" s="175">
        <v>32640</v>
      </c>
      <c r="J581" s="175">
        <v>18730</v>
      </c>
    </row>
    <row r="582" spans="1:10" x14ac:dyDescent="0.3">
      <c r="A582" s="171">
        <v>578</v>
      </c>
      <c r="B582" s="171" t="s">
        <v>2555</v>
      </c>
      <c r="C582" s="172">
        <v>46201</v>
      </c>
      <c r="D582" s="173" t="s">
        <v>2556</v>
      </c>
      <c r="E582" s="172">
        <v>46201</v>
      </c>
      <c r="F582" s="173" t="s">
        <v>2557</v>
      </c>
      <c r="G582" s="174" t="s">
        <v>90</v>
      </c>
      <c r="H582" s="175">
        <v>13990</v>
      </c>
      <c r="I582" s="175">
        <v>32640</v>
      </c>
      <c r="J582" s="175">
        <v>18650</v>
      </c>
    </row>
    <row r="583" spans="1:10" x14ac:dyDescent="0.3">
      <c r="A583" s="171">
        <v>579</v>
      </c>
      <c r="B583" s="171" t="s">
        <v>2558</v>
      </c>
      <c r="C583" s="172">
        <v>46201</v>
      </c>
      <c r="D583" s="173" t="s">
        <v>2559</v>
      </c>
      <c r="E583" s="172">
        <v>46201</v>
      </c>
      <c r="F583" s="173" t="s">
        <v>2560</v>
      </c>
      <c r="G583" s="174" t="s">
        <v>43</v>
      </c>
      <c r="H583" s="175">
        <v>14100</v>
      </c>
      <c r="I583" s="175">
        <v>33260</v>
      </c>
      <c r="J583" s="175">
        <v>19160</v>
      </c>
    </row>
    <row r="584" spans="1:10" x14ac:dyDescent="0.3">
      <c r="A584" s="171">
        <v>580</v>
      </c>
      <c r="B584" s="171" t="s">
        <v>2561</v>
      </c>
      <c r="C584" s="172">
        <v>46201</v>
      </c>
      <c r="D584" s="173" t="s">
        <v>2562</v>
      </c>
      <c r="E584" s="172">
        <v>46201</v>
      </c>
      <c r="F584" s="173" t="s">
        <v>2563</v>
      </c>
      <c r="G584" s="174" t="s">
        <v>55</v>
      </c>
      <c r="H584" s="175">
        <v>13830</v>
      </c>
      <c r="I584" s="175">
        <v>32570</v>
      </c>
      <c r="J584" s="175">
        <v>18740</v>
      </c>
    </row>
    <row r="585" spans="1:10" x14ac:dyDescent="0.3">
      <c r="A585" s="171">
        <v>581</v>
      </c>
      <c r="B585" s="171" t="s">
        <v>2564</v>
      </c>
      <c r="C585" s="172">
        <v>46201</v>
      </c>
      <c r="D585" s="173" t="s">
        <v>2565</v>
      </c>
      <c r="E585" s="172">
        <v>46201</v>
      </c>
      <c r="F585" s="173" t="s">
        <v>2566</v>
      </c>
      <c r="G585" s="174" t="s">
        <v>337</v>
      </c>
      <c r="H585" s="175">
        <v>13890</v>
      </c>
      <c r="I585" s="175">
        <v>31780</v>
      </c>
      <c r="J585" s="175">
        <v>17890</v>
      </c>
    </row>
    <row r="586" spans="1:10" x14ac:dyDescent="0.3">
      <c r="A586" s="171">
        <v>582</v>
      </c>
      <c r="B586" s="171" t="s">
        <v>2567</v>
      </c>
      <c r="C586" s="172">
        <v>46201</v>
      </c>
      <c r="D586" s="173" t="s">
        <v>2568</v>
      </c>
      <c r="E586" s="172">
        <v>46201</v>
      </c>
      <c r="F586" s="173" t="s">
        <v>2569</v>
      </c>
      <c r="G586" s="174" t="s">
        <v>143</v>
      </c>
      <c r="H586" s="175">
        <v>13780</v>
      </c>
      <c r="I586" s="175">
        <v>31950</v>
      </c>
      <c r="J586" s="175">
        <v>18170</v>
      </c>
    </row>
    <row r="587" spans="1:10" x14ac:dyDescent="0.3">
      <c r="A587" s="171">
        <v>583</v>
      </c>
      <c r="B587" s="171" t="s">
        <v>2570</v>
      </c>
      <c r="C587" s="172">
        <v>46201</v>
      </c>
      <c r="D587" s="173" t="s">
        <v>2571</v>
      </c>
      <c r="E587" s="172">
        <v>46201</v>
      </c>
      <c r="F587" s="173" t="s">
        <v>2572</v>
      </c>
      <c r="G587" s="174" t="s">
        <v>64</v>
      </c>
      <c r="H587" s="175">
        <v>13910</v>
      </c>
      <c r="I587" s="175">
        <v>33830</v>
      </c>
      <c r="J587" s="175">
        <v>19920</v>
      </c>
    </row>
    <row r="588" spans="1:10" x14ac:dyDescent="0.3">
      <c r="A588" s="171">
        <v>584</v>
      </c>
      <c r="B588" s="171" t="s">
        <v>2573</v>
      </c>
      <c r="C588" s="172">
        <v>46201</v>
      </c>
      <c r="D588" s="173" t="s">
        <v>2574</v>
      </c>
      <c r="E588" s="172">
        <v>46201</v>
      </c>
      <c r="F588" s="173" t="s">
        <v>2575</v>
      </c>
      <c r="G588" s="174" t="s">
        <v>85</v>
      </c>
      <c r="H588" s="175">
        <v>13880</v>
      </c>
      <c r="I588" s="175">
        <v>32560</v>
      </c>
      <c r="J588" s="175">
        <v>18680</v>
      </c>
    </row>
    <row r="589" spans="1:10" x14ac:dyDescent="0.3">
      <c r="A589" s="171">
        <v>585</v>
      </c>
      <c r="B589" s="171" t="s">
        <v>2576</v>
      </c>
      <c r="C589" s="172">
        <v>46201</v>
      </c>
      <c r="D589" s="173" t="s">
        <v>2577</v>
      </c>
      <c r="E589" s="172">
        <v>46201</v>
      </c>
      <c r="F589" s="173" t="s">
        <v>2578</v>
      </c>
      <c r="G589" s="174" t="s">
        <v>80</v>
      </c>
      <c r="H589" s="175">
        <v>13830</v>
      </c>
      <c r="I589" s="175">
        <v>32860</v>
      </c>
      <c r="J589" s="175">
        <v>19030</v>
      </c>
    </row>
    <row r="590" spans="1:10" x14ac:dyDescent="0.3">
      <c r="A590" s="171">
        <v>586</v>
      </c>
      <c r="B590" s="171" t="s">
        <v>2579</v>
      </c>
      <c r="C590" s="172">
        <v>46201</v>
      </c>
      <c r="D590" s="173" t="s">
        <v>2580</v>
      </c>
      <c r="E590" s="172">
        <v>46201</v>
      </c>
      <c r="F590" s="173" t="s">
        <v>2581</v>
      </c>
      <c r="G590" s="174" t="s">
        <v>335</v>
      </c>
      <c r="H590" s="175">
        <v>13800</v>
      </c>
      <c r="I590" s="175">
        <v>32370</v>
      </c>
      <c r="J590" s="175">
        <v>18570</v>
      </c>
    </row>
    <row r="591" spans="1:10" x14ac:dyDescent="0.3">
      <c r="A591" s="171">
        <v>587</v>
      </c>
      <c r="B591" s="171" t="s">
        <v>2582</v>
      </c>
      <c r="C591" s="172">
        <v>46201</v>
      </c>
      <c r="D591" s="173" t="s">
        <v>2583</v>
      </c>
      <c r="E591" s="172">
        <v>46201</v>
      </c>
      <c r="F591" s="173" t="s">
        <v>2584</v>
      </c>
      <c r="G591" s="174" t="s">
        <v>842</v>
      </c>
      <c r="H591" s="175">
        <v>14030</v>
      </c>
      <c r="I591" s="175">
        <v>33040</v>
      </c>
      <c r="J591" s="175">
        <v>19010</v>
      </c>
    </row>
    <row r="592" spans="1:10" x14ac:dyDescent="0.3">
      <c r="A592" s="171">
        <v>588</v>
      </c>
      <c r="B592" s="171" t="s">
        <v>2585</v>
      </c>
      <c r="C592" s="172">
        <v>46201</v>
      </c>
      <c r="D592" s="173" t="s">
        <v>2586</v>
      </c>
      <c r="E592" s="172">
        <v>46201</v>
      </c>
      <c r="F592" s="173" t="s">
        <v>2587</v>
      </c>
      <c r="G592" s="174" t="s">
        <v>537</v>
      </c>
      <c r="H592" s="175">
        <v>13830</v>
      </c>
      <c r="I592" s="175">
        <v>33140</v>
      </c>
      <c r="J592" s="175">
        <v>19310</v>
      </c>
    </row>
    <row r="593" spans="1:10" x14ac:dyDescent="0.3">
      <c r="A593" s="171">
        <v>589</v>
      </c>
      <c r="B593" s="171" t="s">
        <v>2588</v>
      </c>
      <c r="C593" s="172">
        <v>46201</v>
      </c>
      <c r="D593" s="173" t="s">
        <v>2589</v>
      </c>
      <c r="E593" s="172">
        <v>46201</v>
      </c>
      <c r="F593" s="173" t="s">
        <v>2590</v>
      </c>
      <c r="G593" s="174" t="s">
        <v>336</v>
      </c>
      <c r="H593" s="175">
        <v>13860</v>
      </c>
      <c r="I593" s="175">
        <v>34200</v>
      </c>
      <c r="J593" s="175">
        <v>20340</v>
      </c>
    </row>
    <row r="594" spans="1:10" x14ac:dyDescent="0.3">
      <c r="A594" s="171">
        <v>590</v>
      </c>
      <c r="B594" s="171" t="s">
        <v>2591</v>
      </c>
      <c r="C594" s="172">
        <v>46201</v>
      </c>
      <c r="D594" s="173" t="s">
        <v>2592</v>
      </c>
      <c r="E594" s="172">
        <v>46201</v>
      </c>
      <c r="F594" s="173" t="s">
        <v>2593</v>
      </c>
      <c r="G594" s="174" t="s">
        <v>844</v>
      </c>
      <c r="H594" s="175">
        <v>13960</v>
      </c>
      <c r="I594" s="175">
        <v>32750</v>
      </c>
      <c r="J594" s="175">
        <v>18790</v>
      </c>
    </row>
    <row r="595" spans="1:10" x14ac:dyDescent="0.3">
      <c r="A595" s="171">
        <v>591</v>
      </c>
      <c r="B595" s="171" t="s">
        <v>2594</v>
      </c>
      <c r="C595" s="172">
        <v>46201</v>
      </c>
      <c r="D595" s="173" t="s">
        <v>2595</v>
      </c>
      <c r="E595" s="172">
        <v>46201</v>
      </c>
      <c r="F595" s="173" t="s">
        <v>2596</v>
      </c>
      <c r="G595" s="174" t="s">
        <v>90</v>
      </c>
      <c r="H595" s="175">
        <v>14000</v>
      </c>
      <c r="I595" s="175">
        <v>32620</v>
      </c>
      <c r="J595" s="175">
        <v>18620</v>
      </c>
    </row>
    <row r="596" spans="1:10" x14ac:dyDescent="0.3">
      <c r="A596" s="171">
        <v>592</v>
      </c>
      <c r="B596" s="171" t="s">
        <v>2597</v>
      </c>
      <c r="C596" s="172">
        <v>46201</v>
      </c>
      <c r="D596" s="173" t="s">
        <v>2598</v>
      </c>
      <c r="E596" s="172">
        <v>46201</v>
      </c>
      <c r="F596" s="173" t="s">
        <v>758</v>
      </c>
      <c r="G596" s="174" t="s">
        <v>55</v>
      </c>
      <c r="H596" s="175">
        <v>13860</v>
      </c>
      <c r="I596" s="175">
        <v>34610</v>
      </c>
      <c r="J596" s="175">
        <v>20750</v>
      </c>
    </row>
    <row r="597" spans="1:10" x14ac:dyDescent="0.3">
      <c r="A597" s="171">
        <v>593</v>
      </c>
      <c r="B597" s="171" t="s">
        <v>2599</v>
      </c>
      <c r="C597" s="172">
        <v>46201</v>
      </c>
      <c r="D597" s="173" t="s">
        <v>2600</v>
      </c>
      <c r="E597" s="172">
        <v>46201</v>
      </c>
      <c r="F597" s="173" t="s">
        <v>531</v>
      </c>
      <c r="G597" s="174" t="s">
        <v>337</v>
      </c>
      <c r="H597" s="175">
        <v>13790</v>
      </c>
      <c r="I597" s="175">
        <v>32660</v>
      </c>
      <c r="J597" s="175">
        <v>18870</v>
      </c>
    </row>
    <row r="598" spans="1:10" x14ac:dyDescent="0.3">
      <c r="A598" s="171">
        <v>594</v>
      </c>
      <c r="B598" s="171" t="s">
        <v>2601</v>
      </c>
      <c r="C598" s="172">
        <v>46201</v>
      </c>
      <c r="D598" s="173" t="s">
        <v>2602</v>
      </c>
      <c r="E598" s="172">
        <v>46201</v>
      </c>
      <c r="F598" s="173" t="s">
        <v>2603</v>
      </c>
      <c r="G598" s="174" t="s">
        <v>143</v>
      </c>
      <c r="H598" s="175">
        <v>13910</v>
      </c>
      <c r="I598" s="175">
        <v>32110</v>
      </c>
      <c r="J598" s="175">
        <v>18200</v>
      </c>
    </row>
    <row r="599" spans="1:10" x14ac:dyDescent="0.3">
      <c r="A599" s="171">
        <v>595</v>
      </c>
      <c r="B599" s="171" t="s">
        <v>2604</v>
      </c>
      <c r="C599" s="172">
        <v>46201</v>
      </c>
      <c r="D599" s="173" t="s">
        <v>2605</v>
      </c>
      <c r="E599" s="172">
        <v>46201</v>
      </c>
      <c r="F599" s="173" t="s">
        <v>2606</v>
      </c>
      <c r="G599" s="174" t="s">
        <v>844</v>
      </c>
      <c r="H599" s="175">
        <v>13960</v>
      </c>
      <c r="I599" s="175">
        <v>32820</v>
      </c>
      <c r="J599" s="175">
        <v>18860</v>
      </c>
    </row>
    <row r="600" spans="1:10" x14ac:dyDescent="0.3">
      <c r="A600" s="171">
        <v>596</v>
      </c>
      <c r="B600" s="171" t="s">
        <v>2607</v>
      </c>
      <c r="C600" s="172">
        <v>46201</v>
      </c>
      <c r="D600" s="173" t="s">
        <v>2608</v>
      </c>
      <c r="E600" s="172">
        <v>46201</v>
      </c>
      <c r="F600" s="173"/>
      <c r="G600" s="174" t="s">
        <v>64</v>
      </c>
      <c r="H600" s="175">
        <v>14080</v>
      </c>
      <c r="I600" s="175">
        <v>33720</v>
      </c>
      <c r="J600" s="175">
        <v>19640</v>
      </c>
    </row>
    <row r="601" spans="1:10" x14ac:dyDescent="0.3">
      <c r="A601" s="171">
        <v>597</v>
      </c>
      <c r="B601" s="171" t="s">
        <v>2609</v>
      </c>
      <c r="C601" s="172">
        <v>46201</v>
      </c>
      <c r="D601" s="173" t="s">
        <v>2610</v>
      </c>
      <c r="E601" s="172">
        <v>46201</v>
      </c>
      <c r="F601" s="173"/>
      <c r="G601" s="174" t="s">
        <v>85</v>
      </c>
      <c r="H601" s="175">
        <v>13960</v>
      </c>
      <c r="I601" s="175">
        <v>31720</v>
      </c>
      <c r="J601" s="175">
        <v>17760</v>
      </c>
    </row>
    <row r="602" spans="1:10" x14ac:dyDescent="0.3">
      <c r="A602" s="171">
        <v>598</v>
      </c>
      <c r="B602" s="171" t="s">
        <v>2611</v>
      </c>
      <c r="C602" s="172">
        <v>46201</v>
      </c>
      <c r="D602" s="173" t="s">
        <v>2612</v>
      </c>
      <c r="E602" s="172">
        <v>46201</v>
      </c>
      <c r="F602" s="173"/>
      <c r="G602" s="174" t="s">
        <v>335</v>
      </c>
      <c r="H602" s="175">
        <v>13910</v>
      </c>
      <c r="I602" s="175">
        <v>32240</v>
      </c>
      <c r="J602" s="175">
        <v>18330</v>
      </c>
    </row>
    <row r="603" spans="1:10" x14ac:dyDescent="0.3">
      <c r="A603" s="171">
        <v>599</v>
      </c>
      <c r="B603" s="171" t="s">
        <v>2613</v>
      </c>
      <c r="C603" s="172">
        <v>46201</v>
      </c>
      <c r="D603" s="173" t="s">
        <v>2614</v>
      </c>
      <c r="E603" s="172">
        <v>46201</v>
      </c>
      <c r="F603" s="173"/>
      <c r="G603" s="174" t="s">
        <v>80</v>
      </c>
      <c r="H603" s="175">
        <v>14030</v>
      </c>
      <c r="I603" s="175">
        <v>33110</v>
      </c>
      <c r="J603" s="175">
        <v>19080</v>
      </c>
    </row>
    <row r="604" spans="1:10" x14ac:dyDescent="0.3">
      <c r="A604" s="171">
        <v>600</v>
      </c>
      <c r="B604" s="171" t="s">
        <v>2615</v>
      </c>
      <c r="C604" s="172">
        <v>46202</v>
      </c>
      <c r="D604" s="173" t="s">
        <v>2616</v>
      </c>
      <c r="E604" s="172">
        <v>46202</v>
      </c>
      <c r="F604" s="173" t="s">
        <v>2617</v>
      </c>
      <c r="G604" s="174" t="s">
        <v>839</v>
      </c>
      <c r="H604" s="175">
        <v>14100</v>
      </c>
      <c r="I604" s="175">
        <v>34380</v>
      </c>
      <c r="J604" s="175">
        <v>20280</v>
      </c>
    </row>
    <row r="605" spans="1:10" x14ac:dyDescent="0.3">
      <c r="A605" s="171">
        <v>601</v>
      </c>
      <c r="B605" s="171" t="s">
        <v>2618</v>
      </c>
      <c r="C605" s="172">
        <v>46202</v>
      </c>
      <c r="D605" s="173" t="s">
        <v>2619</v>
      </c>
      <c r="E605" s="172">
        <v>46202</v>
      </c>
      <c r="F605" s="173" t="s">
        <v>2620</v>
      </c>
      <c r="G605" s="174" t="s">
        <v>71</v>
      </c>
      <c r="H605" s="175">
        <v>14060</v>
      </c>
      <c r="I605" s="175">
        <v>32850</v>
      </c>
      <c r="J605" s="175">
        <v>18790</v>
      </c>
    </row>
    <row r="606" spans="1:10" x14ac:dyDescent="0.3">
      <c r="A606" s="171">
        <v>602</v>
      </c>
      <c r="B606" s="171" t="s">
        <v>2621</v>
      </c>
      <c r="C606" s="172">
        <v>46202</v>
      </c>
      <c r="D606" s="173" t="s">
        <v>853</v>
      </c>
      <c r="E606" s="172">
        <v>46202</v>
      </c>
      <c r="F606" s="173" t="s">
        <v>2622</v>
      </c>
      <c r="G606" s="174" t="s">
        <v>43</v>
      </c>
      <c r="H606" s="175">
        <v>13970</v>
      </c>
      <c r="I606" s="175">
        <v>33030</v>
      </c>
      <c r="J606" s="175">
        <v>19060</v>
      </c>
    </row>
    <row r="607" spans="1:10" x14ac:dyDescent="0.3">
      <c r="A607" s="171">
        <v>603</v>
      </c>
      <c r="B607" s="171" t="s">
        <v>2623</v>
      </c>
      <c r="C607" s="172">
        <v>46202</v>
      </c>
      <c r="D607" s="173" t="s">
        <v>1599</v>
      </c>
      <c r="E607" s="172">
        <v>46202</v>
      </c>
      <c r="F607" s="173" t="s">
        <v>2624</v>
      </c>
      <c r="G607" s="174" t="s">
        <v>537</v>
      </c>
      <c r="H607" s="175">
        <v>13800</v>
      </c>
      <c r="I607" s="175">
        <v>32940</v>
      </c>
      <c r="J607" s="175">
        <v>19140</v>
      </c>
    </row>
    <row r="608" spans="1:10" x14ac:dyDescent="0.3">
      <c r="A608" s="171">
        <v>604</v>
      </c>
      <c r="B608" s="171" t="s">
        <v>2625</v>
      </c>
      <c r="C608" s="172">
        <v>46202</v>
      </c>
      <c r="D608" s="173" t="s">
        <v>2626</v>
      </c>
      <c r="E608" s="172">
        <v>46202</v>
      </c>
      <c r="F608" s="173" t="s">
        <v>2627</v>
      </c>
      <c r="G608" s="174" t="s">
        <v>336</v>
      </c>
      <c r="H608" s="175">
        <v>13710</v>
      </c>
      <c r="I608" s="175">
        <v>32570</v>
      </c>
      <c r="J608" s="175">
        <v>18860</v>
      </c>
    </row>
    <row r="609" spans="1:10" x14ac:dyDescent="0.3">
      <c r="A609" s="171">
        <v>605</v>
      </c>
      <c r="B609" s="171" t="s">
        <v>2628</v>
      </c>
      <c r="C609" s="172">
        <v>46202</v>
      </c>
      <c r="D609" s="173" t="s">
        <v>2629</v>
      </c>
      <c r="E609" s="172">
        <v>46202</v>
      </c>
      <c r="F609" s="173" t="s">
        <v>2630</v>
      </c>
      <c r="G609" s="174" t="s">
        <v>90</v>
      </c>
      <c r="H609" s="175">
        <v>13920</v>
      </c>
      <c r="I609" s="175">
        <v>33790</v>
      </c>
      <c r="J609" s="175">
        <v>19870</v>
      </c>
    </row>
    <row r="610" spans="1:10" x14ac:dyDescent="0.3">
      <c r="A610" s="171">
        <v>606</v>
      </c>
      <c r="B610" s="171" t="s">
        <v>2631</v>
      </c>
      <c r="C610" s="172">
        <v>46202</v>
      </c>
      <c r="D610" s="173" t="s">
        <v>2632</v>
      </c>
      <c r="E610" s="172">
        <v>46202</v>
      </c>
      <c r="F610" s="173" t="s">
        <v>2633</v>
      </c>
      <c r="G610" s="174" t="s">
        <v>80</v>
      </c>
      <c r="H610" s="175">
        <v>14190</v>
      </c>
      <c r="I610" s="175">
        <v>32890</v>
      </c>
      <c r="J610" s="175">
        <v>18700</v>
      </c>
    </row>
    <row r="611" spans="1:10" x14ac:dyDescent="0.3">
      <c r="A611" s="171">
        <v>607</v>
      </c>
      <c r="B611" s="171" t="s">
        <v>2634</v>
      </c>
      <c r="C611" s="172">
        <v>46202</v>
      </c>
      <c r="D611" s="173" t="s">
        <v>2635</v>
      </c>
      <c r="E611" s="172">
        <v>46202</v>
      </c>
      <c r="F611" s="173" t="s">
        <v>2636</v>
      </c>
      <c r="G611" s="174" t="s">
        <v>64</v>
      </c>
      <c r="H611" s="175">
        <v>13860</v>
      </c>
      <c r="I611" s="175">
        <v>33320</v>
      </c>
      <c r="J611" s="175">
        <v>19460</v>
      </c>
    </row>
    <row r="612" spans="1:10" x14ac:dyDescent="0.3">
      <c r="A612" s="171">
        <v>608</v>
      </c>
      <c r="B612" s="171" t="s">
        <v>2637</v>
      </c>
      <c r="C612" s="172">
        <v>46202</v>
      </c>
      <c r="D612" s="173" t="s">
        <v>2638</v>
      </c>
      <c r="E612" s="172">
        <v>46202</v>
      </c>
      <c r="F612" s="173" t="s">
        <v>2639</v>
      </c>
      <c r="G612" s="174" t="s">
        <v>842</v>
      </c>
      <c r="H612" s="175">
        <v>14030</v>
      </c>
      <c r="I612" s="175">
        <v>34330</v>
      </c>
      <c r="J612" s="175">
        <v>20300</v>
      </c>
    </row>
    <row r="613" spans="1:10" x14ac:dyDescent="0.3">
      <c r="A613" s="171">
        <v>609</v>
      </c>
      <c r="B613" s="171" t="s">
        <v>2640</v>
      </c>
      <c r="C613" s="172">
        <v>46202</v>
      </c>
      <c r="D613" s="173" t="s">
        <v>2641</v>
      </c>
      <c r="E613" s="172">
        <v>46202</v>
      </c>
      <c r="F613" s="173" t="s">
        <v>2642</v>
      </c>
      <c r="G613" s="174" t="s">
        <v>55</v>
      </c>
      <c r="H613" s="175">
        <v>13730</v>
      </c>
      <c r="I613" s="175">
        <v>32980</v>
      </c>
      <c r="J613" s="175">
        <v>19250</v>
      </c>
    </row>
    <row r="614" spans="1:10" x14ac:dyDescent="0.3">
      <c r="A614" s="171">
        <v>610</v>
      </c>
      <c r="B614" s="171" t="s">
        <v>2643</v>
      </c>
      <c r="C614" s="172">
        <v>46202</v>
      </c>
      <c r="D614" s="173" t="s">
        <v>2644</v>
      </c>
      <c r="E614" s="172">
        <v>46202</v>
      </c>
      <c r="F614" s="173" t="s">
        <v>2645</v>
      </c>
      <c r="G614" s="174" t="s">
        <v>335</v>
      </c>
      <c r="H614" s="175">
        <v>13730</v>
      </c>
      <c r="I614" s="175">
        <v>33010</v>
      </c>
      <c r="J614" s="175">
        <v>19280</v>
      </c>
    </row>
    <row r="615" spans="1:10" x14ac:dyDescent="0.3">
      <c r="A615" s="171">
        <v>611</v>
      </c>
      <c r="B615" s="171" t="s">
        <v>2646</v>
      </c>
      <c r="C615" s="172">
        <v>46202</v>
      </c>
      <c r="D615" s="173" t="s">
        <v>2647</v>
      </c>
      <c r="E615" s="172">
        <v>46202</v>
      </c>
      <c r="F615" s="173" t="s">
        <v>2648</v>
      </c>
      <c r="G615" s="174" t="s">
        <v>337</v>
      </c>
      <c r="H615" s="175">
        <v>13730</v>
      </c>
      <c r="I615" s="175">
        <v>32010</v>
      </c>
      <c r="J615" s="175">
        <v>18280</v>
      </c>
    </row>
    <row r="616" spans="1:10" x14ac:dyDescent="0.3">
      <c r="A616" s="171">
        <v>612</v>
      </c>
      <c r="B616" s="171" t="s">
        <v>2649</v>
      </c>
      <c r="C616" s="172">
        <v>46202</v>
      </c>
      <c r="D616" s="173" t="s">
        <v>898</v>
      </c>
      <c r="E616" s="172">
        <v>46202</v>
      </c>
      <c r="F616" s="173" t="s">
        <v>2650</v>
      </c>
      <c r="G616" s="174" t="s">
        <v>85</v>
      </c>
      <c r="H616" s="175">
        <v>13810</v>
      </c>
      <c r="I616" s="175">
        <v>32760</v>
      </c>
      <c r="J616" s="175">
        <v>18950</v>
      </c>
    </row>
    <row r="617" spans="1:10" x14ac:dyDescent="0.3">
      <c r="A617" s="171">
        <v>613</v>
      </c>
      <c r="B617" s="171" t="s">
        <v>2651</v>
      </c>
      <c r="C617" s="172">
        <v>46202</v>
      </c>
      <c r="D617" s="173" t="s">
        <v>2652</v>
      </c>
      <c r="E617" s="172">
        <v>46202</v>
      </c>
      <c r="F617" s="173" t="s">
        <v>2653</v>
      </c>
      <c r="G617" s="174" t="s">
        <v>143</v>
      </c>
      <c r="H617" s="175">
        <v>13760</v>
      </c>
      <c r="I617" s="175">
        <v>33840</v>
      </c>
      <c r="J617" s="175">
        <v>20080</v>
      </c>
    </row>
    <row r="618" spans="1:10" x14ac:dyDescent="0.3">
      <c r="A618" s="171">
        <v>614</v>
      </c>
      <c r="B618" s="171" t="s">
        <v>2654</v>
      </c>
      <c r="C618" s="172">
        <v>46202</v>
      </c>
      <c r="D618" s="173" t="s">
        <v>1133</v>
      </c>
      <c r="E618" s="172">
        <v>46202</v>
      </c>
      <c r="F618" s="173" t="s">
        <v>2655</v>
      </c>
      <c r="G618" s="174" t="s">
        <v>844</v>
      </c>
      <c r="H618" s="175">
        <v>13970</v>
      </c>
      <c r="I618" s="175">
        <v>34900</v>
      </c>
      <c r="J618" s="175">
        <v>20930</v>
      </c>
    </row>
    <row r="619" spans="1:10" x14ac:dyDescent="0.3">
      <c r="A619" s="171">
        <v>615</v>
      </c>
      <c r="B619" s="171" t="s">
        <v>2656</v>
      </c>
      <c r="C619" s="172">
        <v>46202</v>
      </c>
      <c r="D619" s="173" t="s">
        <v>2657</v>
      </c>
      <c r="E619" s="172">
        <v>46202</v>
      </c>
      <c r="F619" s="173" t="s">
        <v>2658</v>
      </c>
      <c r="G619" s="174" t="s">
        <v>839</v>
      </c>
      <c r="H619" s="175">
        <v>14030</v>
      </c>
      <c r="I619" s="175">
        <v>34460</v>
      </c>
      <c r="J619" s="175">
        <v>20430</v>
      </c>
    </row>
    <row r="620" spans="1:10" x14ac:dyDescent="0.3">
      <c r="A620" s="171">
        <v>616</v>
      </c>
      <c r="B620" s="171" t="s">
        <v>2659</v>
      </c>
      <c r="C620" s="172">
        <v>46202</v>
      </c>
      <c r="D620" s="173" t="s">
        <v>2660</v>
      </c>
      <c r="E620" s="172">
        <v>46202</v>
      </c>
      <c r="F620" s="173" t="s">
        <v>2661</v>
      </c>
      <c r="G620" s="174" t="s">
        <v>71</v>
      </c>
      <c r="H620" s="175">
        <v>14010</v>
      </c>
      <c r="I620" s="175">
        <v>34180</v>
      </c>
      <c r="J620" s="175">
        <v>20170</v>
      </c>
    </row>
    <row r="621" spans="1:10" x14ac:dyDescent="0.3">
      <c r="A621" s="171">
        <v>617</v>
      </c>
      <c r="B621" s="171" t="s">
        <v>2662</v>
      </c>
      <c r="C621" s="172">
        <v>46202</v>
      </c>
      <c r="D621" s="173" t="s">
        <v>2663</v>
      </c>
      <c r="E621" s="172">
        <v>46202</v>
      </c>
      <c r="F621" s="173" t="s">
        <v>2664</v>
      </c>
      <c r="G621" s="174" t="s">
        <v>43</v>
      </c>
      <c r="H621" s="175">
        <v>13950</v>
      </c>
      <c r="I621" s="175">
        <v>32580</v>
      </c>
      <c r="J621" s="175">
        <v>18630</v>
      </c>
    </row>
    <row r="622" spans="1:10" x14ac:dyDescent="0.3">
      <c r="A622" s="171">
        <v>618</v>
      </c>
      <c r="B622" s="171" t="s">
        <v>2665</v>
      </c>
      <c r="C622" s="172">
        <v>46202</v>
      </c>
      <c r="D622" s="173" t="s">
        <v>2666</v>
      </c>
      <c r="E622" s="172">
        <v>46202</v>
      </c>
      <c r="F622" s="173" t="s">
        <v>2667</v>
      </c>
      <c r="G622" s="174" t="s">
        <v>537</v>
      </c>
      <c r="H622" s="175">
        <v>13760</v>
      </c>
      <c r="I622" s="175">
        <v>33770</v>
      </c>
      <c r="J622" s="175">
        <v>20010</v>
      </c>
    </row>
    <row r="623" spans="1:10" x14ac:dyDescent="0.3">
      <c r="A623" s="171">
        <v>619</v>
      </c>
      <c r="B623" s="171" t="s">
        <v>2668</v>
      </c>
      <c r="C623" s="172">
        <v>46202</v>
      </c>
      <c r="D623" s="173" t="s">
        <v>2669</v>
      </c>
      <c r="E623" s="172">
        <v>46202</v>
      </c>
      <c r="F623" s="173" t="s">
        <v>2670</v>
      </c>
      <c r="G623" s="174" t="s">
        <v>336</v>
      </c>
      <c r="H623" s="175">
        <v>13660</v>
      </c>
      <c r="I623" s="175">
        <v>33740</v>
      </c>
      <c r="J623" s="175">
        <v>20080</v>
      </c>
    </row>
    <row r="624" spans="1:10" x14ac:dyDescent="0.3">
      <c r="A624" s="171">
        <v>620</v>
      </c>
      <c r="B624" s="171" t="s">
        <v>2671</v>
      </c>
      <c r="C624" s="172">
        <v>46202</v>
      </c>
      <c r="D624" s="173" t="s">
        <v>2672</v>
      </c>
      <c r="E624" s="172">
        <v>46202</v>
      </c>
      <c r="F624" s="173" t="s">
        <v>2673</v>
      </c>
      <c r="G624" s="174" t="s">
        <v>80</v>
      </c>
      <c r="H624" s="175">
        <v>14130</v>
      </c>
      <c r="I624" s="175">
        <v>33310</v>
      </c>
      <c r="J624" s="175">
        <v>19180</v>
      </c>
    </row>
    <row r="625" spans="1:10" x14ac:dyDescent="0.3">
      <c r="A625" s="171">
        <v>621</v>
      </c>
      <c r="B625" s="171" t="s">
        <v>2674</v>
      </c>
      <c r="C625" s="172">
        <v>46202</v>
      </c>
      <c r="D625" s="173" t="s">
        <v>2675</v>
      </c>
      <c r="E625" s="172">
        <v>46202</v>
      </c>
      <c r="F625" s="173" t="s">
        <v>2676</v>
      </c>
      <c r="G625" s="174" t="s">
        <v>64</v>
      </c>
      <c r="H625" s="175">
        <v>13790</v>
      </c>
      <c r="I625" s="175">
        <v>33030</v>
      </c>
      <c r="J625" s="175">
        <v>19240</v>
      </c>
    </row>
    <row r="626" spans="1:10" x14ac:dyDescent="0.3">
      <c r="A626" s="171">
        <v>622</v>
      </c>
      <c r="B626" s="171" t="s">
        <v>2677</v>
      </c>
      <c r="C626" s="172">
        <v>46202</v>
      </c>
      <c r="D626" s="173" t="s">
        <v>2678</v>
      </c>
      <c r="E626" s="172">
        <v>46202</v>
      </c>
      <c r="F626" s="173" t="s">
        <v>2679</v>
      </c>
      <c r="G626" s="174" t="s">
        <v>90</v>
      </c>
      <c r="H626" s="175">
        <v>13870</v>
      </c>
      <c r="I626" s="175">
        <v>33880</v>
      </c>
      <c r="J626" s="175">
        <v>20010</v>
      </c>
    </row>
    <row r="627" spans="1:10" x14ac:dyDescent="0.3">
      <c r="A627" s="171">
        <v>623</v>
      </c>
      <c r="B627" s="171" t="s">
        <v>2680</v>
      </c>
      <c r="C627" s="172">
        <v>46202</v>
      </c>
      <c r="D627" s="173" t="s">
        <v>2681</v>
      </c>
      <c r="E627" s="172">
        <v>46202</v>
      </c>
      <c r="F627" s="173" t="s">
        <v>2682</v>
      </c>
      <c r="G627" s="174" t="s">
        <v>842</v>
      </c>
      <c r="H627" s="175">
        <v>13980</v>
      </c>
      <c r="I627" s="175">
        <v>32670</v>
      </c>
      <c r="J627" s="175">
        <v>18690</v>
      </c>
    </row>
    <row r="628" spans="1:10" x14ac:dyDescent="0.3">
      <c r="A628" s="171">
        <v>624</v>
      </c>
      <c r="B628" s="171" t="s">
        <v>2683</v>
      </c>
      <c r="C628" s="172">
        <v>46202</v>
      </c>
      <c r="D628" s="173" t="s">
        <v>2684</v>
      </c>
      <c r="E628" s="172">
        <v>46202</v>
      </c>
      <c r="F628" s="173" t="s">
        <v>2685</v>
      </c>
      <c r="G628" s="174" t="s">
        <v>335</v>
      </c>
      <c r="H628" s="175">
        <v>13690</v>
      </c>
      <c r="I628" s="175">
        <v>31670</v>
      </c>
      <c r="J628" s="175">
        <v>17980</v>
      </c>
    </row>
    <row r="629" spans="1:10" x14ac:dyDescent="0.3">
      <c r="A629" s="171">
        <v>625</v>
      </c>
      <c r="B629" s="171" t="s">
        <v>2686</v>
      </c>
      <c r="C629" s="172">
        <v>46202</v>
      </c>
      <c r="D629" s="173" t="s">
        <v>2687</v>
      </c>
      <c r="E629" s="172">
        <v>46202</v>
      </c>
      <c r="F629" s="173" t="s">
        <v>2688</v>
      </c>
      <c r="G629" s="174" t="s">
        <v>55</v>
      </c>
      <c r="H629" s="175">
        <v>13690</v>
      </c>
      <c r="I629" s="175">
        <v>32460</v>
      </c>
      <c r="J629" s="175">
        <v>18770</v>
      </c>
    </row>
    <row r="630" spans="1:10" x14ac:dyDescent="0.3">
      <c r="A630" s="171">
        <v>626</v>
      </c>
      <c r="B630" s="171" t="s">
        <v>2689</v>
      </c>
      <c r="C630" s="172">
        <v>46202</v>
      </c>
      <c r="D630" s="173" t="s">
        <v>2690</v>
      </c>
      <c r="E630" s="172">
        <v>46202</v>
      </c>
      <c r="F630" s="173" t="s">
        <v>2691</v>
      </c>
      <c r="G630" s="174" t="s">
        <v>337</v>
      </c>
      <c r="H630" s="175">
        <v>13690</v>
      </c>
      <c r="I630" s="175">
        <v>34990</v>
      </c>
      <c r="J630" s="175">
        <v>21300</v>
      </c>
    </row>
    <row r="631" spans="1:10" x14ac:dyDescent="0.3">
      <c r="A631" s="171">
        <v>627</v>
      </c>
      <c r="B631" s="171" t="s">
        <v>2692</v>
      </c>
      <c r="C631" s="172">
        <v>46202</v>
      </c>
      <c r="D631" s="173" t="s">
        <v>870</v>
      </c>
      <c r="E631" s="172">
        <v>46202</v>
      </c>
      <c r="F631" s="173" t="s">
        <v>2693</v>
      </c>
      <c r="G631" s="174" t="s">
        <v>143</v>
      </c>
      <c r="H631" s="175">
        <v>13720</v>
      </c>
      <c r="I631" s="175">
        <v>33530</v>
      </c>
      <c r="J631" s="175">
        <v>19810</v>
      </c>
    </row>
    <row r="632" spans="1:10" x14ac:dyDescent="0.3">
      <c r="A632" s="171">
        <v>628</v>
      </c>
      <c r="B632" s="171" t="s">
        <v>2694</v>
      </c>
      <c r="C632" s="172">
        <v>46202</v>
      </c>
      <c r="D632" s="173" t="s">
        <v>873</v>
      </c>
      <c r="E632" s="172">
        <v>46202</v>
      </c>
      <c r="F632" s="173" t="s">
        <v>2695</v>
      </c>
      <c r="G632" s="174" t="s">
        <v>85</v>
      </c>
      <c r="H632" s="175">
        <v>13770</v>
      </c>
      <c r="I632" s="175">
        <v>33210</v>
      </c>
      <c r="J632" s="175">
        <v>19440</v>
      </c>
    </row>
    <row r="633" spans="1:10" x14ac:dyDescent="0.3">
      <c r="A633" s="171">
        <v>629</v>
      </c>
      <c r="B633" s="171" t="s">
        <v>2696</v>
      </c>
      <c r="C633" s="172">
        <v>46202</v>
      </c>
      <c r="D633" s="173" t="s">
        <v>2697</v>
      </c>
      <c r="E633" s="172">
        <v>46202</v>
      </c>
      <c r="F633" s="173" t="s">
        <v>2698</v>
      </c>
      <c r="G633" s="174" t="s">
        <v>844</v>
      </c>
      <c r="H633" s="175">
        <v>13870</v>
      </c>
      <c r="I633" s="175">
        <v>33990</v>
      </c>
      <c r="J633" s="175">
        <v>20120</v>
      </c>
    </row>
    <row r="634" spans="1:10" x14ac:dyDescent="0.3">
      <c r="A634" s="171">
        <v>630</v>
      </c>
      <c r="B634" s="171" t="s">
        <v>2699</v>
      </c>
      <c r="C634" s="172">
        <v>46202</v>
      </c>
      <c r="D634" s="173" t="s">
        <v>2700</v>
      </c>
      <c r="E634" s="172">
        <v>46202</v>
      </c>
      <c r="F634" s="173" t="s">
        <v>2701</v>
      </c>
      <c r="G634" s="174" t="s">
        <v>839</v>
      </c>
      <c r="H634" s="175">
        <v>14010</v>
      </c>
      <c r="I634" s="175">
        <v>34430</v>
      </c>
      <c r="J634" s="175">
        <v>20420</v>
      </c>
    </row>
    <row r="635" spans="1:10" x14ac:dyDescent="0.3">
      <c r="A635" s="171">
        <v>631</v>
      </c>
      <c r="B635" s="171" t="s">
        <v>2702</v>
      </c>
      <c r="C635" s="172">
        <v>46202</v>
      </c>
      <c r="D635" s="173" t="s">
        <v>2703</v>
      </c>
      <c r="E635" s="172">
        <v>46202</v>
      </c>
      <c r="F635" s="173" t="s">
        <v>2704</v>
      </c>
      <c r="G635" s="174" t="s">
        <v>71</v>
      </c>
      <c r="H635" s="175">
        <v>13980</v>
      </c>
      <c r="I635" s="175">
        <v>33970</v>
      </c>
      <c r="J635" s="175">
        <v>19990</v>
      </c>
    </row>
    <row r="636" spans="1:10" x14ac:dyDescent="0.3">
      <c r="A636" s="171">
        <v>632</v>
      </c>
      <c r="B636" s="171" t="s">
        <v>2705</v>
      </c>
      <c r="C636" s="172">
        <v>46202</v>
      </c>
      <c r="D636" s="173" t="s">
        <v>2706</v>
      </c>
      <c r="E636" s="172">
        <v>46202</v>
      </c>
      <c r="F636" s="173" t="s">
        <v>2707</v>
      </c>
      <c r="G636" s="174" t="s">
        <v>43</v>
      </c>
      <c r="H636" s="175">
        <v>13910</v>
      </c>
      <c r="I636" s="175">
        <v>30830</v>
      </c>
      <c r="J636" s="175">
        <v>16920</v>
      </c>
    </row>
    <row r="637" spans="1:10" x14ac:dyDescent="0.3">
      <c r="A637" s="171">
        <v>633</v>
      </c>
      <c r="B637" s="171" t="s">
        <v>2708</v>
      </c>
      <c r="C637" s="172">
        <v>46202</v>
      </c>
      <c r="D637" s="173" t="s">
        <v>2709</v>
      </c>
      <c r="E637" s="172">
        <v>46202</v>
      </c>
      <c r="F637" s="173" t="s">
        <v>2710</v>
      </c>
      <c r="G637" s="174" t="s">
        <v>537</v>
      </c>
      <c r="H637" s="175">
        <v>13780</v>
      </c>
      <c r="I637" s="175">
        <v>33650</v>
      </c>
      <c r="J637" s="175">
        <v>19870</v>
      </c>
    </row>
    <row r="638" spans="1:10" x14ac:dyDescent="0.3">
      <c r="A638" s="171">
        <v>634</v>
      </c>
      <c r="B638" s="171" t="s">
        <v>2711</v>
      </c>
      <c r="C638" s="172">
        <v>46202</v>
      </c>
      <c r="D638" s="173" t="s">
        <v>2712</v>
      </c>
      <c r="E638" s="172">
        <v>46202</v>
      </c>
      <c r="F638" s="173" t="s">
        <v>2713</v>
      </c>
      <c r="G638" s="174" t="s">
        <v>336</v>
      </c>
      <c r="H638" s="175">
        <v>13640</v>
      </c>
      <c r="I638" s="175">
        <v>32040</v>
      </c>
      <c r="J638" s="175">
        <v>18400</v>
      </c>
    </row>
    <row r="639" spans="1:10" x14ac:dyDescent="0.3">
      <c r="A639" s="171">
        <v>635</v>
      </c>
      <c r="B639" s="171" t="s">
        <v>2714</v>
      </c>
      <c r="C639" s="172">
        <v>46202</v>
      </c>
      <c r="D639" s="173" t="s">
        <v>2715</v>
      </c>
      <c r="E639" s="172">
        <v>46202</v>
      </c>
      <c r="F639" s="173" t="s">
        <v>2716</v>
      </c>
      <c r="G639" s="174" t="s">
        <v>80</v>
      </c>
      <c r="H639" s="175">
        <v>14100</v>
      </c>
      <c r="I639" s="175">
        <v>32820</v>
      </c>
      <c r="J639" s="175">
        <v>18720</v>
      </c>
    </row>
    <row r="640" spans="1:10" x14ac:dyDescent="0.3">
      <c r="A640" s="171">
        <v>636</v>
      </c>
      <c r="B640" s="171" t="s">
        <v>2717</v>
      </c>
      <c r="C640" s="172">
        <v>46202</v>
      </c>
      <c r="D640" s="173" t="s">
        <v>2718</v>
      </c>
      <c r="E640" s="172">
        <v>46202</v>
      </c>
      <c r="F640" s="173" t="s">
        <v>2719</v>
      </c>
      <c r="G640" s="174" t="s">
        <v>64</v>
      </c>
      <c r="H640" s="175">
        <v>13770</v>
      </c>
      <c r="I640" s="175">
        <v>32730</v>
      </c>
      <c r="J640" s="175">
        <v>18960</v>
      </c>
    </row>
    <row r="641" spans="1:10" x14ac:dyDescent="0.3">
      <c r="A641" s="171">
        <v>637</v>
      </c>
      <c r="B641" s="171" t="s">
        <v>2720</v>
      </c>
      <c r="C641" s="172">
        <v>46202</v>
      </c>
      <c r="D641" s="173" t="s">
        <v>2721</v>
      </c>
      <c r="E641" s="172">
        <v>46202</v>
      </c>
      <c r="F641" s="173" t="s">
        <v>1198</v>
      </c>
      <c r="G641" s="174" t="s">
        <v>335</v>
      </c>
      <c r="H641" s="175">
        <v>13670</v>
      </c>
      <c r="I641" s="175">
        <v>32560</v>
      </c>
      <c r="J641" s="175">
        <v>18890</v>
      </c>
    </row>
    <row r="642" spans="1:10" x14ac:dyDescent="0.3">
      <c r="A642" s="171">
        <v>638</v>
      </c>
      <c r="B642" s="171" t="s">
        <v>2722</v>
      </c>
      <c r="C642" s="172">
        <v>46202</v>
      </c>
      <c r="D642" s="173" t="s">
        <v>2723</v>
      </c>
      <c r="E642" s="172">
        <v>46202</v>
      </c>
      <c r="F642" s="173" t="s">
        <v>2724</v>
      </c>
      <c r="G642" s="174" t="s">
        <v>90</v>
      </c>
      <c r="H642" s="175">
        <v>13820</v>
      </c>
      <c r="I642" s="175">
        <v>32660</v>
      </c>
      <c r="J642" s="175">
        <v>18840</v>
      </c>
    </row>
    <row r="643" spans="1:10" x14ac:dyDescent="0.3">
      <c r="A643" s="171">
        <v>639</v>
      </c>
      <c r="B643" s="171" t="s">
        <v>2725</v>
      </c>
      <c r="C643" s="172">
        <v>46202</v>
      </c>
      <c r="D643" s="173" t="s">
        <v>2726</v>
      </c>
      <c r="E643" s="172">
        <v>46202</v>
      </c>
      <c r="F643" s="173" t="s">
        <v>2727</v>
      </c>
      <c r="G643" s="174" t="s">
        <v>842</v>
      </c>
      <c r="H643" s="175">
        <v>13950</v>
      </c>
      <c r="I643" s="175">
        <v>31740</v>
      </c>
      <c r="J643" s="175">
        <v>17790</v>
      </c>
    </row>
    <row r="644" spans="1:10" x14ac:dyDescent="0.3">
      <c r="A644" s="171">
        <v>640</v>
      </c>
      <c r="B644" s="171" t="s">
        <v>2728</v>
      </c>
      <c r="C644" s="172">
        <v>46202</v>
      </c>
      <c r="D644" s="173" t="s">
        <v>2729</v>
      </c>
      <c r="E644" s="172">
        <v>46202</v>
      </c>
      <c r="F644" s="173" t="s">
        <v>2730</v>
      </c>
      <c r="G644" s="174" t="s">
        <v>337</v>
      </c>
      <c r="H644" s="175">
        <v>13670</v>
      </c>
      <c r="I644" s="175">
        <v>31750</v>
      </c>
      <c r="J644" s="175">
        <v>18080</v>
      </c>
    </row>
    <row r="645" spans="1:10" x14ac:dyDescent="0.3">
      <c r="A645" s="171">
        <v>641</v>
      </c>
      <c r="B645" s="171" t="s">
        <v>2731</v>
      </c>
      <c r="C645" s="172">
        <v>46202</v>
      </c>
      <c r="D645" s="173" t="s">
        <v>2732</v>
      </c>
      <c r="E645" s="172">
        <v>46202</v>
      </c>
      <c r="F645" s="173" t="s">
        <v>2733</v>
      </c>
      <c r="G645" s="174" t="s">
        <v>143</v>
      </c>
      <c r="H645" s="175">
        <v>13720</v>
      </c>
      <c r="I645" s="175">
        <v>32840</v>
      </c>
      <c r="J645" s="175">
        <v>19120</v>
      </c>
    </row>
    <row r="646" spans="1:10" x14ac:dyDescent="0.3">
      <c r="A646" s="171">
        <v>642</v>
      </c>
      <c r="B646" s="171" t="s">
        <v>2734</v>
      </c>
      <c r="C646" s="172">
        <v>46202</v>
      </c>
      <c r="D646" s="173" t="s">
        <v>2735</v>
      </c>
      <c r="E646" s="172">
        <v>46202</v>
      </c>
      <c r="F646" s="173" t="s">
        <v>2736</v>
      </c>
      <c r="G646" s="174" t="s">
        <v>844</v>
      </c>
      <c r="H646" s="175">
        <v>13830</v>
      </c>
      <c r="I646" s="175">
        <v>31720</v>
      </c>
      <c r="J646" s="175">
        <v>17890</v>
      </c>
    </row>
    <row r="647" spans="1:10" x14ac:dyDescent="0.3">
      <c r="A647" s="171">
        <v>643</v>
      </c>
      <c r="B647" s="171" t="s">
        <v>2737</v>
      </c>
      <c r="C647" s="172">
        <v>46202</v>
      </c>
      <c r="D647" s="173" t="s">
        <v>2738</v>
      </c>
      <c r="E647" s="172">
        <v>46202</v>
      </c>
      <c r="F647" s="173" t="s">
        <v>2739</v>
      </c>
      <c r="G647" s="174" t="s">
        <v>839</v>
      </c>
      <c r="H647" s="175">
        <v>13970</v>
      </c>
      <c r="I647" s="175">
        <v>33160</v>
      </c>
      <c r="J647" s="175">
        <v>19190</v>
      </c>
    </row>
    <row r="648" spans="1:10" x14ac:dyDescent="0.3">
      <c r="A648" s="171">
        <v>644</v>
      </c>
      <c r="B648" s="171" t="s">
        <v>2740</v>
      </c>
      <c r="C648" s="172">
        <v>46202</v>
      </c>
      <c r="D648" s="173" t="s">
        <v>2741</v>
      </c>
      <c r="E648" s="172">
        <v>46202</v>
      </c>
      <c r="F648" s="173" t="s">
        <v>2742</v>
      </c>
      <c r="G648" s="174" t="s">
        <v>85</v>
      </c>
      <c r="H648" s="175">
        <v>13770</v>
      </c>
      <c r="I648" s="175">
        <v>31350</v>
      </c>
      <c r="J648" s="175">
        <v>17580</v>
      </c>
    </row>
    <row r="649" spans="1:10" x14ac:dyDescent="0.3">
      <c r="A649" s="171">
        <v>645</v>
      </c>
      <c r="B649" s="171" t="s">
        <v>2743</v>
      </c>
      <c r="C649" s="172">
        <v>46202</v>
      </c>
      <c r="D649" s="173" t="s">
        <v>2744</v>
      </c>
      <c r="E649" s="172">
        <v>46202</v>
      </c>
      <c r="F649" s="173" t="s">
        <v>2745</v>
      </c>
      <c r="G649" s="174" t="s">
        <v>537</v>
      </c>
      <c r="H649" s="175">
        <v>13690</v>
      </c>
      <c r="I649" s="175">
        <v>33990</v>
      </c>
      <c r="J649" s="175">
        <v>20300</v>
      </c>
    </row>
    <row r="650" spans="1:10" x14ac:dyDescent="0.3">
      <c r="A650" s="171">
        <v>646</v>
      </c>
      <c r="B650" s="171" t="s">
        <v>2746</v>
      </c>
      <c r="C650" s="172">
        <v>46202</v>
      </c>
      <c r="D650" s="173" t="s">
        <v>2747</v>
      </c>
      <c r="E650" s="172">
        <v>46202</v>
      </c>
      <c r="F650" s="173" t="s">
        <v>2748</v>
      </c>
      <c r="G650" s="174" t="s">
        <v>43</v>
      </c>
      <c r="H650" s="175">
        <v>13860</v>
      </c>
      <c r="I650" s="175">
        <v>33600</v>
      </c>
      <c r="J650" s="175">
        <v>19740</v>
      </c>
    </row>
    <row r="651" spans="1:10" x14ac:dyDescent="0.3">
      <c r="A651" s="171">
        <v>647</v>
      </c>
      <c r="B651" s="171" t="s">
        <v>2749</v>
      </c>
      <c r="C651" s="172">
        <v>46202</v>
      </c>
      <c r="D651" s="173" t="s">
        <v>2750</v>
      </c>
      <c r="E651" s="172">
        <v>46202</v>
      </c>
      <c r="F651" s="173" t="s">
        <v>2751</v>
      </c>
      <c r="G651" s="174" t="s">
        <v>71</v>
      </c>
      <c r="H651" s="175">
        <v>13950</v>
      </c>
      <c r="I651" s="175">
        <v>32650</v>
      </c>
      <c r="J651" s="175">
        <v>18700</v>
      </c>
    </row>
    <row r="652" spans="1:10" x14ac:dyDescent="0.3">
      <c r="A652" s="171">
        <v>648</v>
      </c>
      <c r="B652" s="171" t="s">
        <v>2752</v>
      </c>
      <c r="C652" s="172">
        <v>46202</v>
      </c>
      <c r="D652" s="173" t="s">
        <v>2753</v>
      </c>
      <c r="E652" s="172">
        <v>46202</v>
      </c>
      <c r="F652" s="173" t="s">
        <v>2754</v>
      </c>
      <c r="G652" s="174" t="s">
        <v>80</v>
      </c>
      <c r="H652" s="175">
        <v>14070</v>
      </c>
      <c r="I652" s="175">
        <v>32990</v>
      </c>
      <c r="J652" s="175">
        <v>18920</v>
      </c>
    </row>
    <row r="653" spans="1:10" x14ac:dyDescent="0.3">
      <c r="A653" s="171">
        <v>649</v>
      </c>
      <c r="B653" s="171" t="s">
        <v>2755</v>
      </c>
      <c r="C653" s="172">
        <v>46202</v>
      </c>
      <c r="D653" s="173" t="s">
        <v>2756</v>
      </c>
      <c r="E653" s="172">
        <v>46202</v>
      </c>
      <c r="F653" s="173" t="s">
        <v>2757</v>
      </c>
      <c r="G653" s="174" t="s">
        <v>64</v>
      </c>
      <c r="H653" s="175">
        <v>13740</v>
      </c>
      <c r="I653" s="175">
        <v>34570</v>
      </c>
      <c r="J653" s="175">
        <v>20830</v>
      </c>
    </row>
    <row r="654" spans="1:10" x14ac:dyDescent="0.3">
      <c r="A654" s="171">
        <v>650</v>
      </c>
      <c r="B654" s="171" t="s">
        <v>2758</v>
      </c>
      <c r="C654" s="172">
        <v>46202</v>
      </c>
      <c r="D654" s="173" t="s">
        <v>2759</v>
      </c>
      <c r="E654" s="172">
        <v>46202</v>
      </c>
      <c r="F654" s="173" t="s">
        <v>2760</v>
      </c>
      <c r="G654" s="174" t="s">
        <v>335</v>
      </c>
      <c r="H654" s="175">
        <v>13960</v>
      </c>
      <c r="I654" s="175">
        <v>32700</v>
      </c>
      <c r="J654" s="175">
        <v>18740</v>
      </c>
    </row>
    <row r="655" spans="1:10" x14ac:dyDescent="0.3">
      <c r="A655" s="171">
        <v>651</v>
      </c>
      <c r="B655" s="171" t="s">
        <v>2761</v>
      </c>
      <c r="C655" s="172">
        <v>46202</v>
      </c>
      <c r="D655" s="173" t="s">
        <v>2762</v>
      </c>
      <c r="E655" s="172">
        <v>46202</v>
      </c>
      <c r="F655" s="173" t="s">
        <v>2763</v>
      </c>
      <c r="G655" s="174" t="s">
        <v>842</v>
      </c>
      <c r="H655" s="175">
        <v>13930</v>
      </c>
      <c r="I655" s="175">
        <v>32860</v>
      </c>
      <c r="J655" s="175">
        <v>18930</v>
      </c>
    </row>
    <row r="656" spans="1:10" x14ac:dyDescent="0.3">
      <c r="A656" s="171">
        <v>652</v>
      </c>
      <c r="B656" s="171" t="s">
        <v>2764</v>
      </c>
      <c r="C656" s="172">
        <v>46202</v>
      </c>
      <c r="D656" s="173" t="s">
        <v>2765</v>
      </c>
      <c r="E656" s="172">
        <v>46202</v>
      </c>
      <c r="F656" s="173" t="s">
        <v>2766</v>
      </c>
      <c r="G656" s="174" t="s">
        <v>90</v>
      </c>
      <c r="H656" s="175">
        <v>13840</v>
      </c>
      <c r="I656" s="175">
        <v>33710</v>
      </c>
      <c r="J656" s="175">
        <v>19870</v>
      </c>
    </row>
    <row r="657" spans="1:10" x14ac:dyDescent="0.3">
      <c r="A657" s="171">
        <v>653</v>
      </c>
      <c r="B657" s="171" t="s">
        <v>2767</v>
      </c>
      <c r="C657" s="172">
        <v>46202</v>
      </c>
      <c r="D657" s="173" t="s">
        <v>2768</v>
      </c>
      <c r="E657" s="172">
        <v>46202</v>
      </c>
      <c r="F657" s="173" t="s">
        <v>2769</v>
      </c>
      <c r="G657" s="174" t="s">
        <v>337</v>
      </c>
      <c r="H657" s="175">
        <v>13660</v>
      </c>
      <c r="I657" s="175">
        <v>32550</v>
      </c>
      <c r="J657" s="175">
        <v>18890</v>
      </c>
    </row>
    <row r="658" spans="1:10" x14ac:dyDescent="0.3">
      <c r="A658" s="171">
        <v>654</v>
      </c>
      <c r="B658" s="171" t="s">
        <v>2770</v>
      </c>
      <c r="C658" s="172">
        <v>46202</v>
      </c>
      <c r="D658" s="173" t="s">
        <v>2771</v>
      </c>
      <c r="E658" s="172">
        <v>46202</v>
      </c>
      <c r="F658" s="173" t="s">
        <v>2772</v>
      </c>
      <c r="G658" s="174" t="s">
        <v>143</v>
      </c>
      <c r="H658" s="175">
        <v>13680</v>
      </c>
      <c r="I658" s="175">
        <v>33660</v>
      </c>
      <c r="J658" s="175">
        <v>19980</v>
      </c>
    </row>
    <row r="659" spans="1:10" x14ac:dyDescent="0.3">
      <c r="A659" s="171">
        <v>655</v>
      </c>
      <c r="B659" s="171" t="s">
        <v>2773</v>
      </c>
      <c r="C659" s="172">
        <v>46202</v>
      </c>
      <c r="D659" s="173" t="s">
        <v>2774</v>
      </c>
      <c r="E659" s="172">
        <v>46202</v>
      </c>
      <c r="F659" s="173" t="s">
        <v>2775</v>
      </c>
      <c r="G659" s="174" t="s">
        <v>844</v>
      </c>
      <c r="H659" s="175">
        <v>13800</v>
      </c>
      <c r="I659" s="175">
        <v>33600</v>
      </c>
      <c r="J659" s="175">
        <v>19800</v>
      </c>
    </row>
    <row r="660" spans="1:10" x14ac:dyDescent="0.3">
      <c r="A660" s="171">
        <v>656</v>
      </c>
      <c r="B660" s="171" t="s">
        <v>2776</v>
      </c>
      <c r="C660" s="172">
        <v>46202</v>
      </c>
      <c r="D660" s="173" t="s">
        <v>2777</v>
      </c>
      <c r="E660" s="172">
        <v>46202</v>
      </c>
      <c r="F660" s="173" t="s">
        <v>2778</v>
      </c>
      <c r="G660" s="174" t="s">
        <v>839</v>
      </c>
      <c r="H660" s="175">
        <v>13940</v>
      </c>
      <c r="I660" s="175">
        <v>33230</v>
      </c>
      <c r="J660" s="175">
        <v>19290</v>
      </c>
    </row>
    <row r="661" spans="1:10" x14ac:dyDescent="0.3">
      <c r="A661" s="171">
        <v>657</v>
      </c>
      <c r="B661" s="171" t="s">
        <v>2779</v>
      </c>
      <c r="C661" s="172">
        <v>46202</v>
      </c>
      <c r="D661" s="173" t="s">
        <v>2780</v>
      </c>
      <c r="E661" s="172">
        <v>46202</v>
      </c>
      <c r="F661" s="173" t="s">
        <v>2781</v>
      </c>
      <c r="G661" s="174" t="s">
        <v>85</v>
      </c>
      <c r="H661" s="175">
        <v>13740</v>
      </c>
      <c r="I661" s="175">
        <v>32630</v>
      </c>
      <c r="J661" s="175">
        <v>18890</v>
      </c>
    </row>
    <row r="662" spans="1:10" x14ac:dyDescent="0.3">
      <c r="A662" s="171">
        <v>658</v>
      </c>
      <c r="B662" s="171" t="s">
        <v>2782</v>
      </c>
      <c r="C662" s="172">
        <v>46202</v>
      </c>
      <c r="D662" s="173" t="s">
        <v>2783</v>
      </c>
      <c r="E662" s="172">
        <v>46202</v>
      </c>
      <c r="F662" s="173" t="s">
        <v>2784</v>
      </c>
      <c r="G662" s="174" t="s">
        <v>537</v>
      </c>
      <c r="H662" s="175">
        <v>14030</v>
      </c>
      <c r="I662" s="175">
        <v>33000</v>
      </c>
      <c r="J662" s="175">
        <v>18970</v>
      </c>
    </row>
    <row r="663" spans="1:10" x14ac:dyDescent="0.3">
      <c r="A663" s="171">
        <v>659</v>
      </c>
      <c r="B663" s="171" t="s">
        <v>2785</v>
      </c>
      <c r="C663" s="172">
        <v>46202</v>
      </c>
      <c r="D663" s="173" t="s">
        <v>2786</v>
      </c>
      <c r="E663" s="172">
        <v>46202</v>
      </c>
      <c r="F663" s="173" t="s">
        <v>2787</v>
      </c>
      <c r="G663" s="174" t="s">
        <v>43</v>
      </c>
      <c r="H663" s="175">
        <v>13840</v>
      </c>
      <c r="I663" s="175">
        <v>32190</v>
      </c>
      <c r="J663" s="175">
        <v>18350</v>
      </c>
    </row>
    <row r="664" spans="1:10" x14ac:dyDescent="0.3">
      <c r="A664" s="171">
        <v>660</v>
      </c>
      <c r="B664" s="171" t="s">
        <v>2788</v>
      </c>
      <c r="C664" s="172">
        <v>46202</v>
      </c>
      <c r="D664" s="173" t="s">
        <v>2789</v>
      </c>
      <c r="E664" s="172">
        <v>46202</v>
      </c>
      <c r="F664" s="173" t="s">
        <v>2790</v>
      </c>
      <c r="G664" s="174" t="s">
        <v>80</v>
      </c>
      <c r="H664" s="175">
        <v>14050</v>
      </c>
      <c r="I664" s="175">
        <v>34950</v>
      </c>
      <c r="J664" s="175">
        <v>20900</v>
      </c>
    </row>
    <row r="665" spans="1:10" x14ac:dyDescent="0.3">
      <c r="A665" s="171">
        <v>661</v>
      </c>
      <c r="B665" s="171" t="s">
        <v>2791</v>
      </c>
      <c r="C665" s="172">
        <v>46202</v>
      </c>
      <c r="D665" s="173" t="s">
        <v>2792</v>
      </c>
      <c r="E665" s="172">
        <v>46202</v>
      </c>
      <c r="F665" s="173" t="s">
        <v>2793</v>
      </c>
      <c r="G665" s="174" t="s">
        <v>71</v>
      </c>
      <c r="H665" s="175">
        <v>13920</v>
      </c>
      <c r="I665" s="175">
        <v>32230</v>
      </c>
      <c r="J665" s="175">
        <v>18310</v>
      </c>
    </row>
    <row r="666" spans="1:10" x14ac:dyDescent="0.3">
      <c r="A666" s="171">
        <v>662</v>
      </c>
      <c r="B666" s="171" t="s">
        <v>2794</v>
      </c>
      <c r="C666" s="172">
        <v>46202</v>
      </c>
      <c r="D666" s="173" t="s">
        <v>2795</v>
      </c>
      <c r="E666" s="172">
        <v>46202</v>
      </c>
      <c r="F666" s="173" t="s">
        <v>2796</v>
      </c>
      <c r="G666" s="174" t="s">
        <v>64</v>
      </c>
      <c r="H666" s="175">
        <v>13720</v>
      </c>
      <c r="I666" s="175">
        <v>30890</v>
      </c>
      <c r="J666" s="175">
        <v>17170</v>
      </c>
    </row>
    <row r="667" spans="1:10" x14ac:dyDescent="0.3">
      <c r="A667" s="171">
        <v>663</v>
      </c>
      <c r="B667" s="171" t="s">
        <v>2797</v>
      </c>
      <c r="C667" s="172">
        <v>46202</v>
      </c>
      <c r="D667" s="173" t="s">
        <v>2798</v>
      </c>
      <c r="E667" s="172">
        <v>46202</v>
      </c>
      <c r="F667" s="173" t="s">
        <v>2799</v>
      </c>
      <c r="G667" s="174" t="s">
        <v>335</v>
      </c>
      <c r="H667" s="175">
        <v>13950</v>
      </c>
      <c r="I667" s="175">
        <v>30590</v>
      </c>
      <c r="J667" s="175">
        <v>16640</v>
      </c>
    </row>
    <row r="668" spans="1:10" x14ac:dyDescent="0.3">
      <c r="A668" s="171">
        <v>664</v>
      </c>
      <c r="B668" s="171" t="s">
        <v>2800</v>
      </c>
      <c r="C668" s="172">
        <v>46202</v>
      </c>
      <c r="D668" s="173" t="s">
        <v>2801</v>
      </c>
      <c r="E668" s="172">
        <v>46202</v>
      </c>
      <c r="F668" s="173" t="s">
        <v>2802</v>
      </c>
      <c r="G668" s="174" t="s">
        <v>842</v>
      </c>
      <c r="H668" s="175">
        <v>13900</v>
      </c>
      <c r="I668" s="175">
        <v>31000</v>
      </c>
      <c r="J668" s="175">
        <v>17100</v>
      </c>
    </row>
    <row r="669" spans="1:10" x14ac:dyDescent="0.3">
      <c r="A669" s="171">
        <v>665</v>
      </c>
      <c r="B669" s="171" t="s">
        <v>2803</v>
      </c>
      <c r="C669" s="172">
        <v>46202</v>
      </c>
      <c r="D669" s="173" t="s">
        <v>2804</v>
      </c>
      <c r="E669" s="172">
        <v>46202</v>
      </c>
      <c r="F669" s="173" t="s">
        <v>2805</v>
      </c>
      <c r="G669" s="174" t="s">
        <v>143</v>
      </c>
      <c r="H669" s="175">
        <v>13670</v>
      </c>
      <c r="I669" s="175">
        <v>32410</v>
      </c>
      <c r="J669" s="175">
        <v>18740</v>
      </c>
    </row>
    <row r="670" spans="1:10" x14ac:dyDescent="0.3">
      <c r="A670" s="171">
        <v>666</v>
      </c>
      <c r="B670" s="171" t="s">
        <v>2806</v>
      </c>
      <c r="C670" s="172">
        <v>46202</v>
      </c>
      <c r="D670" s="173" t="s">
        <v>2807</v>
      </c>
      <c r="E670" s="172">
        <v>46202</v>
      </c>
      <c r="F670" s="173" t="s">
        <v>2808</v>
      </c>
      <c r="G670" s="174" t="s">
        <v>844</v>
      </c>
      <c r="H670" s="175">
        <v>13770</v>
      </c>
      <c r="I670" s="175">
        <v>30290</v>
      </c>
      <c r="J670" s="175">
        <v>16520</v>
      </c>
    </row>
    <row r="671" spans="1:10" x14ac:dyDescent="0.3">
      <c r="A671" s="171">
        <v>667</v>
      </c>
      <c r="B671" s="171" t="s">
        <v>2809</v>
      </c>
      <c r="C671" s="172">
        <v>46202</v>
      </c>
      <c r="D671" s="173" t="s">
        <v>2810</v>
      </c>
      <c r="E671" s="172">
        <v>46202</v>
      </c>
      <c r="F671" s="173" t="s">
        <v>2811</v>
      </c>
      <c r="G671" s="174" t="s">
        <v>337</v>
      </c>
      <c r="H671" s="175">
        <v>14040</v>
      </c>
      <c r="I671" s="175">
        <v>34630</v>
      </c>
      <c r="J671" s="175">
        <v>20590</v>
      </c>
    </row>
    <row r="672" spans="1:10" x14ac:dyDescent="0.3">
      <c r="A672" s="171">
        <v>668</v>
      </c>
      <c r="B672" s="171" t="s">
        <v>2812</v>
      </c>
      <c r="C672" s="172">
        <v>46202</v>
      </c>
      <c r="D672" s="173" t="s">
        <v>2813</v>
      </c>
      <c r="E672" s="172">
        <v>46202</v>
      </c>
      <c r="F672" s="173" t="s">
        <v>2814</v>
      </c>
      <c r="G672" s="174" t="s">
        <v>90</v>
      </c>
      <c r="H672" s="175">
        <v>14090</v>
      </c>
      <c r="I672" s="175">
        <v>32710</v>
      </c>
      <c r="J672" s="175">
        <v>18620</v>
      </c>
    </row>
    <row r="673" spans="1:10" x14ac:dyDescent="0.3">
      <c r="A673" s="171">
        <v>669</v>
      </c>
      <c r="B673" s="171" t="s">
        <v>2815</v>
      </c>
      <c r="C673" s="172">
        <v>46202</v>
      </c>
      <c r="D673" s="173" t="s">
        <v>2816</v>
      </c>
      <c r="E673" s="172">
        <v>46202</v>
      </c>
      <c r="F673" s="173" t="s">
        <v>2817</v>
      </c>
      <c r="G673" s="174" t="s">
        <v>85</v>
      </c>
      <c r="H673" s="175">
        <v>13730</v>
      </c>
      <c r="I673" s="175">
        <v>32030</v>
      </c>
      <c r="J673" s="175">
        <v>18300</v>
      </c>
    </row>
    <row r="674" spans="1:10" x14ac:dyDescent="0.3">
      <c r="A674" s="171">
        <v>670</v>
      </c>
      <c r="B674" s="171" t="s">
        <v>2818</v>
      </c>
      <c r="C674" s="172">
        <v>46202</v>
      </c>
      <c r="D674" s="173" t="s">
        <v>2819</v>
      </c>
      <c r="E674" s="172">
        <v>46202</v>
      </c>
      <c r="F674" s="173" t="s">
        <v>2820</v>
      </c>
      <c r="G674" s="174" t="s">
        <v>80</v>
      </c>
      <c r="H674" s="175">
        <v>14040</v>
      </c>
      <c r="I674" s="175">
        <v>33650</v>
      </c>
      <c r="J674" s="175">
        <v>19610</v>
      </c>
    </row>
    <row r="675" spans="1:10" x14ac:dyDescent="0.3">
      <c r="A675" s="171">
        <v>671</v>
      </c>
      <c r="B675" s="171" t="s">
        <v>2821</v>
      </c>
      <c r="C675" s="172">
        <v>46202</v>
      </c>
      <c r="D675" s="173" t="s">
        <v>2822</v>
      </c>
      <c r="E675" s="172">
        <v>46202</v>
      </c>
      <c r="F675" s="173" t="s">
        <v>2823</v>
      </c>
      <c r="G675" s="174" t="s">
        <v>335</v>
      </c>
      <c r="H675" s="175">
        <v>13970</v>
      </c>
      <c r="I675" s="175">
        <v>32240</v>
      </c>
      <c r="J675" s="175">
        <v>18270</v>
      </c>
    </row>
    <row r="676" spans="1:10" x14ac:dyDescent="0.3">
      <c r="A676" s="171">
        <v>672</v>
      </c>
      <c r="B676" s="171" t="s">
        <v>2824</v>
      </c>
      <c r="C676" s="172">
        <v>46202</v>
      </c>
      <c r="D676" s="173" t="s">
        <v>2825</v>
      </c>
      <c r="E676" s="172">
        <v>46202</v>
      </c>
      <c r="F676" s="173" t="s">
        <v>2826</v>
      </c>
      <c r="G676" s="174" t="s">
        <v>64</v>
      </c>
      <c r="H676" s="175">
        <v>14040</v>
      </c>
      <c r="I676" s="175">
        <v>32720</v>
      </c>
      <c r="J676" s="175">
        <v>18680</v>
      </c>
    </row>
    <row r="677" spans="1:10" x14ac:dyDescent="0.3">
      <c r="A677" s="171">
        <v>673</v>
      </c>
      <c r="B677" s="171" t="s">
        <v>2827</v>
      </c>
      <c r="C677" s="172">
        <v>46202</v>
      </c>
      <c r="D677" s="173" t="s">
        <v>2828</v>
      </c>
      <c r="E677" s="172">
        <v>46202</v>
      </c>
      <c r="F677" s="173" t="s">
        <v>2829</v>
      </c>
      <c r="G677" s="174" t="s">
        <v>842</v>
      </c>
      <c r="H677" s="175">
        <v>14230</v>
      </c>
      <c r="I677" s="175">
        <v>33220</v>
      </c>
      <c r="J677" s="175">
        <v>18990</v>
      </c>
    </row>
    <row r="678" spans="1:10" x14ac:dyDescent="0.3">
      <c r="A678" s="171">
        <v>674</v>
      </c>
      <c r="B678" s="171" t="s">
        <v>2830</v>
      </c>
      <c r="C678" s="172">
        <v>46202</v>
      </c>
      <c r="D678" s="173" t="s">
        <v>2831</v>
      </c>
      <c r="E678" s="172">
        <v>46202</v>
      </c>
      <c r="F678" s="173" t="s">
        <v>2832</v>
      </c>
      <c r="G678" s="174" t="s">
        <v>844</v>
      </c>
      <c r="H678" s="175">
        <v>13960</v>
      </c>
      <c r="I678" s="175">
        <v>33790</v>
      </c>
      <c r="J678" s="175">
        <v>19830</v>
      </c>
    </row>
    <row r="679" spans="1:10" x14ac:dyDescent="0.3">
      <c r="A679" s="171">
        <v>675</v>
      </c>
      <c r="B679" s="171" t="s">
        <v>2833</v>
      </c>
      <c r="C679" s="172">
        <v>46202</v>
      </c>
      <c r="D679" s="173" t="s">
        <v>2834</v>
      </c>
      <c r="E679" s="172">
        <v>46202</v>
      </c>
      <c r="F679" s="173" t="s">
        <v>2835</v>
      </c>
      <c r="G679" s="174" t="s">
        <v>143</v>
      </c>
      <c r="H679" s="175">
        <v>14000</v>
      </c>
      <c r="I679" s="175">
        <v>33110</v>
      </c>
      <c r="J679" s="175">
        <v>19110</v>
      </c>
    </row>
    <row r="680" spans="1:10" x14ac:dyDescent="0.3">
      <c r="A680" s="171">
        <v>676</v>
      </c>
      <c r="B680" s="171" t="s">
        <v>2836</v>
      </c>
      <c r="C680" s="172">
        <v>46202</v>
      </c>
      <c r="D680" s="173" t="s">
        <v>2837</v>
      </c>
      <c r="E680" s="172">
        <v>46202</v>
      </c>
      <c r="F680" s="173" t="s">
        <v>2838</v>
      </c>
      <c r="G680" s="174" t="s">
        <v>337</v>
      </c>
      <c r="H680" s="175">
        <v>14050</v>
      </c>
      <c r="I680" s="175">
        <v>32680</v>
      </c>
      <c r="J680" s="175">
        <v>18630</v>
      </c>
    </row>
    <row r="681" spans="1:10" x14ac:dyDescent="0.3">
      <c r="A681" s="171">
        <v>677</v>
      </c>
      <c r="B681" s="171" t="s">
        <v>2839</v>
      </c>
      <c r="C681" s="172">
        <v>46202</v>
      </c>
      <c r="D681" s="173" t="s">
        <v>2840</v>
      </c>
      <c r="E681" s="172">
        <v>46202</v>
      </c>
      <c r="F681" s="173" t="s">
        <v>2841</v>
      </c>
      <c r="G681" s="174" t="s">
        <v>55</v>
      </c>
      <c r="H681" s="175">
        <v>13990</v>
      </c>
      <c r="I681" s="175">
        <v>32130</v>
      </c>
      <c r="J681" s="175">
        <v>18140</v>
      </c>
    </row>
    <row r="682" spans="1:10" x14ac:dyDescent="0.3">
      <c r="A682" s="171">
        <v>678</v>
      </c>
      <c r="B682" s="171" t="s">
        <v>2842</v>
      </c>
      <c r="C682" s="172">
        <v>46202</v>
      </c>
      <c r="D682" s="173" t="s">
        <v>2843</v>
      </c>
      <c r="E682" s="172">
        <v>46202</v>
      </c>
      <c r="F682" s="173" t="s">
        <v>2844</v>
      </c>
      <c r="G682" s="174" t="s">
        <v>85</v>
      </c>
      <c r="H682" s="175">
        <v>14100</v>
      </c>
      <c r="I682" s="175">
        <v>33110</v>
      </c>
      <c r="J682" s="175">
        <v>19010</v>
      </c>
    </row>
    <row r="683" spans="1:10" x14ac:dyDescent="0.3">
      <c r="A683" s="171">
        <v>679</v>
      </c>
      <c r="B683" s="171" t="s">
        <v>2845</v>
      </c>
      <c r="C683" s="172">
        <v>46202</v>
      </c>
      <c r="D683" s="173" t="s">
        <v>2846</v>
      </c>
      <c r="E683" s="172">
        <v>46202</v>
      </c>
      <c r="F683" s="173"/>
      <c r="G683" s="174" t="s">
        <v>55</v>
      </c>
      <c r="H683" s="175">
        <v>13690</v>
      </c>
      <c r="I683" s="175">
        <v>32910</v>
      </c>
      <c r="J683" s="175">
        <v>19220</v>
      </c>
    </row>
    <row r="684" spans="1:10" x14ac:dyDescent="0.3">
      <c r="A684" s="171">
        <v>680</v>
      </c>
      <c r="B684" s="171" t="s">
        <v>2833</v>
      </c>
      <c r="C684" s="172">
        <v>46203</v>
      </c>
      <c r="D684" s="173" t="s">
        <v>2847</v>
      </c>
      <c r="E684" s="172">
        <v>46203</v>
      </c>
      <c r="F684" s="173" t="s">
        <v>2848</v>
      </c>
      <c r="G684" s="174" t="s">
        <v>64</v>
      </c>
      <c r="H684" s="175">
        <v>14030</v>
      </c>
      <c r="I684" s="175">
        <v>33390</v>
      </c>
      <c r="J684" s="175">
        <v>19360</v>
      </c>
    </row>
    <row r="685" spans="1:10" x14ac:dyDescent="0.3">
      <c r="A685" s="171">
        <v>681</v>
      </c>
      <c r="B685" s="171" t="s">
        <v>2836</v>
      </c>
      <c r="C685" s="172">
        <v>46203</v>
      </c>
      <c r="D685" s="173" t="s">
        <v>2849</v>
      </c>
      <c r="E685" s="172">
        <v>46203</v>
      </c>
      <c r="F685" s="173" t="s">
        <v>2850</v>
      </c>
      <c r="G685" s="174" t="s">
        <v>71</v>
      </c>
      <c r="H685" s="175">
        <v>13900</v>
      </c>
      <c r="I685" s="175">
        <v>33410</v>
      </c>
      <c r="J685" s="175">
        <v>19510</v>
      </c>
    </row>
    <row r="686" spans="1:10" x14ac:dyDescent="0.3">
      <c r="A686" s="171">
        <v>682</v>
      </c>
      <c r="B686" s="171" t="s">
        <v>2839</v>
      </c>
      <c r="C686" s="172">
        <v>46203</v>
      </c>
      <c r="D686" s="173" t="s">
        <v>2851</v>
      </c>
      <c r="E686" s="172">
        <v>46203</v>
      </c>
      <c r="F686" s="173" t="s">
        <v>2852</v>
      </c>
      <c r="G686" s="174" t="s">
        <v>90</v>
      </c>
      <c r="H686" s="175">
        <v>13970</v>
      </c>
      <c r="I686" s="175">
        <v>32550</v>
      </c>
      <c r="J686" s="175">
        <v>18580</v>
      </c>
    </row>
    <row r="687" spans="1:10" x14ac:dyDescent="0.3">
      <c r="A687" s="171">
        <v>683</v>
      </c>
      <c r="B687" s="171" t="s">
        <v>2842</v>
      </c>
      <c r="C687" s="172">
        <v>46203</v>
      </c>
      <c r="D687" s="173" t="s">
        <v>894</v>
      </c>
      <c r="E687" s="172">
        <v>46203</v>
      </c>
      <c r="F687" s="173" t="s">
        <v>2853</v>
      </c>
      <c r="G687" s="174" t="s">
        <v>839</v>
      </c>
      <c r="H687" s="175">
        <v>14090</v>
      </c>
      <c r="I687" s="175">
        <v>32610</v>
      </c>
      <c r="J687" s="175">
        <v>18520</v>
      </c>
    </row>
    <row r="688" spans="1:10" x14ac:dyDescent="0.3">
      <c r="A688" s="171">
        <v>684</v>
      </c>
      <c r="B688" s="171" t="s">
        <v>2845</v>
      </c>
      <c r="C688" s="172">
        <v>46203</v>
      </c>
      <c r="D688" s="173" t="s">
        <v>2854</v>
      </c>
      <c r="E688" s="172">
        <v>46203</v>
      </c>
      <c r="F688" s="173" t="s">
        <v>2855</v>
      </c>
      <c r="G688" s="174" t="s">
        <v>337</v>
      </c>
      <c r="H688" s="175">
        <v>13950</v>
      </c>
      <c r="I688" s="175">
        <v>33520</v>
      </c>
      <c r="J688" s="175">
        <v>19570</v>
      </c>
    </row>
    <row r="689" spans="1:10" x14ac:dyDescent="0.3">
      <c r="A689" s="171">
        <v>685</v>
      </c>
      <c r="B689" s="171" t="s">
        <v>2856</v>
      </c>
      <c r="C689" s="172">
        <v>46203</v>
      </c>
      <c r="D689" s="173" t="s">
        <v>2857</v>
      </c>
      <c r="E689" s="172">
        <v>46203</v>
      </c>
      <c r="F689" s="173" t="s">
        <v>2858</v>
      </c>
      <c r="G689" s="174" t="s">
        <v>55</v>
      </c>
      <c r="H689" s="175">
        <v>13880</v>
      </c>
      <c r="I689" s="175">
        <v>33920</v>
      </c>
      <c r="J689" s="175">
        <v>20040</v>
      </c>
    </row>
    <row r="690" spans="1:10" x14ac:dyDescent="0.3">
      <c r="A690" s="171">
        <v>686</v>
      </c>
      <c r="B690" s="171" t="s">
        <v>2859</v>
      </c>
      <c r="C690" s="172">
        <v>46203</v>
      </c>
      <c r="D690" s="173" t="s">
        <v>2860</v>
      </c>
      <c r="E690" s="172">
        <v>46203</v>
      </c>
      <c r="F690" s="173" t="s">
        <v>2861</v>
      </c>
      <c r="G690" s="174" t="s">
        <v>85</v>
      </c>
      <c r="H690" s="175">
        <v>13950</v>
      </c>
      <c r="I690" s="175">
        <v>33770</v>
      </c>
      <c r="J690" s="175">
        <v>19820</v>
      </c>
    </row>
    <row r="691" spans="1:10" x14ac:dyDescent="0.3">
      <c r="A691" s="171">
        <v>687</v>
      </c>
      <c r="B691" s="171" t="s">
        <v>2862</v>
      </c>
      <c r="C691" s="172">
        <v>46203</v>
      </c>
      <c r="D691" s="173" t="s">
        <v>2863</v>
      </c>
      <c r="E691" s="172">
        <v>46203</v>
      </c>
      <c r="F691" s="173" t="s">
        <v>2864</v>
      </c>
      <c r="G691" s="174" t="s">
        <v>842</v>
      </c>
      <c r="H691" s="175">
        <v>14150</v>
      </c>
      <c r="I691" s="175">
        <v>34070</v>
      </c>
      <c r="J691" s="175">
        <v>19920</v>
      </c>
    </row>
    <row r="692" spans="1:10" x14ac:dyDescent="0.3">
      <c r="A692" s="171">
        <v>688</v>
      </c>
      <c r="B692" s="171" t="s">
        <v>2865</v>
      </c>
      <c r="C692" s="172">
        <v>46203</v>
      </c>
      <c r="D692" s="173" t="s">
        <v>2617</v>
      </c>
      <c r="E692" s="172">
        <v>46203</v>
      </c>
      <c r="F692" s="173" t="s">
        <v>2866</v>
      </c>
      <c r="G692" s="174" t="s">
        <v>80</v>
      </c>
      <c r="H692" s="175">
        <v>13940</v>
      </c>
      <c r="I692" s="175">
        <v>31980</v>
      </c>
      <c r="J692" s="175">
        <v>18040</v>
      </c>
    </row>
    <row r="693" spans="1:10" x14ac:dyDescent="0.3">
      <c r="A693" s="171">
        <v>689</v>
      </c>
      <c r="B693" s="171" t="s">
        <v>2867</v>
      </c>
      <c r="C693" s="172">
        <v>46203</v>
      </c>
      <c r="D693" s="173" t="s">
        <v>2868</v>
      </c>
      <c r="E693" s="172">
        <v>46203</v>
      </c>
      <c r="F693" s="173" t="s">
        <v>2869</v>
      </c>
      <c r="G693" s="174" t="s">
        <v>143</v>
      </c>
      <c r="H693" s="175">
        <v>13930</v>
      </c>
      <c r="I693" s="175">
        <v>33760</v>
      </c>
      <c r="J693" s="175">
        <v>19830</v>
      </c>
    </row>
    <row r="694" spans="1:10" x14ac:dyDescent="0.3">
      <c r="A694" s="171">
        <v>690</v>
      </c>
      <c r="B694" s="171" t="s">
        <v>2870</v>
      </c>
      <c r="C694" s="172">
        <v>46203</v>
      </c>
      <c r="D694" s="173" t="s">
        <v>2871</v>
      </c>
      <c r="E694" s="172">
        <v>46203</v>
      </c>
      <c r="F694" s="173" t="s">
        <v>2872</v>
      </c>
      <c r="G694" s="174" t="s">
        <v>335</v>
      </c>
      <c r="H694" s="175">
        <v>13920</v>
      </c>
      <c r="I694" s="175">
        <v>32190</v>
      </c>
      <c r="J694" s="175">
        <v>18270</v>
      </c>
    </row>
    <row r="695" spans="1:10" x14ac:dyDescent="0.3">
      <c r="A695" s="171">
        <v>691</v>
      </c>
      <c r="B695" s="171" t="s">
        <v>2873</v>
      </c>
      <c r="C695" s="172">
        <v>46203</v>
      </c>
      <c r="D695" s="173" t="s">
        <v>869</v>
      </c>
      <c r="E695" s="172">
        <v>46203</v>
      </c>
      <c r="F695" s="173" t="s">
        <v>2874</v>
      </c>
      <c r="G695" s="174" t="s">
        <v>336</v>
      </c>
      <c r="H695" s="175">
        <v>13850</v>
      </c>
      <c r="I695" s="175">
        <v>32330</v>
      </c>
      <c r="J695" s="175">
        <v>18480</v>
      </c>
    </row>
    <row r="696" spans="1:10" x14ac:dyDescent="0.3">
      <c r="A696" s="171">
        <v>692</v>
      </c>
      <c r="B696" s="171" t="s">
        <v>2875</v>
      </c>
      <c r="C696" s="172">
        <v>46203</v>
      </c>
      <c r="D696" s="173" t="s">
        <v>2876</v>
      </c>
      <c r="E696" s="172">
        <v>46203</v>
      </c>
      <c r="F696" s="173" t="s">
        <v>2877</v>
      </c>
      <c r="G696" s="174" t="s">
        <v>844</v>
      </c>
      <c r="H696" s="175">
        <v>13930</v>
      </c>
      <c r="I696" s="175">
        <v>32940</v>
      </c>
      <c r="J696" s="175">
        <v>19010</v>
      </c>
    </row>
    <row r="697" spans="1:10" x14ac:dyDescent="0.3">
      <c r="A697" s="171">
        <v>693</v>
      </c>
      <c r="B697" s="171" t="s">
        <v>2878</v>
      </c>
      <c r="C697" s="172">
        <v>46203</v>
      </c>
      <c r="D697" s="173" t="s">
        <v>2879</v>
      </c>
      <c r="E697" s="172">
        <v>46203</v>
      </c>
      <c r="F697" s="173" t="s">
        <v>2880</v>
      </c>
      <c r="G697" s="174" t="s">
        <v>537</v>
      </c>
      <c r="H697" s="175">
        <v>13990</v>
      </c>
      <c r="I697" s="175">
        <v>34410</v>
      </c>
      <c r="J697" s="175">
        <v>20420</v>
      </c>
    </row>
    <row r="698" spans="1:10" x14ac:dyDescent="0.3">
      <c r="A698" s="171">
        <v>694</v>
      </c>
      <c r="B698" s="171" t="s">
        <v>2881</v>
      </c>
      <c r="C698" s="172">
        <v>46203</v>
      </c>
      <c r="D698" s="173" t="s">
        <v>2882</v>
      </c>
      <c r="E698" s="172">
        <v>46203</v>
      </c>
      <c r="F698" s="173" t="s">
        <v>2883</v>
      </c>
      <c r="G698" s="174" t="s">
        <v>43</v>
      </c>
      <c r="H698" s="175">
        <v>14070</v>
      </c>
      <c r="I698" s="175">
        <v>33040</v>
      </c>
      <c r="J698" s="175">
        <v>18970</v>
      </c>
    </row>
    <row r="699" spans="1:10" x14ac:dyDescent="0.3">
      <c r="A699" s="171">
        <v>695</v>
      </c>
      <c r="B699" s="171" t="s">
        <v>2884</v>
      </c>
      <c r="C699" s="172">
        <v>46203</v>
      </c>
      <c r="D699" s="173" t="s">
        <v>2885</v>
      </c>
      <c r="E699" s="172">
        <v>46203</v>
      </c>
      <c r="F699" s="173" t="s">
        <v>2886</v>
      </c>
      <c r="G699" s="174" t="s">
        <v>64</v>
      </c>
      <c r="H699" s="175">
        <v>14040</v>
      </c>
      <c r="I699" s="175">
        <v>29940</v>
      </c>
      <c r="J699" s="175">
        <v>15900</v>
      </c>
    </row>
    <row r="700" spans="1:10" x14ac:dyDescent="0.3">
      <c r="A700" s="171">
        <v>696</v>
      </c>
      <c r="B700" s="171" t="s">
        <v>2887</v>
      </c>
      <c r="C700" s="172">
        <v>46203</v>
      </c>
      <c r="D700" s="173" t="s">
        <v>2888</v>
      </c>
      <c r="E700" s="172">
        <v>46203</v>
      </c>
      <c r="F700" s="173" t="s">
        <v>2889</v>
      </c>
      <c r="G700" s="174" t="s">
        <v>71</v>
      </c>
      <c r="H700" s="175">
        <v>13860</v>
      </c>
      <c r="I700" s="175">
        <v>31460</v>
      </c>
      <c r="J700" s="175">
        <v>17600</v>
      </c>
    </row>
    <row r="701" spans="1:10" x14ac:dyDescent="0.3">
      <c r="A701" s="171">
        <v>697</v>
      </c>
      <c r="B701" s="171" t="s">
        <v>2890</v>
      </c>
      <c r="C701" s="172">
        <v>46203</v>
      </c>
      <c r="D701" s="173" t="s">
        <v>2891</v>
      </c>
      <c r="E701" s="172">
        <v>46203</v>
      </c>
      <c r="F701" s="173" t="s">
        <v>2892</v>
      </c>
      <c r="G701" s="174" t="s">
        <v>90</v>
      </c>
      <c r="H701" s="175">
        <v>13930</v>
      </c>
      <c r="I701" s="175">
        <v>31140</v>
      </c>
      <c r="J701" s="175">
        <v>17210</v>
      </c>
    </row>
    <row r="702" spans="1:10" x14ac:dyDescent="0.3">
      <c r="A702" s="171">
        <v>698</v>
      </c>
      <c r="B702" s="171" t="s">
        <v>2893</v>
      </c>
      <c r="C702" s="172">
        <v>46203</v>
      </c>
      <c r="D702" s="173" t="s">
        <v>2894</v>
      </c>
      <c r="E702" s="172">
        <v>46203</v>
      </c>
      <c r="F702" s="173" t="s">
        <v>2895</v>
      </c>
      <c r="G702" s="174" t="s">
        <v>337</v>
      </c>
      <c r="H702" s="175">
        <v>13930</v>
      </c>
      <c r="I702" s="175">
        <v>31210</v>
      </c>
      <c r="J702" s="175">
        <v>17280</v>
      </c>
    </row>
    <row r="703" spans="1:10" x14ac:dyDescent="0.3">
      <c r="A703" s="171">
        <v>699</v>
      </c>
      <c r="B703" s="171" t="s">
        <v>2896</v>
      </c>
      <c r="C703" s="172">
        <v>46203</v>
      </c>
      <c r="D703" s="173" t="s">
        <v>2897</v>
      </c>
      <c r="E703" s="172">
        <v>46203</v>
      </c>
      <c r="F703" s="173" t="s">
        <v>2898</v>
      </c>
      <c r="G703" s="174" t="s">
        <v>839</v>
      </c>
      <c r="H703" s="175">
        <v>14050</v>
      </c>
      <c r="I703" s="175">
        <v>31140</v>
      </c>
      <c r="J703" s="175">
        <v>17090</v>
      </c>
    </row>
    <row r="704" spans="1:10" x14ac:dyDescent="0.3">
      <c r="A704" s="171">
        <v>700</v>
      </c>
      <c r="B704" s="171" t="s">
        <v>2899</v>
      </c>
      <c r="C704" s="172">
        <v>46203</v>
      </c>
      <c r="D704" s="173" t="s">
        <v>2900</v>
      </c>
      <c r="E704" s="172">
        <v>46203</v>
      </c>
      <c r="F704" s="173" t="s">
        <v>2901</v>
      </c>
      <c r="G704" s="174" t="s">
        <v>55</v>
      </c>
      <c r="H704" s="175">
        <v>13840</v>
      </c>
      <c r="I704" s="175">
        <v>30780</v>
      </c>
      <c r="J704" s="175">
        <v>16940</v>
      </c>
    </row>
    <row r="705" spans="1:10" x14ac:dyDescent="0.3">
      <c r="A705" s="171">
        <v>701</v>
      </c>
      <c r="B705" s="171" t="s">
        <v>2902</v>
      </c>
      <c r="C705" s="172">
        <v>46203</v>
      </c>
      <c r="D705" s="173" t="s">
        <v>2903</v>
      </c>
      <c r="E705" s="172">
        <v>46203</v>
      </c>
      <c r="F705" s="173" t="s">
        <v>2904</v>
      </c>
      <c r="G705" s="174" t="s">
        <v>85</v>
      </c>
      <c r="H705" s="175">
        <v>13910</v>
      </c>
      <c r="I705" s="175">
        <v>30570</v>
      </c>
      <c r="J705" s="175">
        <v>16660</v>
      </c>
    </row>
    <row r="706" spans="1:10" x14ac:dyDescent="0.3">
      <c r="A706" s="171">
        <v>702</v>
      </c>
      <c r="B706" s="171" t="s">
        <v>2905</v>
      </c>
      <c r="C706" s="172">
        <v>46203</v>
      </c>
      <c r="D706" s="173" t="s">
        <v>2906</v>
      </c>
      <c r="E706" s="172">
        <v>46203</v>
      </c>
      <c r="F706" s="173" t="s">
        <v>2907</v>
      </c>
      <c r="G706" s="174" t="s">
        <v>842</v>
      </c>
      <c r="H706" s="175">
        <v>14150</v>
      </c>
      <c r="I706" s="175">
        <v>32810</v>
      </c>
      <c r="J706" s="175">
        <v>18660</v>
      </c>
    </row>
    <row r="707" spans="1:10" x14ac:dyDescent="0.3">
      <c r="A707" s="171">
        <v>703</v>
      </c>
      <c r="B707" s="171" t="s">
        <v>2908</v>
      </c>
      <c r="C707" s="172">
        <v>46203</v>
      </c>
      <c r="D707" s="173" t="s">
        <v>2909</v>
      </c>
      <c r="E707" s="172">
        <v>46203</v>
      </c>
      <c r="F707" s="173" t="s">
        <v>2910</v>
      </c>
      <c r="G707" s="174" t="s">
        <v>80</v>
      </c>
      <c r="H707" s="175">
        <v>13900</v>
      </c>
      <c r="I707" s="175">
        <v>30770</v>
      </c>
      <c r="J707" s="175">
        <v>16870</v>
      </c>
    </row>
    <row r="708" spans="1:10" x14ac:dyDescent="0.3">
      <c r="A708" s="171">
        <v>704</v>
      </c>
      <c r="B708" s="171" t="s">
        <v>2911</v>
      </c>
      <c r="C708" s="172">
        <v>46203</v>
      </c>
      <c r="D708" s="173" t="s">
        <v>2912</v>
      </c>
      <c r="E708" s="172">
        <v>46203</v>
      </c>
      <c r="F708" s="173" t="s">
        <v>2913</v>
      </c>
      <c r="G708" s="174" t="s">
        <v>143</v>
      </c>
      <c r="H708" s="175">
        <v>13800</v>
      </c>
      <c r="I708" s="175">
        <v>30870</v>
      </c>
      <c r="J708" s="175">
        <v>17070</v>
      </c>
    </row>
    <row r="709" spans="1:10" x14ac:dyDescent="0.3">
      <c r="A709" s="171">
        <v>705</v>
      </c>
      <c r="B709" s="171" t="s">
        <v>2914</v>
      </c>
      <c r="C709" s="172">
        <v>46203</v>
      </c>
      <c r="D709" s="173" t="s">
        <v>2915</v>
      </c>
      <c r="E709" s="172">
        <v>46203</v>
      </c>
      <c r="F709" s="173" t="s">
        <v>2916</v>
      </c>
      <c r="G709" s="174" t="s">
        <v>335</v>
      </c>
      <c r="H709" s="175">
        <v>13860</v>
      </c>
      <c r="I709" s="175">
        <v>30370</v>
      </c>
      <c r="J709" s="175">
        <v>16510</v>
      </c>
    </row>
    <row r="710" spans="1:10" x14ac:dyDescent="0.3">
      <c r="A710" s="171">
        <v>706</v>
      </c>
      <c r="B710" s="171" t="s">
        <v>2917</v>
      </c>
      <c r="C710" s="172">
        <v>46203</v>
      </c>
      <c r="D710" s="173" t="s">
        <v>2918</v>
      </c>
      <c r="E710" s="172">
        <v>46203</v>
      </c>
      <c r="F710" s="173" t="s">
        <v>2919</v>
      </c>
      <c r="G710" s="174" t="s">
        <v>844</v>
      </c>
      <c r="H710" s="175">
        <v>13930</v>
      </c>
      <c r="I710" s="175">
        <v>29390</v>
      </c>
      <c r="J710" s="175">
        <v>15460</v>
      </c>
    </row>
    <row r="711" spans="1:10" x14ac:dyDescent="0.3">
      <c r="A711" s="171">
        <v>707</v>
      </c>
      <c r="B711" s="171" t="s">
        <v>2920</v>
      </c>
      <c r="C711" s="172">
        <v>46203</v>
      </c>
      <c r="D711" s="173" t="s">
        <v>893</v>
      </c>
      <c r="E711" s="172">
        <v>46203</v>
      </c>
      <c r="F711" s="173" t="s">
        <v>2921</v>
      </c>
      <c r="G711" s="174" t="s">
        <v>336</v>
      </c>
      <c r="H711" s="175">
        <v>13810</v>
      </c>
      <c r="I711" s="175">
        <v>31200</v>
      </c>
      <c r="J711" s="175">
        <v>17390</v>
      </c>
    </row>
    <row r="712" spans="1:10" x14ac:dyDescent="0.3">
      <c r="A712" s="171">
        <v>708</v>
      </c>
      <c r="B712" s="171" t="s">
        <v>2922</v>
      </c>
      <c r="C712" s="172">
        <v>46203</v>
      </c>
      <c r="D712" s="173" t="s">
        <v>2923</v>
      </c>
      <c r="E712" s="172">
        <v>46203</v>
      </c>
      <c r="F712" s="173" t="s">
        <v>2924</v>
      </c>
      <c r="G712" s="174" t="s">
        <v>537</v>
      </c>
      <c r="H712" s="175">
        <v>14010</v>
      </c>
      <c r="I712" s="175">
        <v>29920</v>
      </c>
      <c r="J712" s="175">
        <v>15910</v>
      </c>
    </row>
    <row r="713" spans="1:10" x14ac:dyDescent="0.3">
      <c r="A713" s="171">
        <v>709</v>
      </c>
      <c r="B713" s="171" t="s">
        <v>2925</v>
      </c>
      <c r="C713" s="172">
        <v>46203</v>
      </c>
      <c r="D713" s="173" t="s">
        <v>2926</v>
      </c>
      <c r="E713" s="172">
        <v>46203</v>
      </c>
      <c r="F713" s="173" t="s">
        <v>2927</v>
      </c>
      <c r="G713" s="174" t="s">
        <v>43</v>
      </c>
      <c r="H713" s="175">
        <v>14010</v>
      </c>
      <c r="I713" s="175">
        <v>30400</v>
      </c>
      <c r="J713" s="175">
        <v>16390</v>
      </c>
    </row>
    <row r="714" spans="1:10" x14ac:dyDescent="0.3">
      <c r="A714" s="171">
        <v>710</v>
      </c>
      <c r="B714" s="171" t="s">
        <v>2928</v>
      </c>
      <c r="C714" s="172">
        <v>46203</v>
      </c>
      <c r="D714" s="173" t="s">
        <v>2929</v>
      </c>
      <c r="E714" s="172">
        <v>46203</v>
      </c>
      <c r="F714" s="173" t="s">
        <v>2930</v>
      </c>
      <c r="G714" s="174" t="s">
        <v>64</v>
      </c>
      <c r="H714" s="175">
        <v>13990</v>
      </c>
      <c r="I714" s="175">
        <v>29620</v>
      </c>
      <c r="J714" s="175">
        <v>15630</v>
      </c>
    </row>
    <row r="715" spans="1:10" x14ac:dyDescent="0.3">
      <c r="A715" s="171">
        <v>711</v>
      </c>
      <c r="B715" s="171" t="s">
        <v>2931</v>
      </c>
      <c r="C715" s="172">
        <v>46203</v>
      </c>
      <c r="D715" s="173" t="s">
        <v>2932</v>
      </c>
      <c r="E715" s="172">
        <v>46203</v>
      </c>
      <c r="F715" s="173" t="s">
        <v>2933</v>
      </c>
      <c r="G715" s="174" t="s">
        <v>71</v>
      </c>
      <c r="H715" s="175">
        <v>13840</v>
      </c>
      <c r="I715" s="175">
        <v>30800</v>
      </c>
      <c r="J715" s="175">
        <v>16960</v>
      </c>
    </row>
    <row r="716" spans="1:10" x14ac:dyDescent="0.3">
      <c r="A716" s="171">
        <v>712</v>
      </c>
      <c r="B716" s="171" t="s">
        <v>2934</v>
      </c>
      <c r="C716" s="172">
        <v>46203</v>
      </c>
      <c r="D716" s="173" t="s">
        <v>2935</v>
      </c>
      <c r="E716" s="172">
        <v>46203</v>
      </c>
      <c r="F716" s="173" t="s">
        <v>2936</v>
      </c>
      <c r="G716" s="174" t="s">
        <v>337</v>
      </c>
      <c r="H716" s="175">
        <v>13900</v>
      </c>
      <c r="I716" s="175">
        <v>29980</v>
      </c>
      <c r="J716" s="175">
        <v>16080</v>
      </c>
    </row>
    <row r="717" spans="1:10" x14ac:dyDescent="0.3">
      <c r="A717" s="171">
        <v>713</v>
      </c>
      <c r="B717" s="171" t="s">
        <v>2937</v>
      </c>
      <c r="C717" s="172">
        <v>46203</v>
      </c>
      <c r="D717" s="173" t="s">
        <v>2938</v>
      </c>
      <c r="E717" s="172">
        <v>46203</v>
      </c>
      <c r="F717" s="173" t="s">
        <v>2939</v>
      </c>
      <c r="G717" s="174" t="s">
        <v>839</v>
      </c>
      <c r="H717" s="175">
        <v>14000</v>
      </c>
      <c r="I717" s="175">
        <v>29540</v>
      </c>
      <c r="J717" s="175">
        <v>15540</v>
      </c>
    </row>
    <row r="718" spans="1:10" x14ac:dyDescent="0.3">
      <c r="A718" s="171">
        <v>714</v>
      </c>
      <c r="B718" s="171" t="s">
        <v>2940</v>
      </c>
      <c r="C718" s="172">
        <v>46203</v>
      </c>
      <c r="D718" s="173" t="s">
        <v>2941</v>
      </c>
      <c r="E718" s="172">
        <v>46203</v>
      </c>
      <c r="F718" s="173" t="s">
        <v>2942</v>
      </c>
      <c r="G718" s="174" t="s">
        <v>55</v>
      </c>
      <c r="H718" s="175">
        <v>13820</v>
      </c>
      <c r="I718" s="175">
        <v>28590</v>
      </c>
      <c r="J718" s="175">
        <v>14770</v>
      </c>
    </row>
    <row r="719" spans="1:10" x14ac:dyDescent="0.3">
      <c r="A719" s="171">
        <v>715</v>
      </c>
      <c r="B719" s="171" t="s">
        <v>2943</v>
      </c>
      <c r="C719" s="172">
        <v>46203</v>
      </c>
      <c r="D719" s="173" t="s">
        <v>2944</v>
      </c>
      <c r="E719" s="172">
        <v>46203</v>
      </c>
      <c r="F719" s="173" t="s">
        <v>2945</v>
      </c>
      <c r="G719" s="174" t="s">
        <v>85</v>
      </c>
      <c r="H719" s="175">
        <v>13850</v>
      </c>
      <c r="I719" s="175">
        <v>28800</v>
      </c>
      <c r="J719" s="175">
        <v>14950</v>
      </c>
    </row>
    <row r="720" spans="1:10" x14ac:dyDescent="0.3">
      <c r="A720" s="171">
        <v>716</v>
      </c>
      <c r="B720" s="171" t="s">
        <v>2946</v>
      </c>
      <c r="C720" s="172">
        <v>46203</v>
      </c>
      <c r="D720" s="173" t="s">
        <v>2947</v>
      </c>
      <c r="E720" s="172">
        <v>46203</v>
      </c>
      <c r="F720" s="173" t="s">
        <v>2948</v>
      </c>
      <c r="G720" s="174" t="s">
        <v>842</v>
      </c>
      <c r="H720" s="175">
        <v>14060</v>
      </c>
      <c r="I720" s="175">
        <v>30050</v>
      </c>
      <c r="J720" s="175">
        <v>15990</v>
      </c>
    </row>
    <row r="721" spans="1:10" x14ac:dyDescent="0.3">
      <c r="A721" s="171">
        <v>717</v>
      </c>
      <c r="B721" s="171" t="s">
        <v>2949</v>
      </c>
      <c r="C721" s="172">
        <v>46203</v>
      </c>
      <c r="D721" s="173" t="s">
        <v>2950</v>
      </c>
      <c r="E721" s="172">
        <v>46203</v>
      </c>
      <c r="F721" s="173" t="s">
        <v>2951</v>
      </c>
      <c r="G721" s="174" t="s">
        <v>143</v>
      </c>
      <c r="H721" s="175">
        <v>13870</v>
      </c>
      <c r="I721" s="175">
        <v>30100</v>
      </c>
      <c r="J721" s="175">
        <v>16230</v>
      </c>
    </row>
    <row r="722" spans="1:10" x14ac:dyDescent="0.3">
      <c r="A722" s="171">
        <v>718</v>
      </c>
      <c r="B722" s="171" t="s">
        <v>2952</v>
      </c>
      <c r="C722" s="172">
        <v>46203</v>
      </c>
      <c r="D722" s="173" t="s">
        <v>2953</v>
      </c>
      <c r="E722" s="172">
        <v>46203</v>
      </c>
      <c r="F722" s="173" t="s">
        <v>2954</v>
      </c>
      <c r="G722" s="174" t="s">
        <v>80</v>
      </c>
      <c r="H722" s="175">
        <v>13880</v>
      </c>
      <c r="I722" s="175">
        <v>30770</v>
      </c>
      <c r="J722" s="175">
        <v>16890</v>
      </c>
    </row>
    <row r="723" spans="1:10" x14ac:dyDescent="0.3">
      <c r="A723" s="171">
        <v>719</v>
      </c>
      <c r="B723" s="171" t="s">
        <v>2955</v>
      </c>
      <c r="C723" s="172">
        <v>46203</v>
      </c>
      <c r="D723" s="173" t="s">
        <v>2956</v>
      </c>
      <c r="E723" s="172">
        <v>46203</v>
      </c>
      <c r="F723" s="173" t="s">
        <v>2957</v>
      </c>
      <c r="G723" s="174" t="s">
        <v>335</v>
      </c>
      <c r="H723" s="175">
        <v>13820</v>
      </c>
      <c r="I723" s="175">
        <v>31240</v>
      </c>
      <c r="J723" s="175">
        <v>17420</v>
      </c>
    </row>
    <row r="724" spans="1:10" x14ac:dyDescent="0.3">
      <c r="A724" s="171">
        <v>720</v>
      </c>
      <c r="B724" s="171" t="s">
        <v>2958</v>
      </c>
      <c r="C724" s="172">
        <v>46203</v>
      </c>
      <c r="D724" s="173" t="s">
        <v>2959</v>
      </c>
      <c r="E724" s="172">
        <v>46203</v>
      </c>
      <c r="F724" s="173" t="s">
        <v>2960</v>
      </c>
      <c r="G724" s="174" t="s">
        <v>844</v>
      </c>
      <c r="H724" s="175">
        <v>13890</v>
      </c>
      <c r="I724" s="175">
        <v>32020</v>
      </c>
      <c r="J724" s="175">
        <v>18130</v>
      </c>
    </row>
    <row r="725" spans="1:10" x14ac:dyDescent="0.3">
      <c r="A725" s="171">
        <v>721</v>
      </c>
      <c r="B725" s="171" t="s">
        <v>2961</v>
      </c>
      <c r="C725" s="172">
        <v>46203</v>
      </c>
      <c r="D725" s="173" t="s">
        <v>2962</v>
      </c>
      <c r="E725" s="172">
        <v>46203</v>
      </c>
      <c r="F725" s="173" t="s">
        <v>2963</v>
      </c>
      <c r="G725" s="174" t="s">
        <v>336</v>
      </c>
      <c r="H725" s="175">
        <v>13800</v>
      </c>
      <c r="I725" s="175">
        <v>30620</v>
      </c>
      <c r="J725" s="175">
        <v>16820</v>
      </c>
    </row>
    <row r="726" spans="1:10" x14ac:dyDescent="0.3">
      <c r="A726" s="171">
        <v>722</v>
      </c>
      <c r="B726" s="171" t="s">
        <v>2964</v>
      </c>
      <c r="C726" s="172">
        <v>46203</v>
      </c>
      <c r="D726" s="173" t="s">
        <v>2965</v>
      </c>
      <c r="E726" s="172">
        <v>46203</v>
      </c>
      <c r="F726" s="173" t="s">
        <v>2966</v>
      </c>
      <c r="G726" s="174" t="s">
        <v>90</v>
      </c>
      <c r="H726" s="175">
        <v>13870</v>
      </c>
      <c r="I726" s="175">
        <v>32110</v>
      </c>
      <c r="J726" s="175">
        <v>18240</v>
      </c>
    </row>
    <row r="727" spans="1:10" x14ac:dyDescent="0.3">
      <c r="A727" s="171">
        <v>723</v>
      </c>
      <c r="B727" s="171" t="s">
        <v>2967</v>
      </c>
      <c r="C727" s="172">
        <v>46203</v>
      </c>
      <c r="D727" s="173" t="s">
        <v>1709</v>
      </c>
      <c r="E727" s="172">
        <v>46203</v>
      </c>
      <c r="F727" s="173" t="s">
        <v>2968</v>
      </c>
      <c r="G727" s="174" t="s">
        <v>537</v>
      </c>
      <c r="H727" s="175">
        <v>13930</v>
      </c>
      <c r="I727" s="175">
        <v>33570</v>
      </c>
      <c r="J727" s="175">
        <v>19640</v>
      </c>
    </row>
    <row r="728" spans="1:10" x14ac:dyDescent="0.3">
      <c r="A728" s="171">
        <v>724</v>
      </c>
      <c r="B728" s="171" t="s">
        <v>2969</v>
      </c>
      <c r="C728" s="172">
        <v>46203</v>
      </c>
      <c r="D728" s="173" t="s">
        <v>2970</v>
      </c>
      <c r="E728" s="172">
        <v>46203</v>
      </c>
      <c r="F728" s="173" t="s">
        <v>2971</v>
      </c>
      <c r="G728" s="174" t="s">
        <v>43</v>
      </c>
      <c r="H728" s="175">
        <v>13980</v>
      </c>
      <c r="I728" s="175">
        <v>29160</v>
      </c>
      <c r="J728" s="175">
        <v>15180</v>
      </c>
    </row>
    <row r="729" spans="1:10" x14ac:dyDescent="0.3">
      <c r="A729" s="171">
        <v>725</v>
      </c>
      <c r="B729" s="171" t="s">
        <v>2972</v>
      </c>
      <c r="C729" s="172">
        <v>46203</v>
      </c>
      <c r="D729" s="173" t="s">
        <v>2973</v>
      </c>
      <c r="E729" s="172">
        <v>46203</v>
      </c>
      <c r="F729" s="173" t="s">
        <v>2974</v>
      </c>
      <c r="G729" s="174" t="s">
        <v>64</v>
      </c>
      <c r="H729" s="175">
        <v>14000</v>
      </c>
      <c r="I729" s="175">
        <v>31190</v>
      </c>
      <c r="J729" s="175">
        <v>17190</v>
      </c>
    </row>
    <row r="730" spans="1:10" x14ac:dyDescent="0.3">
      <c r="A730" s="171">
        <v>726</v>
      </c>
      <c r="B730" s="171" t="s">
        <v>2975</v>
      </c>
      <c r="C730" s="172">
        <v>46203</v>
      </c>
      <c r="D730" s="173" t="s">
        <v>2976</v>
      </c>
      <c r="E730" s="172">
        <v>46203</v>
      </c>
      <c r="F730" s="173" t="s">
        <v>2977</v>
      </c>
      <c r="G730" s="174" t="s">
        <v>71</v>
      </c>
      <c r="H730" s="175">
        <v>13820</v>
      </c>
      <c r="I730" s="175">
        <v>30890</v>
      </c>
      <c r="J730" s="175">
        <v>17070</v>
      </c>
    </row>
    <row r="731" spans="1:10" x14ac:dyDescent="0.3">
      <c r="A731" s="171">
        <v>727</v>
      </c>
      <c r="B731" s="171" t="s">
        <v>2978</v>
      </c>
      <c r="C731" s="172">
        <v>46203</v>
      </c>
      <c r="D731" s="173" t="s">
        <v>2979</v>
      </c>
      <c r="E731" s="172">
        <v>46203</v>
      </c>
      <c r="F731" s="173" t="s">
        <v>2980</v>
      </c>
      <c r="G731" s="174" t="s">
        <v>337</v>
      </c>
      <c r="H731" s="175">
        <v>13870</v>
      </c>
      <c r="I731" s="175">
        <v>31900</v>
      </c>
      <c r="J731" s="175">
        <v>18030</v>
      </c>
    </row>
    <row r="732" spans="1:10" x14ac:dyDescent="0.3">
      <c r="A732" s="171">
        <v>728</v>
      </c>
      <c r="B732" s="171" t="s">
        <v>2981</v>
      </c>
      <c r="C732" s="172">
        <v>46203</v>
      </c>
      <c r="D732" s="173" t="s">
        <v>2982</v>
      </c>
      <c r="E732" s="172">
        <v>46203</v>
      </c>
      <c r="F732" s="173" t="s">
        <v>2983</v>
      </c>
      <c r="G732" s="174" t="s">
        <v>55</v>
      </c>
      <c r="H732" s="175">
        <v>13770</v>
      </c>
      <c r="I732" s="175">
        <v>30770</v>
      </c>
      <c r="J732" s="175">
        <v>17000</v>
      </c>
    </row>
    <row r="733" spans="1:10" x14ac:dyDescent="0.3">
      <c r="A733" s="171">
        <v>729</v>
      </c>
      <c r="B733" s="171" t="s">
        <v>2984</v>
      </c>
      <c r="C733" s="172">
        <v>46203</v>
      </c>
      <c r="D733" s="173" t="s">
        <v>2985</v>
      </c>
      <c r="E733" s="172">
        <v>46203</v>
      </c>
      <c r="F733" s="173" t="s">
        <v>2986</v>
      </c>
      <c r="G733" s="174" t="s">
        <v>839</v>
      </c>
      <c r="H733" s="175">
        <v>13970</v>
      </c>
      <c r="I733" s="175">
        <v>32980</v>
      </c>
      <c r="J733" s="175">
        <v>19010</v>
      </c>
    </row>
    <row r="734" spans="1:10" x14ac:dyDescent="0.3">
      <c r="A734" s="171">
        <v>730</v>
      </c>
      <c r="B734" s="171" t="s">
        <v>2987</v>
      </c>
      <c r="C734" s="172">
        <v>46203</v>
      </c>
      <c r="D734" s="173" t="s">
        <v>2988</v>
      </c>
      <c r="E734" s="172">
        <v>46203</v>
      </c>
      <c r="F734" s="173" t="s">
        <v>2989</v>
      </c>
      <c r="G734" s="174" t="s">
        <v>842</v>
      </c>
      <c r="H734" s="175">
        <v>14060</v>
      </c>
      <c r="I734" s="175">
        <v>30280</v>
      </c>
      <c r="J734" s="175">
        <v>16220</v>
      </c>
    </row>
    <row r="735" spans="1:10" x14ac:dyDescent="0.3">
      <c r="A735" s="171">
        <v>731</v>
      </c>
      <c r="B735" s="171" t="s">
        <v>2990</v>
      </c>
      <c r="C735" s="172">
        <v>46203</v>
      </c>
      <c r="D735" s="173" t="s">
        <v>2991</v>
      </c>
      <c r="E735" s="172">
        <v>46203</v>
      </c>
      <c r="F735" s="173" t="s">
        <v>2992</v>
      </c>
      <c r="G735" s="174" t="s">
        <v>143</v>
      </c>
      <c r="H735" s="175">
        <v>13850</v>
      </c>
      <c r="I735" s="175">
        <v>30920</v>
      </c>
      <c r="J735" s="175">
        <v>17070</v>
      </c>
    </row>
    <row r="736" spans="1:10" x14ac:dyDescent="0.3">
      <c r="A736" s="171">
        <v>732</v>
      </c>
      <c r="B736" s="171" t="s">
        <v>2993</v>
      </c>
      <c r="C736" s="172">
        <v>46203</v>
      </c>
      <c r="D736" s="173" t="s">
        <v>2994</v>
      </c>
      <c r="E736" s="172">
        <v>46203</v>
      </c>
      <c r="F736" s="173" t="s">
        <v>2995</v>
      </c>
      <c r="G736" s="174" t="s">
        <v>80</v>
      </c>
      <c r="H736" s="175">
        <v>13840</v>
      </c>
      <c r="I736" s="175">
        <v>30440</v>
      </c>
      <c r="J736" s="175">
        <v>16600</v>
      </c>
    </row>
    <row r="737" spans="1:10" x14ac:dyDescent="0.3">
      <c r="A737" s="171">
        <v>733</v>
      </c>
      <c r="B737" s="171" t="s">
        <v>2996</v>
      </c>
      <c r="C737" s="172">
        <v>46203</v>
      </c>
      <c r="D737" s="173" t="s">
        <v>2997</v>
      </c>
      <c r="E737" s="172">
        <v>46203</v>
      </c>
      <c r="F737" s="173" t="s">
        <v>2998</v>
      </c>
      <c r="G737" s="174" t="s">
        <v>85</v>
      </c>
      <c r="H737" s="175">
        <v>13850</v>
      </c>
      <c r="I737" s="175">
        <v>30340</v>
      </c>
      <c r="J737" s="175">
        <v>16490</v>
      </c>
    </row>
    <row r="738" spans="1:10" x14ac:dyDescent="0.3">
      <c r="A738" s="171">
        <v>734</v>
      </c>
      <c r="B738" s="171" t="s">
        <v>2999</v>
      </c>
      <c r="C738" s="172">
        <v>46203</v>
      </c>
      <c r="D738" s="173" t="s">
        <v>3000</v>
      </c>
      <c r="E738" s="172">
        <v>46203</v>
      </c>
      <c r="F738" s="173" t="s">
        <v>855</v>
      </c>
      <c r="G738" s="174" t="s">
        <v>844</v>
      </c>
      <c r="H738" s="175">
        <v>13890</v>
      </c>
      <c r="I738" s="175">
        <v>29930</v>
      </c>
      <c r="J738" s="175">
        <v>16040</v>
      </c>
    </row>
    <row r="739" spans="1:10" x14ac:dyDescent="0.3">
      <c r="A739" s="171">
        <v>735</v>
      </c>
      <c r="B739" s="171" t="s">
        <v>3001</v>
      </c>
      <c r="C739" s="172">
        <v>46203</v>
      </c>
      <c r="D739" s="173" t="s">
        <v>3002</v>
      </c>
      <c r="E739" s="172">
        <v>46203</v>
      </c>
      <c r="F739" s="173" t="s">
        <v>3003</v>
      </c>
      <c r="G739" s="174" t="s">
        <v>335</v>
      </c>
      <c r="H739" s="175">
        <v>13850</v>
      </c>
      <c r="I739" s="175">
        <v>32460</v>
      </c>
      <c r="J739" s="175">
        <v>18610</v>
      </c>
    </row>
    <row r="740" spans="1:10" x14ac:dyDescent="0.3">
      <c r="A740" s="171">
        <v>736</v>
      </c>
      <c r="B740" s="171" t="s">
        <v>3004</v>
      </c>
      <c r="C740" s="172">
        <v>46203</v>
      </c>
      <c r="D740" s="173" t="s">
        <v>3005</v>
      </c>
      <c r="E740" s="172">
        <v>46203</v>
      </c>
      <c r="F740" s="173" t="s">
        <v>3006</v>
      </c>
      <c r="G740" s="174" t="s">
        <v>336</v>
      </c>
      <c r="H740" s="175">
        <v>13790</v>
      </c>
      <c r="I740" s="175">
        <v>31040</v>
      </c>
      <c r="J740" s="175">
        <v>17250</v>
      </c>
    </row>
    <row r="741" spans="1:10" x14ac:dyDescent="0.3">
      <c r="A741" s="171">
        <v>737</v>
      </c>
      <c r="B741" s="171" t="s">
        <v>3007</v>
      </c>
      <c r="C741" s="172">
        <v>46203</v>
      </c>
      <c r="D741" s="173" t="s">
        <v>3008</v>
      </c>
      <c r="E741" s="172">
        <v>46203</v>
      </c>
      <c r="F741" s="173" t="s">
        <v>3009</v>
      </c>
      <c r="G741" s="174" t="s">
        <v>90</v>
      </c>
      <c r="H741" s="175">
        <v>13870</v>
      </c>
      <c r="I741" s="175">
        <v>29500</v>
      </c>
      <c r="J741" s="175">
        <v>15630</v>
      </c>
    </row>
    <row r="742" spans="1:10" x14ac:dyDescent="0.3">
      <c r="A742" s="171">
        <v>738</v>
      </c>
      <c r="B742" s="171" t="s">
        <v>3010</v>
      </c>
      <c r="C742" s="172">
        <v>46203</v>
      </c>
      <c r="D742" s="173" t="s">
        <v>3011</v>
      </c>
      <c r="E742" s="172">
        <v>46203</v>
      </c>
      <c r="F742" s="173" t="s">
        <v>3012</v>
      </c>
      <c r="G742" s="174" t="s">
        <v>537</v>
      </c>
      <c r="H742" s="175">
        <v>13940</v>
      </c>
      <c r="I742" s="175">
        <v>33620</v>
      </c>
      <c r="J742" s="175">
        <v>19680</v>
      </c>
    </row>
    <row r="743" spans="1:10" x14ac:dyDescent="0.3">
      <c r="A743" s="171">
        <v>739</v>
      </c>
      <c r="B743" s="171" t="s">
        <v>3013</v>
      </c>
      <c r="C743" s="172">
        <v>46203</v>
      </c>
      <c r="D743" s="173" t="s">
        <v>3014</v>
      </c>
      <c r="E743" s="172">
        <v>46203</v>
      </c>
      <c r="F743" s="173" t="s">
        <v>3015</v>
      </c>
      <c r="G743" s="174" t="s">
        <v>43</v>
      </c>
      <c r="H743" s="175">
        <v>13940</v>
      </c>
      <c r="I743" s="175">
        <v>34360</v>
      </c>
      <c r="J743" s="175">
        <v>20420</v>
      </c>
    </row>
    <row r="744" spans="1:10" x14ac:dyDescent="0.3">
      <c r="A744" s="171">
        <v>740</v>
      </c>
      <c r="B744" s="171" t="s">
        <v>3016</v>
      </c>
      <c r="C744" s="172">
        <v>46203</v>
      </c>
      <c r="D744" s="173" t="s">
        <v>3017</v>
      </c>
      <c r="E744" s="172">
        <v>46203</v>
      </c>
      <c r="F744" s="173" t="s">
        <v>3018</v>
      </c>
      <c r="G744" s="174" t="s">
        <v>64</v>
      </c>
      <c r="H744" s="175">
        <v>13920</v>
      </c>
      <c r="I744" s="175">
        <v>32860</v>
      </c>
      <c r="J744" s="175">
        <v>18940</v>
      </c>
    </row>
    <row r="745" spans="1:10" x14ac:dyDescent="0.3">
      <c r="A745" s="171">
        <v>741</v>
      </c>
      <c r="B745" s="171" t="s">
        <v>3019</v>
      </c>
      <c r="C745" s="172">
        <v>46203</v>
      </c>
      <c r="D745" s="173" t="s">
        <v>2559</v>
      </c>
      <c r="E745" s="172">
        <v>46203</v>
      </c>
      <c r="F745" s="173" t="s">
        <v>3020</v>
      </c>
      <c r="G745" s="174" t="s">
        <v>71</v>
      </c>
      <c r="H745" s="175">
        <v>13790</v>
      </c>
      <c r="I745" s="175">
        <v>33460</v>
      </c>
      <c r="J745" s="175">
        <v>19670</v>
      </c>
    </row>
    <row r="746" spans="1:10" x14ac:dyDescent="0.3">
      <c r="A746" s="171">
        <v>742</v>
      </c>
      <c r="B746" s="171" t="s">
        <v>3021</v>
      </c>
      <c r="C746" s="172">
        <v>46203</v>
      </c>
      <c r="D746" s="173" t="s">
        <v>3022</v>
      </c>
      <c r="E746" s="172">
        <v>46203</v>
      </c>
      <c r="F746" s="173" t="s">
        <v>3023</v>
      </c>
      <c r="G746" s="174" t="s">
        <v>337</v>
      </c>
      <c r="H746" s="175">
        <v>13850</v>
      </c>
      <c r="I746" s="175">
        <v>33870</v>
      </c>
      <c r="J746" s="175">
        <v>20020</v>
      </c>
    </row>
    <row r="747" spans="1:10" x14ac:dyDescent="0.3">
      <c r="A747" s="171">
        <v>743</v>
      </c>
      <c r="B747" s="171" t="s">
        <v>3024</v>
      </c>
      <c r="C747" s="172">
        <v>46203</v>
      </c>
      <c r="D747" s="173" t="s">
        <v>3025</v>
      </c>
      <c r="E747" s="172">
        <v>46203</v>
      </c>
      <c r="F747" s="173" t="s">
        <v>3026</v>
      </c>
      <c r="G747" s="174" t="s">
        <v>839</v>
      </c>
      <c r="H747" s="175">
        <v>14010</v>
      </c>
      <c r="I747" s="175">
        <v>33870</v>
      </c>
      <c r="J747" s="175">
        <v>19860</v>
      </c>
    </row>
    <row r="748" spans="1:10" x14ac:dyDescent="0.3">
      <c r="A748" s="171">
        <v>744</v>
      </c>
      <c r="B748" s="171" t="s">
        <v>3027</v>
      </c>
      <c r="C748" s="172">
        <v>46203</v>
      </c>
      <c r="D748" s="173" t="s">
        <v>3028</v>
      </c>
      <c r="E748" s="172">
        <v>46203</v>
      </c>
      <c r="F748" s="173" t="s">
        <v>3029</v>
      </c>
      <c r="G748" s="174" t="s">
        <v>55</v>
      </c>
      <c r="H748" s="175">
        <v>13760</v>
      </c>
      <c r="I748" s="175">
        <v>33320</v>
      </c>
      <c r="J748" s="175">
        <v>19560</v>
      </c>
    </row>
    <row r="749" spans="1:10" x14ac:dyDescent="0.3">
      <c r="A749" s="171">
        <v>745</v>
      </c>
      <c r="B749" s="171" t="s">
        <v>3030</v>
      </c>
      <c r="C749" s="172">
        <v>46203</v>
      </c>
      <c r="D749" s="173" t="s">
        <v>3031</v>
      </c>
      <c r="E749" s="172">
        <v>46203</v>
      </c>
      <c r="F749" s="173" t="s">
        <v>3032</v>
      </c>
      <c r="G749" s="174" t="s">
        <v>842</v>
      </c>
      <c r="H749" s="175">
        <v>14050</v>
      </c>
      <c r="I749" s="175">
        <v>33790</v>
      </c>
      <c r="J749" s="175">
        <v>19740</v>
      </c>
    </row>
    <row r="750" spans="1:10" x14ac:dyDescent="0.3">
      <c r="A750" s="171">
        <v>746</v>
      </c>
      <c r="B750" s="171" t="s">
        <v>3033</v>
      </c>
      <c r="C750" s="172">
        <v>46203</v>
      </c>
      <c r="D750" s="173" t="s">
        <v>3034</v>
      </c>
      <c r="E750" s="172">
        <v>46203</v>
      </c>
      <c r="F750" s="173" t="s">
        <v>3035</v>
      </c>
      <c r="G750" s="174" t="s">
        <v>143</v>
      </c>
      <c r="H750" s="175">
        <v>13810</v>
      </c>
      <c r="I750" s="175">
        <v>32350</v>
      </c>
      <c r="J750" s="175">
        <v>18540</v>
      </c>
    </row>
    <row r="751" spans="1:10" x14ac:dyDescent="0.3">
      <c r="A751" s="171">
        <v>747</v>
      </c>
      <c r="B751" s="171" t="s">
        <v>3036</v>
      </c>
      <c r="C751" s="172">
        <v>46203</v>
      </c>
      <c r="D751" s="173" t="s">
        <v>3037</v>
      </c>
      <c r="E751" s="172">
        <v>46203</v>
      </c>
      <c r="F751" s="173" t="s">
        <v>3038</v>
      </c>
      <c r="G751" s="174" t="s">
        <v>80</v>
      </c>
      <c r="H751" s="175">
        <v>13930</v>
      </c>
      <c r="I751" s="175">
        <v>32590</v>
      </c>
      <c r="J751" s="175">
        <v>18660</v>
      </c>
    </row>
    <row r="752" spans="1:10" x14ac:dyDescent="0.3">
      <c r="A752" s="171">
        <v>748</v>
      </c>
      <c r="B752" s="171" t="s">
        <v>3039</v>
      </c>
      <c r="C752" s="172">
        <v>46203</v>
      </c>
      <c r="D752" s="173" t="s">
        <v>3040</v>
      </c>
      <c r="E752" s="172">
        <v>46203</v>
      </c>
      <c r="F752" s="173" t="s">
        <v>3041</v>
      </c>
      <c r="G752" s="174" t="s">
        <v>844</v>
      </c>
      <c r="H752" s="175">
        <v>13820</v>
      </c>
      <c r="I752" s="175">
        <v>32910</v>
      </c>
      <c r="J752" s="175">
        <v>19090</v>
      </c>
    </row>
    <row r="753" spans="1:10" x14ac:dyDescent="0.3">
      <c r="A753" s="171">
        <v>749</v>
      </c>
      <c r="B753" s="171" t="s">
        <v>3042</v>
      </c>
      <c r="C753" s="172">
        <v>46203</v>
      </c>
      <c r="D753" s="173" t="s">
        <v>3043</v>
      </c>
      <c r="E753" s="172">
        <v>46203</v>
      </c>
      <c r="F753" s="173" t="s">
        <v>3044</v>
      </c>
      <c r="G753" s="174" t="s">
        <v>335</v>
      </c>
      <c r="H753" s="175">
        <v>13770</v>
      </c>
      <c r="I753" s="175">
        <v>32900</v>
      </c>
      <c r="J753" s="175">
        <v>19130</v>
      </c>
    </row>
    <row r="754" spans="1:10" x14ac:dyDescent="0.3">
      <c r="A754" s="171">
        <v>750</v>
      </c>
      <c r="B754" s="171" t="s">
        <v>3045</v>
      </c>
      <c r="C754" s="172">
        <v>46203</v>
      </c>
      <c r="D754" s="173" t="s">
        <v>3046</v>
      </c>
      <c r="E754" s="172">
        <v>46203</v>
      </c>
      <c r="F754" s="173" t="s">
        <v>3047</v>
      </c>
      <c r="G754" s="174" t="s">
        <v>336</v>
      </c>
      <c r="H754" s="175">
        <v>13750</v>
      </c>
      <c r="I754" s="175">
        <v>33740</v>
      </c>
      <c r="J754" s="175">
        <v>19990</v>
      </c>
    </row>
    <row r="755" spans="1:10" x14ac:dyDescent="0.3">
      <c r="A755" s="171">
        <v>751</v>
      </c>
      <c r="B755" s="171" t="s">
        <v>3048</v>
      </c>
      <c r="C755" s="172">
        <v>46203</v>
      </c>
      <c r="D755" s="173" t="s">
        <v>3049</v>
      </c>
      <c r="E755" s="172">
        <v>46203</v>
      </c>
      <c r="F755" s="173" t="s">
        <v>3050</v>
      </c>
      <c r="G755" s="174" t="s">
        <v>90</v>
      </c>
      <c r="H755" s="175">
        <v>13830</v>
      </c>
      <c r="I755" s="175">
        <v>32770</v>
      </c>
      <c r="J755" s="175">
        <v>18940</v>
      </c>
    </row>
    <row r="756" spans="1:10" x14ac:dyDescent="0.3">
      <c r="A756" s="171">
        <v>752</v>
      </c>
      <c r="B756" s="171" t="s">
        <v>3051</v>
      </c>
      <c r="C756" s="172">
        <v>46203</v>
      </c>
      <c r="D756" s="173" t="s">
        <v>3052</v>
      </c>
      <c r="E756" s="172">
        <v>46203</v>
      </c>
      <c r="F756" s="173" t="s">
        <v>3053</v>
      </c>
      <c r="G756" s="174" t="s">
        <v>537</v>
      </c>
      <c r="H756" s="175">
        <v>13930</v>
      </c>
      <c r="I756" s="175">
        <v>33580</v>
      </c>
      <c r="J756" s="175">
        <v>19650</v>
      </c>
    </row>
    <row r="757" spans="1:10" x14ac:dyDescent="0.3">
      <c r="A757" s="171">
        <v>753</v>
      </c>
      <c r="B757" s="171" t="s">
        <v>3054</v>
      </c>
      <c r="C757" s="172">
        <v>46203</v>
      </c>
      <c r="D757" s="173" t="s">
        <v>3055</v>
      </c>
      <c r="E757" s="172">
        <v>46203</v>
      </c>
      <c r="F757" s="173" t="s">
        <v>3056</v>
      </c>
      <c r="G757" s="174" t="s">
        <v>43</v>
      </c>
      <c r="H757" s="175">
        <v>13930</v>
      </c>
      <c r="I757" s="175">
        <v>32510</v>
      </c>
      <c r="J757" s="175">
        <v>18580</v>
      </c>
    </row>
    <row r="758" spans="1:10" x14ac:dyDescent="0.3">
      <c r="A758" s="171">
        <v>754</v>
      </c>
      <c r="B758" s="171" t="s">
        <v>3057</v>
      </c>
      <c r="C758" s="172">
        <v>46203</v>
      </c>
      <c r="D758" s="173" t="s">
        <v>3058</v>
      </c>
      <c r="E758" s="172">
        <v>46203</v>
      </c>
      <c r="F758" s="173" t="s">
        <v>3059</v>
      </c>
      <c r="G758" s="174" t="s">
        <v>64</v>
      </c>
      <c r="H758" s="175">
        <v>13880</v>
      </c>
      <c r="I758" s="175">
        <v>32840</v>
      </c>
      <c r="J758" s="175">
        <v>18960</v>
      </c>
    </row>
    <row r="759" spans="1:10" x14ac:dyDescent="0.3">
      <c r="A759" s="171">
        <v>755</v>
      </c>
      <c r="B759" s="171" t="s">
        <v>3060</v>
      </c>
      <c r="C759" s="172">
        <v>46203</v>
      </c>
      <c r="D759" s="173" t="s">
        <v>851</v>
      </c>
      <c r="E759" s="172">
        <v>46203</v>
      </c>
      <c r="F759" s="173" t="s">
        <v>3061</v>
      </c>
      <c r="G759" s="174" t="s">
        <v>337</v>
      </c>
      <c r="H759" s="175">
        <v>13800</v>
      </c>
      <c r="I759" s="175">
        <v>30670</v>
      </c>
      <c r="J759" s="175">
        <v>16870</v>
      </c>
    </row>
    <row r="760" spans="1:10" x14ac:dyDescent="0.3">
      <c r="A760" s="171">
        <v>756</v>
      </c>
      <c r="B760" s="171" t="s">
        <v>3062</v>
      </c>
      <c r="C760" s="172">
        <v>46203</v>
      </c>
      <c r="D760" s="173" t="s">
        <v>3063</v>
      </c>
      <c r="E760" s="172">
        <v>46203</v>
      </c>
      <c r="F760" s="173" t="s">
        <v>3064</v>
      </c>
      <c r="G760" s="174" t="s">
        <v>55</v>
      </c>
      <c r="H760" s="175">
        <v>13710</v>
      </c>
      <c r="I760" s="175">
        <v>29690</v>
      </c>
      <c r="J760" s="175">
        <v>15980</v>
      </c>
    </row>
    <row r="761" spans="1:10" x14ac:dyDescent="0.3">
      <c r="A761" s="171">
        <v>757</v>
      </c>
      <c r="B761" s="171" t="s">
        <v>3065</v>
      </c>
      <c r="C761" s="172">
        <v>46203</v>
      </c>
      <c r="D761" s="173" t="s">
        <v>3066</v>
      </c>
      <c r="E761" s="172">
        <v>46203</v>
      </c>
      <c r="F761" s="173" t="s">
        <v>3067</v>
      </c>
      <c r="G761" s="174" t="s">
        <v>143</v>
      </c>
      <c r="H761" s="175">
        <v>13790</v>
      </c>
      <c r="I761" s="175">
        <v>29380</v>
      </c>
      <c r="J761" s="175">
        <v>15590</v>
      </c>
    </row>
    <row r="762" spans="1:10" x14ac:dyDescent="0.3">
      <c r="A762" s="171">
        <v>758</v>
      </c>
      <c r="B762" s="171" t="s">
        <v>3068</v>
      </c>
      <c r="C762" s="172">
        <v>46203</v>
      </c>
      <c r="D762" s="173" t="s">
        <v>3069</v>
      </c>
      <c r="E762" s="172">
        <v>46203</v>
      </c>
      <c r="F762" s="173" t="s">
        <v>3070</v>
      </c>
      <c r="G762" s="174" t="s">
        <v>842</v>
      </c>
      <c r="H762" s="175">
        <v>14010</v>
      </c>
      <c r="I762" s="175">
        <v>30180</v>
      </c>
      <c r="J762" s="175">
        <v>16170</v>
      </c>
    </row>
    <row r="763" spans="1:10" x14ac:dyDescent="0.3">
      <c r="A763" s="171">
        <v>759</v>
      </c>
      <c r="B763" s="171" t="s">
        <v>3071</v>
      </c>
      <c r="C763" s="172">
        <v>46203</v>
      </c>
      <c r="D763" s="173" t="s">
        <v>3072</v>
      </c>
      <c r="E763" s="172">
        <v>46203</v>
      </c>
      <c r="F763" s="173" t="s">
        <v>3073</v>
      </c>
      <c r="G763" s="174" t="s">
        <v>80</v>
      </c>
      <c r="H763" s="175">
        <v>14250</v>
      </c>
      <c r="I763" s="175">
        <v>30580</v>
      </c>
      <c r="J763" s="175">
        <v>16330</v>
      </c>
    </row>
    <row r="764" spans="1:10" x14ac:dyDescent="0.3">
      <c r="A764" s="171">
        <v>760</v>
      </c>
      <c r="B764" s="171" t="s">
        <v>3074</v>
      </c>
      <c r="C764" s="172">
        <v>46203</v>
      </c>
      <c r="D764" s="173" t="s">
        <v>3075</v>
      </c>
      <c r="E764" s="172">
        <v>46203</v>
      </c>
      <c r="F764" s="173" t="s">
        <v>3076</v>
      </c>
      <c r="G764" s="174" t="s">
        <v>335</v>
      </c>
      <c r="H764" s="175">
        <v>13750</v>
      </c>
      <c r="I764" s="175">
        <v>28460</v>
      </c>
      <c r="J764" s="175">
        <v>14710</v>
      </c>
    </row>
    <row r="765" spans="1:10" x14ac:dyDescent="0.3">
      <c r="A765" s="171">
        <v>761</v>
      </c>
      <c r="B765" s="171" t="s">
        <v>3077</v>
      </c>
      <c r="C765" s="172">
        <v>46203</v>
      </c>
      <c r="D765" s="173" t="s">
        <v>3078</v>
      </c>
      <c r="E765" s="172">
        <v>46203</v>
      </c>
      <c r="F765" s="173" t="s">
        <v>3079</v>
      </c>
      <c r="G765" s="174" t="s">
        <v>844</v>
      </c>
      <c r="H765" s="175">
        <v>13990</v>
      </c>
      <c r="I765" s="175">
        <v>29670</v>
      </c>
      <c r="J765" s="175">
        <v>15680</v>
      </c>
    </row>
    <row r="766" spans="1:10" x14ac:dyDescent="0.3">
      <c r="A766" s="271" t="s">
        <v>320</v>
      </c>
      <c r="B766" s="271"/>
      <c r="C766" s="271"/>
      <c r="D766" s="271"/>
      <c r="E766" s="271"/>
      <c r="F766" s="271"/>
      <c r="G766" s="271"/>
      <c r="H766" s="271"/>
      <c r="I766" s="271"/>
      <c r="J766" s="176">
        <f>SUM(J5:J765)</f>
        <v>14093420</v>
      </c>
    </row>
    <row r="767" spans="1:10" x14ac:dyDescent="0.3">
      <c r="A767" s="110"/>
      <c r="B767" s="110"/>
      <c r="C767" s="104"/>
      <c r="D767" s="101"/>
      <c r="E767" s="101"/>
      <c r="F767" s="101"/>
      <c r="G767" s="268" t="s">
        <v>3080</v>
      </c>
      <c r="H767" s="268"/>
      <c r="I767" s="268"/>
      <c r="J767" s="268"/>
    </row>
    <row r="768" spans="1:10" x14ac:dyDescent="0.3">
      <c r="A768" s="262" t="s">
        <v>333</v>
      </c>
      <c r="B768" s="262"/>
      <c r="C768" s="262"/>
      <c r="D768" s="262"/>
      <c r="E768" s="262"/>
      <c r="F768" s="262"/>
      <c r="G768" s="263" t="s">
        <v>45</v>
      </c>
      <c r="H768" s="263"/>
      <c r="I768" s="263"/>
      <c r="J768" s="263"/>
    </row>
    <row r="769" spans="1:10" x14ac:dyDescent="0.3">
      <c r="A769" s="111"/>
      <c r="B769" s="263" t="s">
        <v>829</v>
      </c>
      <c r="C769" s="263"/>
      <c r="D769" s="263" t="s">
        <v>325</v>
      </c>
      <c r="E769" s="263"/>
      <c r="F769" s="177"/>
      <c r="G769" s="263" t="s">
        <v>830</v>
      </c>
      <c r="H769" s="263"/>
      <c r="I769" s="263" t="s">
        <v>325</v>
      </c>
      <c r="J769" s="263"/>
    </row>
    <row r="770" spans="1:10" x14ac:dyDescent="0.3">
      <c r="A770" s="112"/>
      <c r="B770" s="112"/>
      <c r="C770" s="178"/>
      <c r="D770" s="103"/>
      <c r="E770" s="103"/>
      <c r="F770" s="103"/>
      <c r="G770" s="103"/>
      <c r="H770" s="179"/>
      <c r="I770" s="179"/>
      <c r="J770" s="103"/>
    </row>
    <row r="771" spans="1:10" x14ac:dyDescent="0.3">
      <c r="A771" s="112"/>
      <c r="B771" s="112"/>
      <c r="C771" s="178"/>
      <c r="D771" s="103"/>
      <c r="E771" s="103"/>
      <c r="F771" s="103"/>
      <c r="G771" s="103"/>
      <c r="H771" s="179"/>
      <c r="I771" s="179"/>
      <c r="J771" s="103"/>
    </row>
    <row r="772" spans="1:10" x14ac:dyDescent="0.3">
      <c r="A772" s="112"/>
      <c r="B772" s="112"/>
      <c r="C772" s="178"/>
      <c r="D772" s="103"/>
      <c r="E772" s="103"/>
      <c r="F772" s="103"/>
      <c r="G772" s="103"/>
      <c r="H772" s="179"/>
      <c r="I772" s="179"/>
      <c r="J772" s="103"/>
    </row>
    <row r="773" spans="1:10" x14ac:dyDescent="0.3">
      <c r="A773" s="112"/>
      <c r="B773" s="263"/>
      <c r="C773" s="263"/>
      <c r="D773" s="263" t="s">
        <v>836</v>
      </c>
      <c r="E773" s="263"/>
      <c r="F773" s="103"/>
      <c r="G773" s="103"/>
      <c r="H773" s="179"/>
      <c r="I773" s="179"/>
      <c r="J773" s="103"/>
    </row>
    <row r="774" spans="1:10" x14ac:dyDescent="0.3">
      <c r="A774" s="113"/>
      <c r="B774" s="263" t="s">
        <v>832</v>
      </c>
      <c r="C774" s="263"/>
      <c r="D774" s="263"/>
      <c r="E774" s="263"/>
      <c r="F774" s="102"/>
      <c r="G774" s="263" t="s">
        <v>833</v>
      </c>
      <c r="H774" s="263"/>
      <c r="I774" s="269" t="s">
        <v>831</v>
      </c>
      <c r="J774" s="269"/>
    </row>
  </sheetData>
  <mergeCells count="16">
    <mergeCell ref="A768:F768"/>
    <mergeCell ref="G768:J768"/>
    <mergeCell ref="A1:F1"/>
    <mergeCell ref="A2:F2"/>
    <mergeCell ref="A3:J3"/>
    <mergeCell ref="A766:I766"/>
    <mergeCell ref="G767:J767"/>
    <mergeCell ref="B769:C769"/>
    <mergeCell ref="D769:E769"/>
    <mergeCell ref="G769:H769"/>
    <mergeCell ref="I769:J769"/>
    <mergeCell ref="B773:C773"/>
    <mergeCell ref="D773:E774"/>
    <mergeCell ref="B774:C774"/>
    <mergeCell ref="G774:H774"/>
    <mergeCell ref="I774:J774"/>
  </mergeCells>
  <pageMargins left="0.7" right="0.7" top="0.75" bottom="0.75" header="0.3" footer="0.3"/>
  <pageSetup paperSize="9" scale="6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E322-80EB-45E6-A524-E5A30D666C1D}">
  <dimension ref="A1:I33"/>
  <sheetViews>
    <sheetView zoomScaleNormal="100" workbookViewId="0">
      <selection activeCell="E7" sqref="E7"/>
    </sheetView>
  </sheetViews>
  <sheetFormatPr defaultColWidth="7.77734375" defaultRowHeight="18.75" x14ac:dyDescent="0.3"/>
  <cols>
    <col min="1" max="1" width="14.5546875" style="183" customWidth="1"/>
    <col min="2" max="2" width="14.77734375" style="184" customWidth="1"/>
    <col min="3" max="3" width="9.33203125" style="182" customWidth="1"/>
    <col min="4" max="4" width="10.21875" style="182" customWidth="1"/>
    <col min="5" max="5" width="16.88671875" style="182" customWidth="1"/>
    <col min="6" max="6" width="16.109375" style="182" customWidth="1"/>
    <col min="7" max="7" width="20.33203125" style="182" customWidth="1"/>
    <col min="8" max="16384" width="7.77734375" style="182"/>
  </cols>
  <sheetData>
    <row r="1" spans="1:8" ht="27" customHeight="1" x14ac:dyDescent="0.3">
      <c r="A1" s="274" t="s">
        <v>3082</v>
      </c>
      <c r="B1" s="274"/>
      <c r="C1" s="274"/>
      <c r="D1" s="274"/>
      <c r="E1" s="274"/>
      <c r="F1" s="274"/>
      <c r="G1" s="274"/>
      <c r="H1" s="201"/>
    </row>
    <row r="2" spans="1:8" s="203" customFormat="1" ht="30.75" customHeight="1" x14ac:dyDescent="0.3">
      <c r="A2" s="202" t="s">
        <v>15</v>
      </c>
      <c r="B2" s="203" t="s">
        <v>22</v>
      </c>
      <c r="C2" s="203" t="s">
        <v>16</v>
      </c>
      <c r="D2" s="203" t="s">
        <v>18</v>
      </c>
      <c r="E2" s="203" t="s">
        <v>19</v>
      </c>
      <c r="F2" s="203" t="s">
        <v>20</v>
      </c>
      <c r="G2" s="203" t="s">
        <v>24</v>
      </c>
      <c r="H2" s="204"/>
    </row>
    <row r="3" spans="1:8" ht="24" customHeight="1" x14ac:dyDescent="0.3">
      <c r="A3" s="172">
        <v>46230</v>
      </c>
      <c r="B3" s="185" t="s">
        <v>3106</v>
      </c>
      <c r="C3" s="182" t="s">
        <v>334</v>
      </c>
      <c r="D3" s="186">
        <v>75</v>
      </c>
      <c r="E3" s="205">
        <v>25760</v>
      </c>
      <c r="F3" s="206">
        <v>46226</v>
      </c>
      <c r="G3" s="182" t="s">
        <v>527</v>
      </c>
      <c r="H3" s="201"/>
    </row>
    <row r="4" spans="1:8" ht="24" customHeight="1" x14ac:dyDescent="0.3">
      <c r="A4" s="172">
        <v>46230</v>
      </c>
      <c r="B4" s="185" t="s">
        <v>3106</v>
      </c>
      <c r="C4" s="182" t="s">
        <v>334</v>
      </c>
      <c r="D4" s="186">
        <v>396</v>
      </c>
      <c r="E4" s="205">
        <v>25760</v>
      </c>
      <c r="F4" s="206">
        <v>46226</v>
      </c>
      <c r="G4" s="182" t="s">
        <v>527</v>
      </c>
      <c r="H4" s="201"/>
    </row>
    <row r="5" spans="1:8" ht="24" customHeight="1" x14ac:dyDescent="0.3">
      <c r="A5" s="172">
        <v>46230</v>
      </c>
      <c r="B5" s="185" t="s">
        <v>310</v>
      </c>
      <c r="C5" s="182" t="s">
        <v>334</v>
      </c>
      <c r="D5" s="186">
        <v>291</v>
      </c>
      <c r="E5" s="205">
        <v>25760</v>
      </c>
      <c r="F5" s="206">
        <v>46226</v>
      </c>
      <c r="G5" s="182" t="s">
        <v>527</v>
      </c>
      <c r="H5" s="201"/>
    </row>
    <row r="6" spans="1:8" ht="24" customHeight="1" x14ac:dyDescent="0.3">
      <c r="A6" s="172">
        <v>46230</v>
      </c>
      <c r="B6" s="185" t="s">
        <v>3102</v>
      </c>
      <c r="C6" s="182" t="s">
        <v>334</v>
      </c>
      <c r="D6" s="186">
        <v>349</v>
      </c>
      <c r="E6" s="205">
        <v>25760</v>
      </c>
      <c r="F6" s="206">
        <v>46226</v>
      </c>
      <c r="G6" s="182" t="s">
        <v>527</v>
      </c>
      <c r="H6" s="201"/>
    </row>
    <row r="7" spans="1:8" ht="24" customHeight="1" x14ac:dyDescent="0.3">
      <c r="A7" s="172">
        <v>46230</v>
      </c>
      <c r="B7" s="185" t="s">
        <v>3105</v>
      </c>
      <c r="C7" s="182" t="s">
        <v>334</v>
      </c>
      <c r="D7" s="186">
        <v>440</v>
      </c>
      <c r="E7" s="205">
        <v>25760</v>
      </c>
      <c r="F7" s="206">
        <v>46226</v>
      </c>
      <c r="G7" s="182" t="s">
        <v>527</v>
      </c>
      <c r="H7" s="201"/>
    </row>
    <row r="8" spans="1:8" ht="24" customHeight="1" x14ac:dyDescent="0.3">
      <c r="A8" s="172">
        <v>46230</v>
      </c>
      <c r="B8" s="185" t="s">
        <v>301</v>
      </c>
      <c r="C8" s="182" t="s">
        <v>334</v>
      </c>
      <c r="D8" s="186">
        <v>204</v>
      </c>
      <c r="E8" s="205">
        <v>25760</v>
      </c>
      <c r="F8" s="206">
        <v>46226</v>
      </c>
      <c r="G8" s="182" t="s">
        <v>527</v>
      </c>
      <c r="H8" s="201"/>
    </row>
    <row r="9" spans="1:8" ht="24" customHeight="1" x14ac:dyDescent="0.3">
      <c r="A9" s="172">
        <v>46230</v>
      </c>
      <c r="B9" s="185" t="s">
        <v>3101</v>
      </c>
      <c r="C9" s="182" t="s">
        <v>334</v>
      </c>
      <c r="D9" s="186">
        <v>238</v>
      </c>
      <c r="E9" s="205">
        <v>25760</v>
      </c>
      <c r="F9" s="206">
        <v>46226</v>
      </c>
      <c r="G9" s="182" t="s">
        <v>527</v>
      </c>
      <c r="H9" s="201"/>
    </row>
    <row r="10" spans="1:8" ht="24" customHeight="1" x14ac:dyDescent="0.3">
      <c r="A10" s="172">
        <v>46231</v>
      </c>
      <c r="B10" s="185" t="s">
        <v>3104</v>
      </c>
      <c r="C10" s="182" t="s">
        <v>334</v>
      </c>
      <c r="D10" s="186">
        <v>394</v>
      </c>
      <c r="E10" s="205">
        <v>25760</v>
      </c>
      <c r="F10" s="206">
        <v>46226</v>
      </c>
      <c r="G10" s="182" t="s">
        <v>527</v>
      </c>
      <c r="H10" s="201"/>
    </row>
    <row r="11" spans="1:8" ht="24" customHeight="1" x14ac:dyDescent="0.3">
      <c r="A11" s="172">
        <v>46231</v>
      </c>
      <c r="B11" s="185" t="s">
        <v>304</v>
      </c>
      <c r="C11" s="182" t="s">
        <v>334</v>
      </c>
      <c r="D11" s="186">
        <v>401</v>
      </c>
      <c r="E11" s="205">
        <v>25760</v>
      </c>
      <c r="F11" s="206">
        <v>46226</v>
      </c>
      <c r="G11" s="182" t="s">
        <v>527</v>
      </c>
      <c r="H11" s="201"/>
    </row>
    <row r="12" spans="1:8" ht="24" customHeight="1" x14ac:dyDescent="0.3">
      <c r="A12" s="172">
        <v>46231</v>
      </c>
      <c r="B12" s="185" t="s">
        <v>310</v>
      </c>
      <c r="C12" s="182" t="s">
        <v>334</v>
      </c>
      <c r="D12" s="186">
        <v>264</v>
      </c>
      <c r="E12" s="205">
        <v>25760</v>
      </c>
      <c r="F12" s="206">
        <v>46226</v>
      </c>
      <c r="G12" s="182" t="s">
        <v>527</v>
      </c>
      <c r="H12" s="201"/>
    </row>
    <row r="13" spans="1:8" ht="24" customHeight="1" x14ac:dyDescent="0.3">
      <c r="A13" s="172">
        <v>46231</v>
      </c>
      <c r="B13" s="185" t="s">
        <v>3108</v>
      </c>
      <c r="C13" s="182" t="s">
        <v>334</v>
      </c>
      <c r="D13" s="186">
        <v>324</v>
      </c>
      <c r="E13" s="205">
        <v>25760</v>
      </c>
      <c r="F13" s="206">
        <v>46226</v>
      </c>
      <c r="G13" s="182" t="s">
        <v>527</v>
      </c>
      <c r="H13" s="201"/>
    </row>
    <row r="14" spans="1:8" ht="24" customHeight="1" x14ac:dyDescent="0.3">
      <c r="A14" s="172">
        <v>46231</v>
      </c>
      <c r="B14" s="185" t="s">
        <v>3102</v>
      </c>
      <c r="C14" s="182" t="s">
        <v>334</v>
      </c>
      <c r="D14" s="186">
        <v>377</v>
      </c>
      <c r="E14" s="205">
        <v>25760</v>
      </c>
      <c r="F14" s="206">
        <v>46226</v>
      </c>
      <c r="G14" s="182" t="s">
        <v>527</v>
      </c>
      <c r="H14" s="201"/>
    </row>
    <row r="15" spans="1:8" ht="24" customHeight="1" x14ac:dyDescent="0.3">
      <c r="A15" s="172">
        <v>46232</v>
      </c>
      <c r="B15" s="185" t="s">
        <v>3107</v>
      </c>
      <c r="C15" s="182" t="s">
        <v>334</v>
      </c>
      <c r="D15" s="186">
        <v>454</v>
      </c>
      <c r="E15" s="205">
        <v>25760</v>
      </c>
      <c r="F15" s="206">
        <v>46226</v>
      </c>
      <c r="G15" s="182" t="s">
        <v>527</v>
      </c>
      <c r="H15" s="201"/>
    </row>
    <row r="16" spans="1:8" ht="24" customHeight="1" x14ac:dyDescent="0.3">
      <c r="A16" s="172">
        <v>46232</v>
      </c>
      <c r="B16" s="185" t="s">
        <v>4028</v>
      </c>
      <c r="C16" s="182" t="s">
        <v>334</v>
      </c>
      <c r="D16" s="186">
        <v>420</v>
      </c>
      <c r="E16" s="205">
        <v>25760</v>
      </c>
      <c r="F16" s="206">
        <v>46226</v>
      </c>
      <c r="G16" s="182" t="s">
        <v>527</v>
      </c>
      <c r="H16" s="201"/>
    </row>
    <row r="17" spans="1:9" ht="24" customHeight="1" x14ac:dyDescent="0.3">
      <c r="A17" s="172">
        <v>46232</v>
      </c>
      <c r="B17" s="185" t="s">
        <v>3101</v>
      </c>
      <c r="C17" s="182" t="s">
        <v>334</v>
      </c>
      <c r="D17" s="186">
        <v>363</v>
      </c>
      <c r="E17" s="205">
        <v>25760</v>
      </c>
      <c r="F17" s="206">
        <v>46226</v>
      </c>
      <c r="G17" s="182" t="s">
        <v>527</v>
      </c>
      <c r="H17" s="201"/>
    </row>
    <row r="18" spans="1:9" ht="24" customHeight="1" x14ac:dyDescent="0.3">
      <c r="A18" s="172">
        <v>46232</v>
      </c>
      <c r="B18" s="185" t="s">
        <v>3106</v>
      </c>
      <c r="C18" s="182" t="s">
        <v>334</v>
      </c>
      <c r="D18" s="186">
        <v>478</v>
      </c>
      <c r="E18" s="205">
        <v>25760</v>
      </c>
      <c r="F18" s="206">
        <v>46226</v>
      </c>
      <c r="G18" s="182" t="s">
        <v>527</v>
      </c>
      <c r="H18" s="201"/>
    </row>
    <row r="19" spans="1:9" ht="24" customHeight="1" x14ac:dyDescent="0.3">
      <c r="A19" s="172">
        <v>46232</v>
      </c>
      <c r="B19" s="185" t="s">
        <v>301</v>
      </c>
      <c r="C19" s="182" t="s">
        <v>334</v>
      </c>
      <c r="D19" s="186">
        <v>366</v>
      </c>
      <c r="E19" s="205">
        <v>25760</v>
      </c>
      <c r="F19" s="206">
        <v>46226</v>
      </c>
      <c r="G19" s="182" t="s">
        <v>527</v>
      </c>
      <c r="H19" s="201"/>
    </row>
    <row r="20" spans="1:9" ht="24" customHeight="1" x14ac:dyDescent="0.3">
      <c r="A20" s="172">
        <v>46232</v>
      </c>
      <c r="B20" s="185" t="s">
        <v>3103</v>
      </c>
      <c r="C20" s="182" t="s">
        <v>334</v>
      </c>
      <c r="D20" s="186">
        <v>104</v>
      </c>
      <c r="E20" s="205">
        <v>25760</v>
      </c>
      <c r="F20" s="206">
        <v>46226</v>
      </c>
      <c r="G20" s="182" t="s">
        <v>527</v>
      </c>
      <c r="H20" s="201"/>
    </row>
    <row r="21" spans="1:9" ht="24" customHeight="1" x14ac:dyDescent="0.3">
      <c r="A21" s="172">
        <v>46234</v>
      </c>
      <c r="B21" s="185" t="s">
        <v>3106</v>
      </c>
      <c r="C21" s="182" t="s">
        <v>334</v>
      </c>
      <c r="D21" s="186">
        <v>431</v>
      </c>
      <c r="E21" s="205">
        <v>25760</v>
      </c>
      <c r="F21" s="206">
        <v>46226</v>
      </c>
      <c r="G21" s="182" t="s">
        <v>527</v>
      </c>
      <c r="H21" s="201"/>
    </row>
    <row r="22" spans="1:9" ht="24" customHeight="1" x14ac:dyDescent="0.3">
      <c r="A22" s="172">
        <v>46234</v>
      </c>
      <c r="B22" s="185" t="s">
        <v>307</v>
      </c>
      <c r="C22" s="182" t="s">
        <v>334</v>
      </c>
      <c r="D22" s="186">
        <v>309</v>
      </c>
      <c r="E22" s="205">
        <v>25760</v>
      </c>
      <c r="F22" s="206">
        <v>46226</v>
      </c>
      <c r="G22" s="182" t="s">
        <v>527</v>
      </c>
      <c r="H22" s="201"/>
    </row>
    <row r="23" spans="1:9" ht="24" customHeight="1" x14ac:dyDescent="0.3">
      <c r="A23" s="172">
        <v>46234</v>
      </c>
      <c r="B23" s="185" t="s">
        <v>4028</v>
      </c>
      <c r="C23" s="182" t="s">
        <v>334</v>
      </c>
      <c r="D23" s="186">
        <v>191</v>
      </c>
      <c r="E23" s="205">
        <v>25760</v>
      </c>
      <c r="F23" s="206">
        <v>46226</v>
      </c>
      <c r="G23" s="182" t="s">
        <v>527</v>
      </c>
      <c r="H23" s="201"/>
    </row>
    <row r="24" spans="1:9" ht="24" customHeight="1" x14ac:dyDescent="0.3">
      <c r="A24" s="172">
        <v>46234</v>
      </c>
      <c r="B24" s="185" t="s">
        <v>4028</v>
      </c>
      <c r="C24" s="182" t="s">
        <v>334</v>
      </c>
      <c r="D24" s="186">
        <v>264</v>
      </c>
      <c r="E24" s="205">
        <v>25760</v>
      </c>
      <c r="F24" s="206">
        <v>46226</v>
      </c>
      <c r="G24" s="182" t="s">
        <v>527</v>
      </c>
      <c r="H24" s="201"/>
    </row>
    <row r="25" spans="1:9" s="152" customFormat="1" x14ac:dyDescent="0.3">
      <c r="A25" s="207" t="s">
        <v>320</v>
      </c>
      <c r="B25" s="208"/>
      <c r="C25" s="208"/>
      <c r="D25" s="213">
        <f>SUBTOTAL(109,TBL_GIAONHANDAU7[Số lượng (lít)])</f>
        <v>7133</v>
      </c>
      <c r="E25" s="182"/>
      <c r="F25" s="184"/>
      <c r="G25" s="182"/>
    </row>
    <row r="26" spans="1:9" s="152" customFormat="1" x14ac:dyDescent="0.3">
      <c r="A26" s="209"/>
      <c r="D26" s="210"/>
      <c r="F26" s="211"/>
    </row>
    <row r="27" spans="1:9" customFormat="1" x14ac:dyDescent="0.3">
      <c r="A27" s="192" t="s">
        <v>333</v>
      </c>
      <c r="B27" s="192"/>
      <c r="C27" s="192"/>
      <c r="D27" s="192"/>
      <c r="E27" s="272" t="s">
        <v>45</v>
      </c>
      <c r="F27" s="272"/>
      <c r="G27" s="272"/>
      <c r="H27" s="272"/>
      <c r="I27" s="194"/>
    </row>
    <row r="28" spans="1:9" customFormat="1" x14ac:dyDescent="0.3">
      <c r="A28" s="272" t="s">
        <v>829</v>
      </c>
      <c r="B28" s="272"/>
      <c r="C28" s="272" t="s">
        <v>325</v>
      </c>
      <c r="D28" s="272"/>
      <c r="E28" s="272" t="s">
        <v>830</v>
      </c>
      <c r="F28" s="272"/>
      <c r="G28" s="272" t="s">
        <v>325</v>
      </c>
      <c r="H28" s="272"/>
    </row>
    <row r="29" spans="1:9" customFormat="1" x14ac:dyDescent="0.3">
      <c r="A29" s="193"/>
      <c r="B29" s="193"/>
      <c r="C29" s="193"/>
      <c r="D29" s="193"/>
      <c r="E29" s="193"/>
      <c r="F29" s="193"/>
      <c r="G29" s="193"/>
      <c r="H29" s="193"/>
    </row>
    <row r="30" spans="1:9" customFormat="1" x14ac:dyDescent="0.3">
      <c r="A30" s="193"/>
      <c r="B30" s="193"/>
      <c r="C30" s="193"/>
      <c r="D30" s="193"/>
      <c r="E30" s="193"/>
      <c r="F30" s="193"/>
      <c r="G30" s="193"/>
      <c r="H30" s="193"/>
    </row>
    <row r="31" spans="1:9" customFormat="1" x14ac:dyDescent="0.3">
      <c r="A31" s="195"/>
      <c r="B31" s="195"/>
      <c r="C31" s="195"/>
      <c r="D31" s="195"/>
      <c r="F31" s="195"/>
      <c r="G31" s="195"/>
      <c r="H31" s="212"/>
    </row>
    <row r="32" spans="1:9" customFormat="1" x14ac:dyDescent="0.3">
      <c r="A32" s="195"/>
      <c r="B32" s="195"/>
      <c r="C32" s="195"/>
      <c r="D32" s="195"/>
      <c r="F32" s="195"/>
      <c r="G32" s="195"/>
      <c r="H32" s="212"/>
    </row>
    <row r="33" spans="1:8" customFormat="1" x14ac:dyDescent="0.3">
      <c r="A33" s="272" t="s">
        <v>832</v>
      </c>
      <c r="B33" s="272"/>
      <c r="C33" s="272" t="s">
        <v>836</v>
      </c>
      <c r="D33" s="272"/>
      <c r="E33" s="272" t="s">
        <v>833</v>
      </c>
      <c r="F33" s="272"/>
      <c r="G33" s="273" t="s">
        <v>831</v>
      </c>
      <c r="H33" s="273"/>
    </row>
  </sheetData>
  <mergeCells count="10">
    <mergeCell ref="A33:B33"/>
    <mergeCell ref="C33:D33"/>
    <mergeCell ref="E33:F33"/>
    <mergeCell ref="G33:H33"/>
    <mergeCell ref="A1:G1"/>
    <mergeCell ref="E27:H27"/>
    <mergeCell ref="A28:B28"/>
    <mergeCell ref="C28:D28"/>
    <mergeCell ref="E28:F28"/>
    <mergeCell ref="G28:H28"/>
  </mergeCells>
  <pageMargins left="0.7" right="0.7" top="0.75" bottom="0.75" header="0.3" footer="0.3"/>
  <pageSetup paperSize="9" scale="63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649B-C74D-417F-87B8-15144F4F79D9}">
  <dimension ref="A1:J335"/>
  <sheetViews>
    <sheetView topLeftCell="A295" zoomScaleNormal="100" workbookViewId="0">
      <selection activeCell="G331" sqref="G331"/>
    </sheetView>
  </sheetViews>
  <sheetFormatPr defaultRowHeight="18.75" x14ac:dyDescent="0.3"/>
  <cols>
    <col min="1" max="1" width="7.33203125" customWidth="1"/>
    <col min="3" max="3" width="10.77734375" style="180" customWidth="1"/>
    <col min="4" max="4" width="10.44140625" style="180" customWidth="1"/>
    <col min="5" max="5" width="11.44140625" style="180" customWidth="1"/>
    <col min="6" max="6" width="11.109375" style="180" customWidth="1"/>
    <col min="7" max="7" width="12.77734375" customWidth="1"/>
    <col min="8" max="9" width="11.6640625" customWidth="1"/>
    <col min="10" max="10" width="13.5546875" customWidth="1"/>
  </cols>
  <sheetData>
    <row r="1" spans="1:10" x14ac:dyDescent="0.3">
      <c r="A1" s="275" t="s">
        <v>333</v>
      </c>
      <c r="B1" s="275"/>
      <c r="C1" s="275"/>
      <c r="D1" s="275"/>
      <c r="E1" s="275"/>
      <c r="F1" s="275"/>
    </row>
    <row r="2" spans="1:10" x14ac:dyDescent="0.3">
      <c r="A2" s="275" t="s">
        <v>834</v>
      </c>
      <c r="B2" s="275"/>
      <c r="C2" s="275"/>
      <c r="D2" s="275"/>
      <c r="E2" s="275"/>
      <c r="F2" s="275"/>
    </row>
    <row r="3" spans="1:10" ht="60.75" customHeight="1" x14ac:dyDescent="0.3">
      <c r="A3" s="265" t="s">
        <v>4030</v>
      </c>
      <c r="B3" s="266"/>
      <c r="C3" s="266"/>
      <c r="D3" s="266"/>
      <c r="E3" s="266"/>
      <c r="F3" s="266"/>
      <c r="G3" s="266"/>
      <c r="H3" s="266"/>
      <c r="I3" s="266"/>
      <c r="J3" s="266"/>
    </row>
    <row r="4" spans="1:10" x14ac:dyDescent="0.3">
      <c r="A4" s="128" t="s">
        <v>0</v>
      </c>
      <c r="B4" s="128" t="s">
        <v>1</v>
      </c>
      <c r="C4" s="128" t="s">
        <v>2</v>
      </c>
      <c r="D4" s="128" t="s">
        <v>3</v>
      </c>
      <c r="E4" s="128" t="s">
        <v>4</v>
      </c>
      <c r="F4" s="128" t="s">
        <v>5</v>
      </c>
      <c r="G4" s="129" t="s">
        <v>6</v>
      </c>
      <c r="H4" s="129" t="s">
        <v>7</v>
      </c>
      <c r="I4" s="129" t="s">
        <v>8</v>
      </c>
      <c r="J4" s="129" t="s">
        <v>9</v>
      </c>
    </row>
    <row r="5" spans="1:10" x14ac:dyDescent="0.3">
      <c r="A5" s="171">
        <v>1</v>
      </c>
      <c r="B5" s="171" t="s">
        <v>3109</v>
      </c>
      <c r="C5" s="172">
        <v>46230</v>
      </c>
      <c r="D5" s="173" t="s">
        <v>3110</v>
      </c>
      <c r="E5" s="172">
        <v>46230</v>
      </c>
      <c r="F5" s="173" t="s">
        <v>3111</v>
      </c>
      <c r="G5" s="174" t="s">
        <v>335</v>
      </c>
      <c r="H5" s="175">
        <v>14010</v>
      </c>
      <c r="I5" s="175">
        <v>31810</v>
      </c>
      <c r="J5" s="175">
        <v>17800</v>
      </c>
    </row>
    <row r="6" spans="1:10" x14ac:dyDescent="0.3">
      <c r="A6" s="171">
        <v>2</v>
      </c>
      <c r="B6" s="171" t="s">
        <v>3112</v>
      </c>
      <c r="C6" s="172">
        <v>46230</v>
      </c>
      <c r="D6" s="173" t="s">
        <v>3113</v>
      </c>
      <c r="E6" s="172">
        <v>46230</v>
      </c>
      <c r="F6" s="173" t="s">
        <v>3114</v>
      </c>
      <c r="G6" s="174" t="s">
        <v>43</v>
      </c>
      <c r="H6" s="175">
        <v>13890</v>
      </c>
      <c r="I6" s="175">
        <v>33210</v>
      </c>
      <c r="J6" s="175">
        <v>19320</v>
      </c>
    </row>
    <row r="7" spans="1:10" x14ac:dyDescent="0.3">
      <c r="A7" s="171">
        <v>3</v>
      </c>
      <c r="B7" s="171" t="s">
        <v>3115</v>
      </c>
      <c r="C7" s="172">
        <v>46230</v>
      </c>
      <c r="D7" s="173" t="s">
        <v>3116</v>
      </c>
      <c r="E7" s="172">
        <v>46230</v>
      </c>
      <c r="F7" s="173" t="s">
        <v>3117</v>
      </c>
      <c r="G7" s="174" t="s">
        <v>842</v>
      </c>
      <c r="H7" s="175">
        <v>14090</v>
      </c>
      <c r="I7" s="175">
        <v>33120</v>
      </c>
      <c r="J7" s="175">
        <v>19030</v>
      </c>
    </row>
    <row r="8" spans="1:10" x14ac:dyDescent="0.3">
      <c r="A8" s="171">
        <v>4</v>
      </c>
      <c r="B8" s="171" t="s">
        <v>3118</v>
      </c>
      <c r="C8" s="172">
        <v>46230</v>
      </c>
      <c r="D8" s="173" t="s">
        <v>3119</v>
      </c>
      <c r="E8" s="172">
        <v>46230</v>
      </c>
      <c r="F8" s="173" t="s">
        <v>3120</v>
      </c>
      <c r="G8" s="174" t="s">
        <v>64</v>
      </c>
      <c r="H8" s="175">
        <v>13840</v>
      </c>
      <c r="I8" s="175">
        <v>32300</v>
      </c>
      <c r="J8" s="175">
        <v>18460</v>
      </c>
    </row>
    <row r="9" spans="1:10" x14ac:dyDescent="0.3">
      <c r="A9" s="171">
        <v>5</v>
      </c>
      <c r="B9" s="171" t="s">
        <v>3121</v>
      </c>
      <c r="C9" s="172">
        <v>46230</v>
      </c>
      <c r="D9" s="173" t="s">
        <v>3122</v>
      </c>
      <c r="E9" s="172">
        <v>46230</v>
      </c>
      <c r="F9" s="173" t="s">
        <v>3123</v>
      </c>
      <c r="G9" s="174" t="s">
        <v>336</v>
      </c>
      <c r="H9" s="175">
        <v>13610</v>
      </c>
      <c r="I9" s="175">
        <v>32350</v>
      </c>
      <c r="J9" s="175">
        <v>18740</v>
      </c>
    </row>
    <row r="10" spans="1:10" x14ac:dyDescent="0.3">
      <c r="A10" s="171">
        <v>6</v>
      </c>
      <c r="B10" s="171" t="s">
        <v>3124</v>
      </c>
      <c r="C10" s="172">
        <v>46230</v>
      </c>
      <c r="D10" s="173" t="s">
        <v>3125</v>
      </c>
      <c r="E10" s="172">
        <v>46230</v>
      </c>
      <c r="F10" s="173" t="s">
        <v>3126</v>
      </c>
      <c r="G10" s="174" t="s">
        <v>839</v>
      </c>
      <c r="H10" s="175">
        <v>13950</v>
      </c>
      <c r="I10" s="175">
        <v>33300</v>
      </c>
      <c r="J10" s="175">
        <v>19350</v>
      </c>
    </row>
    <row r="11" spans="1:10" x14ac:dyDescent="0.3">
      <c r="A11" s="171">
        <v>7</v>
      </c>
      <c r="B11" s="171" t="s">
        <v>3127</v>
      </c>
      <c r="C11" s="172">
        <v>46230</v>
      </c>
      <c r="D11" s="173" t="s">
        <v>3128</v>
      </c>
      <c r="E11" s="172">
        <v>46230</v>
      </c>
      <c r="F11" s="173" t="s">
        <v>3129</v>
      </c>
      <c r="G11" s="174" t="s">
        <v>143</v>
      </c>
      <c r="H11" s="175">
        <v>13870</v>
      </c>
      <c r="I11" s="175">
        <v>33790</v>
      </c>
      <c r="J11" s="175">
        <v>19920</v>
      </c>
    </row>
    <row r="12" spans="1:10" x14ac:dyDescent="0.3">
      <c r="A12" s="171">
        <v>8</v>
      </c>
      <c r="B12" s="171" t="s">
        <v>3130</v>
      </c>
      <c r="C12" s="172">
        <v>46230</v>
      </c>
      <c r="D12" s="173" t="s">
        <v>3131</v>
      </c>
      <c r="E12" s="172">
        <v>46230</v>
      </c>
      <c r="F12" s="173" t="s">
        <v>3132</v>
      </c>
      <c r="G12" s="174" t="s">
        <v>90</v>
      </c>
      <c r="H12" s="175">
        <v>13810</v>
      </c>
      <c r="I12" s="175">
        <v>32840</v>
      </c>
      <c r="J12" s="175">
        <v>19030</v>
      </c>
    </row>
    <row r="13" spans="1:10" x14ac:dyDescent="0.3">
      <c r="A13" s="171">
        <v>9</v>
      </c>
      <c r="B13" s="171" t="s">
        <v>3133</v>
      </c>
      <c r="C13" s="172">
        <v>46230</v>
      </c>
      <c r="D13" s="173" t="s">
        <v>3134</v>
      </c>
      <c r="E13" s="172">
        <v>46230</v>
      </c>
      <c r="F13" s="173" t="s">
        <v>3135</v>
      </c>
      <c r="G13" s="174" t="s">
        <v>337</v>
      </c>
      <c r="H13" s="175">
        <v>13820</v>
      </c>
      <c r="I13" s="175">
        <v>32500</v>
      </c>
      <c r="J13" s="175">
        <v>18680</v>
      </c>
    </row>
    <row r="14" spans="1:10" x14ac:dyDescent="0.3">
      <c r="A14" s="171">
        <v>10</v>
      </c>
      <c r="B14" s="171" t="s">
        <v>3136</v>
      </c>
      <c r="C14" s="172">
        <v>46230</v>
      </c>
      <c r="D14" s="173" t="s">
        <v>3137</v>
      </c>
      <c r="E14" s="172">
        <v>46230</v>
      </c>
      <c r="F14" s="173" t="s">
        <v>3138</v>
      </c>
      <c r="G14" s="174" t="s">
        <v>85</v>
      </c>
      <c r="H14" s="175">
        <v>13740</v>
      </c>
      <c r="I14" s="175">
        <v>34080</v>
      </c>
      <c r="J14" s="175">
        <v>20340</v>
      </c>
    </row>
    <row r="15" spans="1:10" x14ac:dyDescent="0.3">
      <c r="A15" s="171">
        <v>11</v>
      </c>
      <c r="B15" s="171" t="s">
        <v>3139</v>
      </c>
      <c r="C15" s="172">
        <v>46230</v>
      </c>
      <c r="D15" s="173" t="s">
        <v>3140</v>
      </c>
      <c r="E15" s="172">
        <v>46230</v>
      </c>
      <c r="F15" s="173" t="s">
        <v>3141</v>
      </c>
      <c r="G15" s="174" t="s">
        <v>80</v>
      </c>
      <c r="H15" s="175">
        <v>14020</v>
      </c>
      <c r="I15" s="175">
        <v>34730</v>
      </c>
      <c r="J15" s="175">
        <v>20710</v>
      </c>
    </row>
    <row r="16" spans="1:10" x14ac:dyDescent="0.3">
      <c r="A16" s="171">
        <v>12</v>
      </c>
      <c r="B16" s="171" t="s">
        <v>3142</v>
      </c>
      <c r="C16" s="172">
        <v>46230</v>
      </c>
      <c r="D16" s="173" t="s">
        <v>3143</v>
      </c>
      <c r="E16" s="172">
        <v>46230</v>
      </c>
      <c r="F16" s="173" t="s">
        <v>3144</v>
      </c>
      <c r="G16" s="174" t="s">
        <v>55</v>
      </c>
      <c r="H16" s="175">
        <v>13590</v>
      </c>
      <c r="I16" s="175">
        <v>33380</v>
      </c>
      <c r="J16" s="175">
        <v>19790</v>
      </c>
    </row>
    <row r="17" spans="1:10" x14ac:dyDescent="0.3">
      <c r="A17" s="171">
        <v>13</v>
      </c>
      <c r="B17" s="171" t="s">
        <v>3145</v>
      </c>
      <c r="C17" s="172">
        <v>46230</v>
      </c>
      <c r="D17" s="173" t="s">
        <v>3146</v>
      </c>
      <c r="E17" s="172">
        <v>46230</v>
      </c>
      <c r="F17" s="173" t="s">
        <v>3147</v>
      </c>
      <c r="G17" s="174" t="s">
        <v>43</v>
      </c>
      <c r="H17" s="175">
        <v>13820</v>
      </c>
      <c r="I17" s="175">
        <v>33810</v>
      </c>
      <c r="J17" s="175">
        <v>19990</v>
      </c>
    </row>
    <row r="18" spans="1:10" x14ac:dyDescent="0.3">
      <c r="A18" s="171">
        <v>14</v>
      </c>
      <c r="B18" s="171" t="s">
        <v>3148</v>
      </c>
      <c r="C18" s="172">
        <v>46230</v>
      </c>
      <c r="D18" s="173" t="s">
        <v>3149</v>
      </c>
      <c r="E18" s="172">
        <v>46230</v>
      </c>
      <c r="F18" s="173" t="s">
        <v>3150</v>
      </c>
      <c r="G18" s="174" t="s">
        <v>842</v>
      </c>
      <c r="H18" s="175">
        <v>14070</v>
      </c>
      <c r="I18" s="175">
        <v>34780</v>
      </c>
      <c r="J18" s="175">
        <v>20710</v>
      </c>
    </row>
    <row r="19" spans="1:10" x14ac:dyDescent="0.3">
      <c r="A19" s="171">
        <v>15</v>
      </c>
      <c r="B19" s="171" t="s">
        <v>3151</v>
      </c>
      <c r="C19" s="172">
        <v>46230</v>
      </c>
      <c r="D19" s="173" t="s">
        <v>3152</v>
      </c>
      <c r="E19" s="172">
        <v>46230</v>
      </c>
      <c r="F19" s="173" t="s">
        <v>3153</v>
      </c>
      <c r="G19" s="174" t="s">
        <v>336</v>
      </c>
      <c r="H19" s="175">
        <v>13610</v>
      </c>
      <c r="I19" s="175">
        <v>33670</v>
      </c>
      <c r="J19" s="175">
        <v>20060</v>
      </c>
    </row>
    <row r="20" spans="1:10" x14ac:dyDescent="0.3">
      <c r="A20" s="171">
        <v>16</v>
      </c>
      <c r="B20" s="171" t="s">
        <v>3154</v>
      </c>
      <c r="C20" s="172">
        <v>46230</v>
      </c>
      <c r="D20" s="173" t="s">
        <v>3155</v>
      </c>
      <c r="E20" s="172">
        <v>46230</v>
      </c>
      <c r="F20" s="173" t="s">
        <v>3156</v>
      </c>
      <c r="G20" s="174" t="s">
        <v>839</v>
      </c>
      <c r="H20" s="175">
        <v>13920</v>
      </c>
      <c r="I20" s="175">
        <v>33900</v>
      </c>
      <c r="J20" s="175">
        <v>19980</v>
      </c>
    </row>
    <row r="21" spans="1:10" x14ac:dyDescent="0.3">
      <c r="A21" s="171">
        <v>17</v>
      </c>
      <c r="B21" s="171" t="s">
        <v>3157</v>
      </c>
      <c r="C21" s="172">
        <v>46230</v>
      </c>
      <c r="D21" s="173" t="s">
        <v>3158</v>
      </c>
      <c r="E21" s="172">
        <v>46230</v>
      </c>
      <c r="F21" s="173" t="s">
        <v>3159</v>
      </c>
      <c r="G21" s="174" t="s">
        <v>337</v>
      </c>
      <c r="H21" s="175">
        <v>13810</v>
      </c>
      <c r="I21" s="175">
        <v>32930</v>
      </c>
      <c r="J21" s="175">
        <v>19120</v>
      </c>
    </row>
    <row r="22" spans="1:10" x14ac:dyDescent="0.3">
      <c r="A22" s="171">
        <v>18</v>
      </c>
      <c r="B22" s="171" t="s">
        <v>3160</v>
      </c>
      <c r="C22" s="172">
        <v>46230</v>
      </c>
      <c r="D22" s="173" t="s">
        <v>3161</v>
      </c>
      <c r="E22" s="172">
        <v>46230</v>
      </c>
      <c r="F22" s="173" t="s">
        <v>3162</v>
      </c>
      <c r="G22" s="174" t="s">
        <v>90</v>
      </c>
      <c r="H22" s="175">
        <v>13770</v>
      </c>
      <c r="I22" s="175">
        <v>33680</v>
      </c>
      <c r="J22" s="175">
        <v>19910</v>
      </c>
    </row>
    <row r="23" spans="1:10" x14ac:dyDescent="0.3">
      <c r="A23" s="171">
        <v>19</v>
      </c>
      <c r="B23" s="171" t="s">
        <v>3163</v>
      </c>
      <c r="C23" s="172">
        <v>46230</v>
      </c>
      <c r="D23" s="173" t="s">
        <v>3164</v>
      </c>
      <c r="E23" s="172">
        <v>46230</v>
      </c>
      <c r="F23" s="173" t="s">
        <v>3165</v>
      </c>
      <c r="G23" s="174" t="s">
        <v>143</v>
      </c>
      <c r="H23" s="175">
        <v>13820</v>
      </c>
      <c r="I23" s="175">
        <v>33410</v>
      </c>
      <c r="J23" s="175">
        <v>19590</v>
      </c>
    </row>
    <row r="24" spans="1:10" x14ac:dyDescent="0.3">
      <c r="A24" s="171">
        <v>20</v>
      </c>
      <c r="B24" s="171" t="s">
        <v>3166</v>
      </c>
      <c r="C24" s="172">
        <v>46230</v>
      </c>
      <c r="D24" s="173" t="s">
        <v>3167</v>
      </c>
      <c r="E24" s="172">
        <v>46230</v>
      </c>
      <c r="F24" s="173" t="s">
        <v>3168</v>
      </c>
      <c r="G24" s="174" t="s">
        <v>85</v>
      </c>
      <c r="H24" s="175">
        <v>13730</v>
      </c>
      <c r="I24" s="175">
        <v>34020</v>
      </c>
      <c r="J24" s="175">
        <v>20290</v>
      </c>
    </row>
    <row r="25" spans="1:10" x14ac:dyDescent="0.3">
      <c r="A25" s="171">
        <v>21</v>
      </c>
      <c r="B25" s="171" t="s">
        <v>3169</v>
      </c>
      <c r="C25" s="172">
        <v>46230</v>
      </c>
      <c r="D25" s="173" t="s">
        <v>3170</v>
      </c>
      <c r="E25" s="172">
        <v>46230</v>
      </c>
      <c r="F25" s="173" t="s">
        <v>3171</v>
      </c>
      <c r="G25" s="174" t="s">
        <v>80</v>
      </c>
      <c r="H25" s="175">
        <v>13990</v>
      </c>
      <c r="I25" s="175">
        <v>33390</v>
      </c>
      <c r="J25" s="175">
        <v>19400</v>
      </c>
    </row>
    <row r="26" spans="1:10" x14ac:dyDescent="0.3">
      <c r="A26" s="171">
        <v>22</v>
      </c>
      <c r="B26" s="171" t="s">
        <v>3172</v>
      </c>
      <c r="C26" s="172">
        <v>46230</v>
      </c>
      <c r="D26" s="173" t="s">
        <v>3173</v>
      </c>
      <c r="E26" s="172">
        <v>46230</v>
      </c>
      <c r="F26" s="173" t="s">
        <v>3174</v>
      </c>
      <c r="G26" s="174" t="s">
        <v>55</v>
      </c>
      <c r="H26" s="175">
        <v>13580</v>
      </c>
      <c r="I26" s="175">
        <v>33010</v>
      </c>
      <c r="J26" s="175">
        <v>19430</v>
      </c>
    </row>
    <row r="27" spans="1:10" x14ac:dyDescent="0.3">
      <c r="A27" s="171">
        <v>23</v>
      </c>
      <c r="B27" s="171" t="s">
        <v>3175</v>
      </c>
      <c r="C27" s="172">
        <v>46230</v>
      </c>
      <c r="D27" s="173" t="s">
        <v>1267</v>
      </c>
      <c r="E27" s="172">
        <v>46230</v>
      </c>
      <c r="F27" s="173" t="s">
        <v>1746</v>
      </c>
      <c r="G27" s="174" t="s">
        <v>335</v>
      </c>
      <c r="H27" s="175">
        <v>14030</v>
      </c>
      <c r="I27" s="175">
        <v>32890</v>
      </c>
      <c r="J27" s="175">
        <v>18860</v>
      </c>
    </row>
    <row r="28" spans="1:10" x14ac:dyDescent="0.3">
      <c r="A28" s="171">
        <v>24</v>
      </c>
      <c r="B28" s="171" t="s">
        <v>3176</v>
      </c>
      <c r="C28" s="172">
        <v>46230</v>
      </c>
      <c r="D28" s="173" t="s">
        <v>3177</v>
      </c>
      <c r="E28" s="172">
        <v>46230</v>
      </c>
      <c r="F28" s="173" t="s">
        <v>3178</v>
      </c>
      <c r="G28" s="174" t="s">
        <v>43</v>
      </c>
      <c r="H28" s="175">
        <v>13800</v>
      </c>
      <c r="I28" s="175">
        <v>34220</v>
      </c>
      <c r="J28" s="175">
        <v>20420</v>
      </c>
    </row>
    <row r="29" spans="1:10" x14ac:dyDescent="0.3">
      <c r="A29" s="171">
        <v>25</v>
      </c>
      <c r="B29" s="171" t="s">
        <v>3179</v>
      </c>
      <c r="C29" s="172">
        <v>46230</v>
      </c>
      <c r="D29" s="173" t="s">
        <v>3180</v>
      </c>
      <c r="E29" s="172">
        <v>46230</v>
      </c>
      <c r="F29" s="173" t="s">
        <v>3181</v>
      </c>
      <c r="G29" s="174" t="s">
        <v>842</v>
      </c>
      <c r="H29" s="175">
        <v>14030</v>
      </c>
      <c r="I29" s="175">
        <v>34350</v>
      </c>
      <c r="J29" s="175">
        <v>20320</v>
      </c>
    </row>
    <row r="30" spans="1:10" x14ac:dyDescent="0.3">
      <c r="A30" s="171">
        <v>26</v>
      </c>
      <c r="B30" s="171" t="s">
        <v>3182</v>
      </c>
      <c r="C30" s="172">
        <v>46230</v>
      </c>
      <c r="D30" s="173" t="s">
        <v>623</v>
      </c>
      <c r="E30" s="172">
        <v>46230</v>
      </c>
      <c r="F30" s="173" t="s">
        <v>3183</v>
      </c>
      <c r="G30" s="174" t="s">
        <v>336</v>
      </c>
      <c r="H30" s="175">
        <v>13580</v>
      </c>
      <c r="I30" s="175">
        <v>34230</v>
      </c>
      <c r="J30" s="175">
        <v>20650</v>
      </c>
    </row>
    <row r="31" spans="1:10" x14ac:dyDescent="0.3">
      <c r="A31" s="171">
        <v>27</v>
      </c>
      <c r="B31" s="171" t="s">
        <v>3184</v>
      </c>
      <c r="C31" s="172">
        <v>46230</v>
      </c>
      <c r="D31" s="173" t="s">
        <v>3185</v>
      </c>
      <c r="E31" s="172">
        <v>46230</v>
      </c>
      <c r="F31" s="173" t="s">
        <v>3186</v>
      </c>
      <c r="G31" s="174" t="s">
        <v>839</v>
      </c>
      <c r="H31" s="175">
        <v>13890</v>
      </c>
      <c r="I31" s="175">
        <v>33820</v>
      </c>
      <c r="J31" s="175">
        <v>19930</v>
      </c>
    </row>
    <row r="32" spans="1:10" x14ac:dyDescent="0.3">
      <c r="A32" s="171">
        <v>28</v>
      </c>
      <c r="B32" s="171" t="s">
        <v>3187</v>
      </c>
      <c r="C32" s="172">
        <v>46230</v>
      </c>
      <c r="D32" s="173" t="s">
        <v>3188</v>
      </c>
      <c r="E32" s="172">
        <v>46230</v>
      </c>
      <c r="F32" s="173" t="s">
        <v>3189</v>
      </c>
      <c r="G32" s="174" t="s">
        <v>337</v>
      </c>
      <c r="H32" s="175">
        <v>13790</v>
      </c>
      <c r="I32" s="175">
        <v>33340</v>
      </c>
      <c r="J32" s="175">
        <v>19550</v>
      </c>
    </row>
    <row r="33" spans="1:10" x14ac:dyDescent="0.3">
      <c r="A33" s="171">
        <v>29</v>
      </c>
      <c r="B33" s="171" t="s">
        <v>3190</v>
      </c>
      <c r="C33" s="172">
        <v>46230</v>
      </c>
      <c r="D33" s="173" t="s">
        <v>3191</v>
      </c>
      <c r="E33" s="172">
        <v>46230</v>
      </c>
      <c r="F33" s="173" t="s">
        <v>3098</v>
      </c>
      <c r="G33" s="174" t="s">
        <v>64</v>
      </c>
      <c r="H33" s="175">
        <v>13780</v>
      </c>
      <c r="I33" s="175">
        <v>34430</v>
      </c>
      <c r="J33" s="175">
        <v>20650</v>
      </c>
    </row>
    <row r="34" spans="1:10" x14ac:dyDescent="0.3">
      <c r="A34" s="171">
        <v>30</v>
      </c>
      <c r="B34" s="171" t="s">
        <v>3192</v>
      </c>
      <c r="C34" s="172">
        <v>46230</v>
      </c>
      <c r="D34" s="173" t="s">
        <v>3193</v>
      </c>
      <c r="E34" s="172">
        <v>46230</v>
      </c>
      <c r="F34" s="173" t="s">
        <v>3194</v>
      </c>
      <c r="G34" s="174" t="s">
        <v>90</v>
      </c>
      <c r="H34" s="175">
        <v>13760</v>
      </c>
      <c r="I34" s="175">
        <v>33640</v>
      </c>
      <c r="J34" s="175">
        <v>19880</v>
      </c>
    </row>
    <row r="35" spans="1:10" x14ac:dyDescent="0.3">
      <c r="A35" s="171">
        <v>31</v>
      </c>
      <c r="B35" s="171" t="s">
        <v>3195</v>
      </c>
      <c r="C35" s="172">
        <v>46230</v>
      </c>
      <c r="D35" s="173" t="s">
        <v>3196</v>
      </c>
      <c r="E35" s="172">
        <v>46230</v>
      </c>
      <c r="F35" s="173" t="s">
        <v>3197</v>
      </c>
      <c r="G35" s="174" t="s">
        <v>143</v>
      </c>
      <c r="H35" s="175">
        <v>13820</v>
      </c>
      <c r="I35" s="175">
        <v>34470</v>
      </c>
      <c r="J35" s="175">
        <v>20650</v>
      </c>
    </row>
    <row r="36" spans="1:10" x14ac:dyDescent="0.3">
      <c r="A36" s="171">
        <v>32</v>
      </c>
      <c r="B36" s="171" t="s">
        <v>3198</v>
      </c>
      <c r="C36" s="172">
        <v>46230</v>
      </c>
      <c r="D36" s="173" t="s">
        <v>3093</v>
      </c>
      <c r="E36" s="172">
        <v>46230</v>
      </c>
      <c r="F36" s="173" t="s">
        <v>3199</v>
      </c>
      <c r="G36" s="174" t="s">
        <v>80</v>
      </c>
      <c r="H36" s="175">
        <v>13970</v>
      </c>
      <c r="I36" s="175">
        <v>34940</v>
      </c>
      <c r="J36" s="175">
        <v>20970</v>
      </c>
    </row>
    <row r="37" spans="1:10" x14ac:dyDescent="0.3">
      <c r="A37" s="171">
        <v>33</v>
      </c>
      <c r="B37" s="171" t="s">
        <v>3200</v>
      </c>
      <c r="C37" s="172">
        <v>46230</v>
      </c>
      <c r="D37" s="173" t="s">
        <v>1291</v>
      </c>
      <c r="E37" s="172">
        <v>46230</v>
      </c>
      <c r="F37" s="173" t="s">
        <v>3201</v>
      </c>
      <c r="G37" s="174" t="s">
        <v>55</v>
      </c>
      <c r="H37" s="175">
        <v>13950</v>
      </c>
      <c r="I37" s="175">
        <v>34690</v>
      </c>
      <c r="J37" s="175">
        <v>20740</v>
      </c>
    </row>
    <row r="38" spans="1:10" x14ac:dyDescent="0.3">
      <c r="A38" s="171">
        <v>34</v>
      </c>
      <c r="B38" s="171" t="s">
        <v>3202</v>
      </c>
      <c r="C38" s="172">
        <v>46230</v>
      </c>
      <c r="D38" s="173" t="s">
        <v>3203</v>
      </c>
      <c r="E38" s="172">
        <v>46230</v>
      </c>
      <c r="F38" s="173" t="s">
        <v>3083</v>
      </c>
      <c r="G38" s="174" t="s">
        <v>43</v>
      </c>
      <c r="H38" s="175">
        <v>13780</v>
      </c>
      <c r="I38" s="175">
        <v>33470</v>
      </c>
      <c r="J38" s="175">
        <v>19690</v>
      </c>
    </row>
    <row r="39" spans="1:10" x14ac:dyDescent="0.3">
      <c r="A39" s="171">
        <v>35</v>
      </c>
      <c r="B39" s="171" t="s">
        <v>3204</v>
      </c>
      <c r="C39" s="172">
        <v>46230</v>
      </c>
      <c r="D39" s="173" t="s">
        <v>3205</v>
      </c>
      <c r="E39" s="172">
        <v>46230</v>
      </c>
      <c r="F39" s="173" t="s">
        <v>3206</v>
      </c>
      <c r="G39" s="174" t="s">
        <v>842</v>
      </c>
      <c r="H39" s="175">
        <v>14010</v>
      </c>
      <c r="I39" s="175">
        <v>34430</v>
      </c>
      <c r="J39" s="175">
        <v>20420</v>
      </c>
    </row>
    <row r="40" spans="1:10" x14ac:dyDescent="0.3">
      <c r="A40" s="171">
        <v>36</v>
      </c>
      <c r="B40" s="171" t="s">
        <v>3207</v>
      </c>
      <c r="C40" s="172">
        <v>46230</v>
      </c>
      <c r="D40" s="173" t="s">
        <v>3208</v>
      </c>
      <c r="E40" s="172">
        <v>46230</v>
      </c>
      <c r="F40" s="173" t="s">
        <v>3209</v>
      </c>
      <c r="G40" s="174" t="s">
        <v>336</v>
      </c>
      <c r="H40" s="175">
        <v>13930</v>
      </c>
      <c r="I40" s="175">
        <v>34390</v>
      </c>
      <c r="J40" s="175">
        <v>20460</v>
      </c>
    </row>
    <row r="41" spans="1:10" x14ac:dyDescent="0.3">
      <c r="A41" s="171">
        <v>37</v>
      </c>
      <c r="B41" s="171" t="s">
        <v>3210</v>
      </c>
      <c r="C41" s="172">
        <v>46230</v>
      </c>
      <c r="D41" s="173" t="s">
        <v>3211</v>
      </c>
      <c r="E41" s="172">
        <v>46230</v>
      </c>
      <c r="F41" s="173" t="s">
        <v>3212</v>
      </c>
      <c r="G41" s="174" t="s">
        <v>839</v>
      </c>
      <c r="H41" s="175">
        <v>13880</v>
      </c>
      <c r="I41" s="175">
        <v>34100</v>
      </c>
      <c r="J41" s="175">
        <v>20220</v>
      </c>
    </row>
    <row r="42" spans="1:10" x14ac:dyDescent="0.3">
      <c r="A42" s="171">
        <v>38</v>
      </c>
      <c r="B42" s="171" t="s">
        <v>3213</v>
      </c>
      <c r="C42" s="172">
        <v>46230</v>
      </c>
      <c r="D42" s="173" t="s">
        <v>3214</v>
      </c>
      <c r="E42" s="172">
        <v>46230</v>
      </c>
      <c r="F42" s="173" t="s">
        <v>3215</v>
      </c>
      <c r="G42" s="174" t="s">
        <v>337</v>
      </c>
      <c r="H42" s="175">
        <v>13760</v>
      </c>
      <c r="I42" s="175">
        <v>34470</v>
      </c>
      <c r="J42" s="175">
        <v>20710</v>
      </c>
    </row>
    <row r="43" spans="1:10" x14ac:dyDescent="0.3">
      <c r="A43" s="171">
        <v>39</v>
      </c>
      <c r="B43" s="171" t="s">
        <v>3216</v>
      </c>
      <c r="C43" s="172">
        <v>46230</v>
      </c>
      <c r="D43" s="173" t="s">
        <v>3217</v>
      </c>
      <c r="E43" s="172">
        <v>46230</v>
      </c>
      <c r="F43" s="173" t="s">
        <v>3218</v>
      </c>
      <c r="G43" s="174" t="s">
        <v>90</v>
      </c>
      <c r="H43" s="175">
        <v>13730</v>
      </c>
      <c r="I43" s="175">
        <v>34630</v>
      </c>
      <c r="J43" s="175">
        <v>20900</v>
      </c>
    </row>
    <row r="44" spans="1:10" x14ac:dyDescent="0.3">
      <c r="A44" s="171">
        <v>40</v>
      </c>
      <c r="B44" s="171" t="s">
        <v>3219</v>
      </c>
      <c r="C44" s="172">
        <v>46230</v>
      </c>
      <c r="D44" s="173" t="s">
        <v>3220</v>
      </c>
      <c r="E44" s="172">
        <v>46230</v>
      </c>
      <c r="F44" s="173" t="s">
        <v>3221</v>
      </c>
      <c r="G44" s="174" t="s">
        <v>335</v>
      </c>
      <c r="H44" s="175">
        <v>13960</v>
      </c>
      <c r="I44" s="175">
        <v>33880</v>
      </c>
      <c r="J44" s="175">
        <v>19920</v>
      </c>
    </row>
    <row r="45" spans="1:10" x14ac:dyDescent="0.3">
      <c r="A45" s="171">
        <v>41</v>
      </c>
      <c r="B45" s="171" t="s">
        <v>3222</v>
      </c>
      <c r="C45" s="172">
        <v>46230</v>
      </c>
      <c r="D45" s="173" t="s">
        <v>3223</v>
      </c>
      <c r="E45" s="172">
        <v>46230</v>
      </c>
      <c r="F45" s="173" t="s">
        <v>3224</v>
      </c>
      <c r="G45" s="174" t="s">
        <v>64</v>
      </c>
      <c r="H45" s="175">
        <v>14050</v>
      </c>
      <c r="I45" s="175">
        <v>33630</v>
      </c>
      <c r="J45" s="175">
        <v>19580</v>
      </c>
    </row>
    <row r="46" spans="1:10" x14ac:dyDescent="0.3">
      <c r="A46" s="171">
        <v>42</v>
      </c>
      <c r="B46" s="171" t="s">
        <v>3225</v>
      </c>
      <c r="C46" s="172">
        <v>46230</v>
      </c>
      <c r="D46" s="173" t="s">
        <v>3226</v>
      </c>
      <c r="E46" s="172">
        <v>46230</v>
      </c>
      <c r="F46" s="173" t="s">
        <v>3227</v>
      </c>
      <c r="G46" s="174" t="s">
        <v>143</v>
      </c>
      <c r="H46" s="175">
        <v>13810</v>
      </c>
      <c r="I46" s="175">
        <v>33560</v>
      </c>
      <c r="J46" s="175">
        <v>19750</v>
      </c>
    </row>
    <row r="47" spans="1:10" x14ac:dyDescent="0.3">
      <c r="A47" s="171">
        <v>43</v>
      </c>
      <c r="B47" s="171" t="s">
        <v>3228</v>
      </c>
      <c r="C47" s="172">
        <v>46230</v>
      </c>
      <c r="D47" s="173" t="s">
        <v>3229</v>
      </c>
      <c r="E47" s="172">
        <v>46230</v>
      </c>
      <c r="F47" s="173" t="s">
        <v>3230</v>
      </c>
      <c r="G47" s="174" t="s">
        <v>55</v>
      </c>
      <c r="H47" s="175">
        <v>13920</v>
      </c>
      <c r="I47" s="175">
        <v>33660</v>
      </c>
      <c r="J47" s="175">
        <v>19740</v>
      </c>
    </row>
    <row r="48" spans="1:10" x14ac:dyDescent="0.3">
      <c r="A48" s="171">
        <v>44</v>
      </c>
      <c r="B48" s="171" t="s">
        <v>3231</v>
      </c>
      <c r="C48" s="172">
        <v>46230</v>
      </c>
      <c r="D48" s="173" t="s">
        <v>3232</v>
      </c>
      <c r="E48" s="172">
        <v>46230</v>
      </c>
      <c r="F48" s="173" t="s">
        <v>3233</v>
      </c>
      <c r="G48" s="174" t="s">
        <v>80</v>
      </c>
      <c r="H48" s="175">
        <v>14170</v>
      </c>
      <c r="I48" s="175">
        <v>33890</v>
      </c>
      <c r="J48" s="175">
        <v>19720</v>
      </c>
    </row>
    <row r="49" spans="1:10" x14ac:dyDescent="0.3">
      <c r="A49" s="171">
        <v>45</v>
      </c>
      <c r="B49" s="171" t="s">
        <v>3234</v>
      </c>
      <c r="C49" s="172">
        <v>46231</v>
      </c>
      <c r="D49" s="173" t="s">
        <v>2851</v>
      </c>
      <c r="E49" s="172">
        <v>46231</v>
      </c>
      <c r="F49" s="173" t="s">
        <v>3235</v>
      </c>
      <c r="G49" s="174" t="s">
        <v>336</v>
      </c>
      <c r="H49" s="175">
        <v>13840</v>
      </c>
      <c r="I49" s="175">
        <v>34310</v>
      </c>
      <c r="J49" s="175">
        <v>20470</v>
      </c>
    </row>
    <row r="50" spans="1:10" x14ac:dyDescent="0.3">
      <c r="A50" s="171">
        <v>46</v>
      </c>
      <c r="B50" s="171" t="s">
        <v>3236</v>
      </c>
      <c r="C50" s="172">
        <v>46231</v>
      </c>
      <c r="D50" s="173" t="s">
        <v>3237</v>
      </c>
      <c r="E50" s="172">
        <v>46231</v>
      </c>
      <c r="F50" s="173" t="s">
        <v>3238</v>
      </c>
      <c r="G50" s="174" t="s">
        <v>842</v>
      </c>
      <c r="H50" s="175">
        <v>14170</v>
      </c>
      <c r="I50" s="175">
        <v>34460</v>
      </c>
      <c r="J50" s="175">
        <v>20290</v>
      </c>
    </row>
    <row r="51" spans="1:10" x14ac:dyDescent="0.3">
      <c r="A51" s="171">
        <v>47</v>
      </c>
      <c r="B51" s="171" t="s">
        <v>3239</v>
      </c>
      <c r="C51" s="172">
        <v>46231</v>
      </c>
      <c r="D51" s="173" t="s">
        <v>3240</v>
      </c>
      <c r="E51" s="172">
        <v>46231</v>
      </c>
      <c r="F51" s="173" t="s">
        <v>3241</v>
      </c>
      <c r="G51" s="174" t="s">
        <v>839</v>
      </c>
      <c r="H51" s="175">
        <v>14060</v>
      </c>
      <c r="I51" s="175">
        <v>34510</v>
      </c>
      <c r="J51" s="175">
        <v>20450</v>
      </c>
    </row>
    <row r="52" spans="1:10" x14ac:dyDescent="0.3">
      <c r="A52" s="171">
        <v>48</v>
      </c>
      <c r="B52" s="171" t="s">
        <v>3242</v>
      </c>
      <c r="C52" s="172">
        <v>46231</v>
      </c>
      <c r="D52" s="173" t="s">
        <v>3243</v>
      </c>
      <c r="E52" s="172">
        <v>46231</v>
      </c>
      <c r="F52" s="173" t="s">
        <v>1101</v>
      </c>
      <c r="G52" s="174" t="s">
        <v>64</v>
      </c>
      <c r="H52" s="175">
        <v>13970</v>
      </c>
      <c r="I52" s="175">
        <v>34080</v>
      </c>
      <c r="J52" s="175">
        <v>20110</v>
      </c>
    </row>
    <row r="53" spans="1:10" x14ac:dyDescent="0.3">
      <c r="A53" s="171">
        <v>49</v>
      </c>
      <c r="B53" s="171" t="s">
        <v>3244</v>
      </c>
      <c r="C53" s="172">
        <v>46231</v>
      </c>
      <c r="D53" s="173" t="s">
        <v>3245</v>
      </c>
      <c r="E53" s="172">
        <v>46231</v>
      </c>
      <c r="F53" s="173" t="s">
        <v>3246</v>
      </c>
      <c r="G53" s="174" t="s">
        <v>55</v>
      </c>
      <c r="H53" s="175">
        <v>13860</v>
      </c>
      <c r="I53" s="175">
        <v>33170</v>
      </c>
      <c r="J53" s="175">
        <v>19310</v>
      </c>
    </row>
    <row r="54" spans="1:10" x14ac:dyDescent="0.3">
      <c r="A54" s="171">
        <v>50</v>
      </c>
      <c r="B54" s="171" t="s">
        <v>3247</v>
      </c>
      <c r="C54" s="172">
        <v>46231</v>
      </c>
      <c r="D54" s="173" t="s">
        <v>3248</v>
      </c>
      <c r="E54" s="172">
        <v>46231</v>
      </c>
      <c r="F54" s="173" t="s">
        <v>3249</v>
      </c>
      <c r="G54" s="174" t="s">
        <v>85</v>
      </c>
      <c r="H54" s="175">
        <v>13690</v>
      </c>
      <c r="I54" s="175">
        <v>33600</v>
      </c>
      <c r="J54" s="175">
        <v>19910</v>
      </c>
    </row>
    <row r="55" spans="1:10" x14ac:dyDescent="0.3">
      <c r="A55" s="171">
        <v>51</v>
      </c>
      <c r="B55" s="171" t="s">
        <v>3250</v>
      </c>
      <c r="C55" s="172">
        <v>46231</v>
      </c>
      <c r="D55" s="173" t="s">
        <v>3100</v>
      </c>
      <c r="E55" s="172">
        <v>46231</v>
      </c>
      <c r="F55" s="173" t="s">
        <v>3251</v>
      </c>
      <c r="G55" s="174" t="s">
        <v>80</v>
      </c>
      <c r="H55" s="175">
        <v>14090</v>
      </c>
      <c r="I55" s="175">
        <v>35070</v>
      </c>
      <c r="J55" s="175">
        <v>20980</v>
      </c>
    </row>
    <row r="56" spans="1:10" x14ac:dyDescent="0.3">
      <c r="A56" s="171">
        <v>52</v>
      </c>
      <c r="B56" s="171" t="s">
        <v>3252</v>
      </c>
      <c r="C56" s="172">
        <v>46231</v>
      </c>
      <c r="D56" s="173" t="s">
        <v>1832</v>
      </c>
      <c r="E56" s="172">
        <v>46231</v>
      </c>
      <c r="F56" s="173" t="s">
        <v>3253</v>
      </c>
      <c r="G56" s="174" t="s">
        <v>143</v>
      </c>
      <c r="H56" s="175">
        <v>13740</v>
      </c>
      <c r="I56" s="175">
        <v>33730</v>
      </c>
      <c r="J56" s="175">
        <v>19990</v>
      </c>
    </row>
    <row r="57" spans="1:10" x14ac:dyDescent="0.3">
      <c r="A57" s="171">
        <v>53</v>
      </c>
      <c r="B57" s="171" t="s">
        <v>3254</v>
      </c>
      <c r="C57" s="172">
        <v>46231</v>
      </c>
      <c r="D57" s="173" t="s">
        <v>3255</v>
      </c>
      <c r="E57" s="172">
        <v>46231</v>
      </c>
      <c r="F57" s="173" t="s">
        <v>3256</v>
      </c>
      <c r="G57" s="174" t="s">
        <v>335</v>
      </c>
      <c r="H57" s="175">
        <v>13920</v>
      </c>
      <c r="I57" s="175">
        <v>33420</v>
      </c>
      <c r="J57" s="175">
        <v>19500</v>
      </c>
    </row>
    <row r="58" spans="1:10" x14ac:dyDescent="0.3">
      <c r="A58" s="171">
        <v>54</v>
      </c>
      <c r="B58" s="171" t="s">
        <v>3257</v>
      </c>
      <c r="C58" s="172">
        <v>46231</v>
      </c>
      <c r="D58" s="173" t="s">
        <v>3258</v>
      </c>
      <c r="E58" s="172">
        <v>46231</v>
      </c>
      <c r="F58" s="173" t="s">
        <v>3259</v>
      </c>
      <c r="G58" s="174" t="s">
        <v>337</v>
      </c>
      <c r="H58" s="175">
        <v>13730</v>
      </c>
      <c r="I58" s="175">
        <v>32830</v>
      </c>
      <c r="J58" s="175">
        <v>19100</v>
      </c>
    </row>
    <row r="59" spans="1:10" x14ac:dyDescent="0.3">
      <c r="A59" s="171">
        <v>55</v>
      </c>
      <c r="B59" s="171" t="s">
        <v>3260</v>
      </c>
      <c r="C59" s="172">
        <v>46231</v>
      </c>
      <c r="D59" s="173" t="s">
        <v>3261</v>
      </c>
      <c r="E59" s="172">
        <v>46231</v>
      </c>
      <c r="F59" s="173" t="s">
        <v>3262</v>
      </c>
      <c r="G59" s="174" t="s">
        <v>90</v>
      </c>
      <c r="H59" s="175">
        <v>13680</v>
      </c>
      <c r="I59" s="175">
        <v>32670</v>
      </c>
      <c r="J59" s="175">
        <v>18990</v>
      </c>
    </row>
    <row r="60" spans="1:10" x14ac:dyDescent="0.3">
      <c r="A60" s="171">
        <v>56</v>
      </c>
      <c r="B60" s="171" t="s">
        <v>3263</v>
      </c>
      <c r="C60" s="172">
        <v>46231</v>
      </c>
      <c r="D60" s="173" t="s">
        <v>3264</v>
      </c>
      <c r="E60" s="172">
        <v>46231</v>
      </c>
      <c r="F60" s="173" t="s">
        <v>3265</v>
      </c>
      <c r="G60" s="174" t="s">
        <v>43</v>
      </c>
      <c r="H60" s="175">
        <v>13900</v>
      </c>
      <c r="I60" s="175">
        <v>32970</v>
      </c>
      <c r="J60" s="175">
        <v>19070</v>
      </c>
    </row>
    <row r="61" spans="1:10" x14ac:dyDescent="0.3">
      <c r="A61" s="171">
        <v>57</v>
      </c>
      <c r="B61" s="171" t="s">
        <v>3266</v>
      </c>
      <c r="C61" s="172">
        <v>46231</v>
      </c>
      <c r="D61" s="173" t="s">
        <v>3267</v>
      </c>
      <c r="E61" s="172">
        <v>46231</v>
      </c>
      <c r="F61" s="173" t="s">
        <v>3268</v>
      </c>
      <c r="G61" s="174" t="s">
        <v>336</v>
      </c>
      <c r="H61" s="175">
        <v>13840</v>
      </c>
      <c r="I61" s="175">
        <v>32860</v>
      </c>
      <c r="J61" s="175">
        <v>19020</v>
      </c>
    </row>
    <row r="62" spans="1:10" x14ac:dyDescent="0.3">
      <c r="A62" s="171">
        <v>58</v>
      </c>
      <c r="B62" s="171" t="s">
        <v>3269</v>
      </c>
      <c r="C62" s="172">
        <v>46231</v>
      </c>
      <c r="D62" s="173" t="s">
        <v>3270</v>
      </c>
      <c r="E62" s="172">
        <v>46231</v>
      </c>
      <c r="F62" s="173" t="s">
        <v>3271</v>
      </c>
      <c r="G62" s="174" t="s">
        <v>839</v>
      </c>
      <c r="H62" s="175">
        <v>14030</v>
      </c>
      <c r="I62" s="175">
        <v>33590</v>
      </c>
      <c r="J62" s="175">
        <v>19560</v>
      </c>
    </row>
    <row r="63" spans="1:10" x14ac:dyDescent="0.3">
      <c r="A63" s="171">
        <v>59</v>
      </c>
      <c r="B63" s="171" t="s">
        <v>3272</v>
      </c>
      <c r="C63" s="172">
        <v>46231</v>
      </c>
      <c r="D63" s="173" t="s">
        <v>3273</v>
      </c>
      <c r="E63" s="172">
        <v>46231</v>
      </c>
      <c r="F63" s="173" t="s">
        <v>3274</v>
      </c>
      <c r="G63" s="174" t="s">
        <v>842</v>
      </c>
      <c r="H63" s="175">
        <v>14140</v>
      </c>
      <c r="I63" s="175">
        <v>34580</v>
      </c>
      <c r="J63" s="175">
        <v>20440</v>
      </c>
    </row>
    <row r="64" spans="1:10" x14ac:dyDescent="0.3">
      <c r="A64" s="171">
        <v>60</v>
      </c>
      <c r="B64" s="171" t="s">
        <v>3275</v>
      </c>
      <c r="C64" s="172">
        <v>46231</v>
      </c>
      <c r="D64" s="173" t="s">
        <v>3087</v>
      </c>
      <c r="E64" s="172">
        <v>46231</v>
      </c>
      <c r="F64" s="173" t="s">
        <v>3276</v>
      </c>
      <c r="G64" s="174" t="s">
        <v>64</v>
      </c>
      <c r="H64" s="175">
        <v>13940</v>
      </c>
      <c r="I64" s="175">
        <v>33700</v>
      </c>
      <c r="J64" s="175">
        <v>19760</v>
      </c>
    </row>
    <row r="65" spans="1:10" x14ac:dyDescent="0.3">
      <c r="A65" s="171">
        <v>61</v>
      </c>
      <c r="B65" s="171" t="s">
        <v>3277</v>
      </c>
      <c r="C65" s="172">
        <v>46231</v>
      </c>
      <c r="D65" s="173" t="s">
        <v>3278</v>
      </c>
      <c r="E65" s="172">
        <v>46231</v>
      </c>
      <c r="F65" s="173" t="s">
        <v>3279</v>
      </c>
      <c r="G65" s="174" t="s">
        <v>55</v>
      </c>
      <c r="H65" s="175">
        <v>13840</v>
      </c>
      <c r="I65" s="175">
        <v>33280</v>
      </c>
      <c r="J65" s="175">
        <v>19440</v>
      </c>
    </row>
    <row r="66" spans="1:10" x14ac:dyDescent="0.3">
      <c r="A66" s="171">
        <v>62</v>
      </c>
      <c r="B66" s="171" t="s">
        <v>3280</v>
      </c>
      <c r="C66" s="172">
        <v>46231</v>
      </c>
      <c r="D66" s="173" t="s">
        <v>239</v>
      </c>
      <c r="E66" s="172">
        <v>46231</v>
      </c>
      <c r="F66" s="173" t="s">
        <v>3281</v>
      </c>
      <c r="G66" s="174" t="s">
        <v>85</v>
      </c>
      <c r="H66" s="175">
        <v>13680</v>
      </c>
      <c r="I66" s="175">
        <v>33430</v>
      </c>
      <c r="J66" s="175">
        <v>19750</v>
      </c>
    </row>
    <row r="67" spans="1:10" x14ac:dyDescent="0.3">
      <c r="A67" s="171">
        <v>63</v>
      </c>
      <c r="B67" s="171" t="s">
        <v>3282</v>
      </c>
      <c r="C67" s="172">
        <v>46231</v>
      </c>
      <c r="D67" s="173" t="s">
        <v>3283</v>
      </c>
      <c r="E67" s="172">
        <v>46231</v>
      </c>
      <c r="F67" s="173" t="s">
        <v>3091</v>
      </c>
      <c r="G67" s="174" t="s">
        <v>143</v>
      </c>
      <c r="H67" s="175">
        <v>13740</v>
      </c>
      <c r="I67" s="175">
        <v>33710</v>
      </c>
      <c r="J67" s="175">
        <v>19970</v>
      </c>
    </row>
    <row r="68" spans="1:10" x14ac:dyDescent="0.3">
      <c r="A68" s="171">
        <v>64</v>
      </c>
      <c r="B68" s="171" t="s">
        <v>3284</v>
      </c>
      <c r="C68" s="172">
        <v>46231</v>
      </c>
      <c r="D68" s="173" t="s">
        <v>3285</v>
      </c>
      <c r="E68" s="172">
        <v>46231</v>
      </c>
      <c r="F68" s="173" t="s">
        <v>3286</v>
      </c>
      <c r="G68" s="174" t="s">
        <v>80</v>
      </c>
      <c r="H68" s="175">
        <v>14030</v>
      </c>
      <c r="I68" s="175">
        <v>34800</v>
      </c>
      <c r="J68" s="175">
        <v>20770</v>
      </c>
    </row>
    <row r="69" spans="1:10" x14ac:dyDescent="0.3">
      <c r="A69" s="171">
        <v>65</v>
      </c>
      <c r="B69" s="171" t="s">
        <v>3287</v>
      </c>
      <c r="C69" s="172">
        <v>46231</v>
      </c>
      <c r="D69" s="173" t="s">
        <v>3288</v>
      </c>
      <c r="E69" s="172">
        <v>46231</v>
      </c>
      <c r="F69" s="173" t="s">
        <v>3289</v>
      </c>
      <c r="G69" s="174" t="s">
        <v>335</v>
      </c>
      <c r="H69" s="175">
        <v>13890</v>
      </c>
      <c r="I69" s="175">
        <v>34450</v>
      </c>
      <c r="J69" s="175">
        <v>20560</v>
      </c>
    </row>
    <row r="70" spans="1:10" x14ac:dyDescent="0.3">
      <c r="A70" s="171">
        <v>66</v>
      </c>
      <c r="B70" s="171" t="s">
        <v>3290</v>
      </c>
      <c r="C70" s="172">
        <v>46231</v>
      </c>
      <c r="D70" s="173" t="s">
        <v>3291</v>
      </c>
      <c r="E70" s="172">
        <v>46231</v>
      </c>
      <c r="F70" s="173" t="s">
        <v>3292</v>
      </c>
      <c r="G70" s="174" t="s">
        <v>337</v>
      </c>
      <c r="H70" s="175">
        <v>13710</v>
      </c>
      <c r="I70" s="175">
        <v>33380</v>
      </c>
      <c r="J70" s="175">
        <v>19670</v>
      </c>
    </row>
    <row r="71" spans="1:10" x14ac:dyDescent="0.3">
      <c r="A71" s="171">
        <v>67</v>
      </c>
      <c r="B71" s="171" t="s">
        <v>3293</v>
      </c>
      <c r="C71" s="172">
        <v>46231</v>
      </c>
      <c r="D71" s="173" t="s">
        <v>3294</v>
      </c>
      <c r="E71" s="172">
        <v>46231</v>
      </c>
      <c r="F71" s="173" t="s">
        <v>3295</v>
      </c>
      <c r="G71" s="174" t="s">
        <v>90</v>
      </c>
      <c r="H71" s="175">
        <v>13670</v>
      </c>
      <c r="I71" s="175">
        <v>32650</v>
      </c>
      <c r="J71" s="175">
        <v>18980</v>
      </c>
    </row>
    <row r="72" spans="1:10" x14ac:dyDescent="0.3">
      <c r="A72" s="171">
        <v>68</v>
      </c>
      <c r="B72" s="171" t="s">
        <v>3296</v>
      </c>
      <c r="C72" s="172">
        <v>46231</v>
      </c>
      <c r="D72" s="173" t="s">
        <v>3297</v>
      </c>
      <c r="E72" s="172">
        <v>46231</v>
      </c>
      <c r="F72" s="173" t="s">
        <v>3298</v>
      </c>
      <c r="G72" s="174" t="s">
        <v>43</v>
      </c>
      <c r="H72" s="175">
        <v>13890</v>
      </c>
      <c r="I72" s="175">
        <v>33710</v>
      </c>
      <c r="J72" s="175">
        <v>19820</v>
      </c>
    </row>
    <row r="73" spans="1:10" x14ac:dyDescent="0.3">
      <c r="A73" s="171">
        <v>69</v>
      </c>
      <c r="B73" s="171" t="s">
        <v>3299</v>
      </c>
      <c r="C73" s="172">
        <v>46231</v>
      </c>
      <c r="D73" s="173" t="s">
        <v>3300</v>
      </c>
      <c r="E73" s="172">
        <v>46231</v>
      </c>
      <c r="F73" s="173" t="s">
        <v>3301</v>
      </c>
      <c r="G73" s="174" t="s">
        <v>839</v>
      </c>
      <c r="H73" s="175">
        <v>14000</v>
      </c>
      <c r="I73" s="175">
        <v>34280</v>
      </c>
      <c r="J73" s="175">
        <v>20280</v>
      </c>
    </row>
    <row r="74" spans="1:10" x14ac:dyDescent="0.3">
      <c r="A74" s="171">
        <v>70</v>
      </c>
      <c r="B74" s="171" t="s">
        <v>3302</v>
      </c>
      <c r="C74" s="172">
        <v>46231</v>
      </c>
      <c r="D74" s="173" t="s">
        <v>3303</v>
      </c>
      <c r="E74" s="172">
        <v>46231</v>
      </c>
      <c r="F74" s="173" t="s">
        <v>3304</v>
      </c>
      <c r="G74" s="174" t="s">
        <v>336</v>
      </c>
      <c r="H74" s="175">
        <v>13800</v>
      </c>
      <c r="I74" s="175">
        <v>34200</v>
      </c>
      <c r="J74" s="175">
        <v>20400</v>
      </c>
    </row>
    <row r="75" spans="1:10" x14ac:dyDescent="0.3">
      <c r="A75" s="171">
        <v>71</v>
      </c>
      <c r="B75" s="171" t="s">
        <v>3305</v>
      </c>
      <c r="C75" s="172">
        <v>46231</v>
      </c>
      <c r="D75" s="173" t="s">
        <v>3306</v>
      </c>
      <c r="E75" s="172">
        <v>46231</v>
      </c>
      <c r="F75" s="173" t="s">
        <v>3307</v>
      </c>
      <c r="G75" s="174" t="s">
        <v>842</v>
      </c>
      <c r="H75" s="175">
        <v>14120</v>
      </c>
      <c r="I75" s="175">
        <v>34660</v>
      </c>
      <c r="J75" s="175">
        <v>20540</v>
      </c>
    </row>
    <row r="76" spans="1:10" x14ac:dyDescent="0.3">
      <c r="A76" s="171">
        <v>72</v>
      </c>
      <c r="B76" s="171" t="s">
        <v>3308</v>
      </c>
      <c r="C76" s="172">
        <v>46231</v>
      </c>
      <c r="D76" s="173" t="s">
        <v>3309</v>
      </c>
      <c r="E76" s="172">
        <v>46231</v>
      </c>
      <c r="F76" s="173" t="s">
        <v>3310</v>
      </c>
      <c r="G76" s="174" t="s">
        <v>64</v>
      </c>
      <c r="H76" s="175">
        <v>13910</v>
      </c>
      <c r="I76" s="175">
        <v>33910</v>
      </c>
      <c r="J76" s="175">
        <v>20000</v>
      </c>
    </row>
    <row r="77" spans="1:10" x14ac:dyDescent="0.3">
      <c r="A77" s="171">
        <v>73</v>
      </c>
      <c r="B77" s="171" t="s">
        <v>3311</v>
      </c>
      <c r="C77" s="172">
        <v>46231</v>
      </c>
      <c r="D77" s="173" t="s">
        <v>3312</v>
      </c>
      <c r="E77" s="172">
        <v>46231</v>
      </c>
      <c r="F77" s="173" t="s">
        <v>3313</v>
      </c>
      <c r="G77" s="174" t="s">
        <v>55</v>
      </c>
      <c r="H77" s="175">
        <v>13800</v>
      </c>
      <c r="I77" s="175">
        <v>33800</v>
      </c>
      <c r="J77" s="175">
        <v>20000</v>
      </c>
    </row>
    <row r="78" spans="1:10" x14ac:dyDescent="0.3">
      <c r="A78" s="171">
        <v>74</v>
      </c>
      <c r="B78" s="171" t="s">
        <v>3314</v>
      </c>
      <c r="C78" s="172">
        <v>46231</v>
      </c>
      <c r="D78" s="173" t="s">
        <v>3315</v>
      </c>
      <c r="E78" s="172">
        <v>46231</v>
      </c>
      <c r="F78" s="173" t="s">
        <v>3316</v>
      </c>
      <c r="G78" s="174" t="s">
        <v>143</v>
      </c>
      <c r="H78" s="175">
        <v>13670</v>
      </c>
      <c r="I78" s="175">
        <v>33400</v>
      </c>
      <c r="J78" s="175">
        <v>19730</v>
      </c>
    </row>
    <row r="79" spans="1:10" x14ac:dyDescent="0.3">
      <c r="A79" s="171">
        <v>75</v>
      </c>
      <c r="B79" s="171" t="s">
        <v>3317</v>
      </c>
      <c r="C79" s="172">
        <v>46231</v>
      </c>
      <c r="D79" s="173" t="s">
        <v>3318</v>
      </c>
      <c r="E79" s="172">
        <v>46231</v>
      </c>
      <c r="F79" s="173" t="s">
        <v>3319</v>
      </c>
      <c r="G79" s="174" t="s">
        <v>85</v>
      </c>
      <c r="H79" s="175">
        <v>13690</v>
      </c>
      <c r="I79" s="175">
        <v>33120</v>
      </c>
      <c r="J79" s="175">
        <v>19430</v>
      </c>
    </row>
    <row r="80" spans="1:10" x14ac:dyDescent="0.3">
      <c r="A80" s="171">
        <v>76</v>
      </c>
      <c r="B80" s="171" t="s">
        <v>3320</v>
      </c>
      <c r="C80" s="172">
        <v>46231</v>
      </c>
      <c r="D80" s="173" t="s">
        <v>3321</v>
      </c>
      <c r="E80" s="172">
        <v>46231</v>
      </c>
      <c r="F80" s="173" t="s">
        <v>1210</v>
      </c>
      <c r="G80" s="174" t="s">
        <v>80</v>
      </c>
      <c r="H80" s="175">
        <v>14030</v>
      </c>
      <c r="I80" s="175">
        <v>33010</v>
      </c>
      <c r="J80" s="175">
        <v>18980</v>
      </c>
    </row>
    <row r="81" spans="1:10" x14ac:dyDescent="0.3">
      <c r="A81" s="171">
        <v>77</v>
      </c>
      <c r="B81" s="171" t="s">
        <v>3322</v>
      </c>
      <c r="C81" s="172">
        <v>46231</v>
      </c>
      <c r="D81" s="173" t="s">
        <v>3323</v>
      </c>
      <c r="E81" s="172">
        <v>46231</v>
      </c>
      <c r="F81" s="173" t="s">
        <v>3324</v>
      </c>
      <c r="G81" s="174" t="s">
        <v>335</v>
      </c>
      <c r="H81" s="175">
        <v>13980</v>
      </c>
      <c r="I81" s="175">
        <v>33990</v>
      </c>
      <c r="J81" s="175">
        <v>20010</v>
      </c>
    </row>
    <row r="82" spans="1:10" x14ac:dyDescent="0.3">
      <c r="A82" s="171">
        <v>78</v>
      </c>
      <c r="B82" s="171" t="s">
        <v>3325</v>
      </c>
      <c r="C82" s="172">
        <v>46231</v>
      </c>
      <c r="D82" s="173" t="s">
        <v>3326</v>
      </c>
      <c r="E82" s="172">
        <v>46231</v>
      </c>
      <c r="F82" s="173" t="s">
        <v>3327</v>
      </c>
      <c r="G82" s="174" t="s">
        <v>337</v>
      </c>
      <c r="H82" s="175">
        <v>13700</v>
      </c>
      <c r="I82" s="175">
        <v>33440</v>
      </c>
      <c r="J82" s="175">
        <v>19740</v>
      </c>
    </row>
    <row r="83" spans="1:10" x14ac:dyDescent="0.3">
      <c r="A83" s="171">
        <v>79</v>
      </c>
      <c r="B83" s="171" t="s">
        <v>3328</v>
      </c>
      <c r="C83" s="172">
        <v>46231</v>
      </c>
      <c r="D83" s="173" t="s">
        <v>3329</v>
      </c>
      <c r="E83" s="172">
        <v>46231</v>
      </c>
      <c r="F83" s="173" t="s">
        <v>3330</v>
      </c>
      <c r="G83" s="174" t="s">
        <v>90</v>
      </c>
      <c r="H83" s="175">
        <v>13630</v>
      </c>
      <c r="I83" s="175">
        <v>32860</v>
      </c>
      <c r="J83" s="175">
        <v>19230</v>
      </c>
    </row>
    <row r="84" spans="1:10" x14ac:dyDescent="0.3">
      <c r="A84" s="171">
        <v>80</v>
      </c>
      <c r="B84" s="171" t="s">
        <v>3331</v>
      </c>
      <c r="C84" s="172">
        <v>46231</v>
      </c>
      <c r="D84" s="173" t="s">
        <v>3332</v>
      </c>
      <c r="E84" s="172">
        <v>46231</v>
      </c>
      <c r="F84" s="173" t="s">
        <v>3333</v>
      </c>
      <c r="G84" s="174" t="s">
        <v>43</v>
      </c>
      <c r="H84" s="175">
        <v>13840</v>
      </c>
      <c r="I84" s="175">
        <v>33790</v>
      </c>
      <c r="J84" s="175">
        <v>19950</v>
      </c>
    </row>
    <row r="85" spans="1:10" x14ac:dyDescent="0.3">
      <c r="A85" s="171">
        <v>81</v>
      </c>
      <c r="B85" s="171" t="s">
        <v>3334</v>
      </c>
      <c r="C85" s="172">
        <v>46231</v>
      </c>
      <c r="D85" s="173" t="s">
        <v>3335</v>
      </c>
      <c r="E85" s="172">
        <v>46231</v>
      </c>
      <c r="F85" s="173" t="s">
        <v>3336</v>
      </c>
      <c r="G85" s="174" t="s">
        <v>839</v>
      </c>
      <c r="H85" s="175">
        <v>13970</v>
      </c>
      <c r="I85" s="175">
        <v>33940</v>
      </c>
      <c r="J85" s="175">
        <v>19970</v>
      </c>
    </row>
    <row r="86" spans="1:10" x14ac:dyDescent="0.3">
      <c r="A86" s="171">
        <v>82</v>
      </c>
      <c r="B86" s="171" t="s">
        <v>3337</v>
      </c>
      <c r="C86" s="172">
        <v>46231</v>
      </c>
      <c r="D86" s="173" t="s">
        <v>3338</v>
      </c>
      <c r="E86" s="172">
        <v>46231</v>
      </c>
      <c r="F86" s="173" t="s">
        <v>3339</v>
      </c>
      <c r="G86" s="174" t="s">
        <v>336</v>
      </c>
      <c r="H86" s="175">
        <v>13790</v>
      </c>
      <c r="I86" s="175">
        <v>34150</v>
      </c>
      <c r="J86" s="175">
        <v>20360</v>
      </c>
    </row>
    <row r="87" spans="1:10" x14ac:dyDescent="0.3">
      <c r="A87" s="171">
        <v>83</v>
      </c>
      <c r="B87" s="171" t="s">
        <v>3340</v>
      </c>
      <c r="C87" s="172">
        <v>46231</v>
      </c>
      <c r="D87" s="173" t="s">
        <v>3341</v>
      </c>
      <c r="E87" s="172">
        <v>46231</v>
      </c>
      <c r="F87" s="173" t="s">
        <v>3342</v>
      </c>
      <c r="G87" s="174" t="s">
        <v>842</v>
      </c>
      <c r="H87" s="175">
        <v>14090</v>
      </c>
      <c r="I87" s="175">
        <v>34140</v>
      </c>
      <c r="J87" s="175">
        <v>20050</v>
      </c>
    </row>
    <row r="88" spans="1:10" x14ac:dyDescent="0.3">
      <c r="A88" s="171">
        <v>84</v>
      </c>
      <c r="B88" s="171" t="s">
        <v>3343</v>
      </c>
      <c r="C88" s="172">
        <v>46231</v>
      </c>
      <c r="D88" s="173" t="s">
        <v>3344</v>
      </c>
      <c r="E88" s="172">
        <v>46231</v>
      </c>
      <c r="F88" s="173" t="s">
        <v>3345</v>
      </c>
      <c r="G88" s="174" t="s">
        <v>64</v>
      </c>
      <c r="H88" s="175">
        <v>13890</v>
      </c>
      <c r="I88" s="175">
        <v>35090</v>
      </c>
      <c r="J88" s="175">
        <v>21200</v>
      </c>
    </row>
    <row r="89" spans="1:10" x14ac:dyDescent="0.3">
      <c r="A89" s="171">
        <v>85</v>
      </c>
      <c r="B89" s="171" t="s">
        <v>3346</v>
      </c>
      <c r="C89" s="172">
        <v>46231</v>
      </c>
      <c r="D89" s="173" t="s">
        <v>3347</v>
      </c>
      <c r="E89" s="172">
        <v>46231</v>
      </c>
      <c r="F89" s="173" t="s">
        <v>3348</v>
      </c>
      <c r="G89" s="174" t="s">
        <v>55</v>
      </c>
      <c r="H89" s="175">
        <v>13770</v>
      </c>
      <c r="I89" s="175">
        <v>34050</v>
      </c>
      <c r="J89" s="175">
        <v>20280</v>
      </c>
    </row>
    <row r="90" spans="1:10" x14ac:dyDescent="0.3">
      <c r="A90" s="171">
        <v>86</v>
      </c>
      <c r="B90" s="171" t="s">
        <v>3349</v>
      </c>
      <c r="C90" s="172">
        <v>46231</v>
      </c>
      <c r="D90" s="173" t="s">
        <v>3350</v>
      </c>
      <c r="E90" s="172">
        <v>46231</v>
      </c>
      <c r="F90" s="173" t="s">
        <v>3351</v>
      </c>
      <c r="G90" s="174" t="s">
        <v>143</v>
      </c>
      <c r="H90" s="175">
        <v>13950</v>
      </c>
      <c r="I90" s="175">
        <v>32420</v>
      </c>
      <c r="J90" s="175">
        <v>18470</v>
      </c>
    </row>
    <row r="91" spans="1:10" x14ac:dyDescent="0.3">
      <c r="A91" s="171">
        <v>87</v>
      </c>
      <c r="B91" s="171" t="s">
        <v>3352</v>
      </c>
      <c r="C91" s="172">
        <v>46231</v>
      </c>
      <c r="D91" s="173" t="s">
        <v>3353</v>
      </c>
      <c r="E91" s="172">
        <v>46231</v>
      </c>
      <c r="F91" s="173" t="s">
        <v>3354</v>
      </c>
      <c r="G91" s="174" t="s">
        <v>85</v>
      </c>
      <c r="H91" s="175">
        <v>13610</v>
      </c>
      <c r="I91" s="175">
        <v>33930</v>
      </c>
      <c r="J91" s="175">
        <v>20320</v>
      </c>
    </row>
    <row r="92" spans="1:10" x14ac:dyDescent="0.3">
      <c r="A92" s="171">
        <v>88</v>
      </c>
      <c r="B92" s="171" t="s">
        <v>3355</v>
      </c>
      <c r="C92" s="172">
        <v>46231</v>
      </c>
      <c r="D92" s="173" t="s">
        <v>3356</v>
      </c>
      <c r="E92" s="172">
        <v>46231</v>
      </c>
      <c r="F92" s="173" t="s">
        <v>3357</v>
      </c>
      <c r="G92" s="174" t="s">
        <v>80</v>
      </c>
      <c r="H92" s="175">
        <v>13980</v>
      </c>
      <c r="I92" s="175">
        <v>33860</v>
      </c>
      <c r="J92" s="175">
        <v>19880</v>
      </c>
    </row>
    <row r="93" spans="1:10" x14ac:dyDescent="0.3">
      <c r="A93" s="171">
        <v>89</v>
      </c>
      <c r="B93" s="171" t="s">
        <v>3358</v>
      </c>
      <c r="C93" s="172">
        <v>46231</v>
      </c>
      <c r="D93" s="173" t="s">
        <v>3359</v>
      </c>
      <c r="E93" s="172">
        <v>46231</v>
      </c>
      <c r="F93" s="173" t="s">
        <v>3360</v>
      </c>
      <c r="G93" s="174" t="s">
        <v>337</v>
      </c>
      <c r="H93" s="175">
        <v>13970</v>
      </c>
      <c r="I93" s="175">
        <v>34550</v>
      </c>
      <c r="J93" s="175">
        <v>20580</v>
      </c>
    </row>
    <row r="94" spans="1:10" x14ac:dyDescent="0.3">
      <c r="A94" s="171">
        <v>90</v>
      </c>
      <c r="B94" s="171" t="s">
        <v>3361</v>
      </c>
      <c r="C94" s="172">
        <v>46231</v>
      </c>
      <c r="D94" s="173" t="s">
        <v>3362</v>
      </c>
      <c r="E94" s="172">
        <v>46231</v>
      </c>
      <c r="F94" s="173" t="s">
        <v>3363</v>
      </c>
      <c r="G94" s="174" t="s">
        <v>90</v>
      </c>
      <c r="H94" s="175">
        <v>13920</v>
      </c>
      <c r="I94" s="175">
        <v>32310</v>
      </c>
      <c r="J94" s="175">
        <v>18390</v>
      </c>
    </row>
    <row r="95" spans="1:10" x14ac:dyDescent="0.3">
      <c r="A95" s="171">
        <v>91</v>
      </c>
      <c r="B95" s="171" t="s">
        <v>3364</v>
      </c>
      <c r="C95" s="172">
        <v>46231</v>
      </c>
      <c r="D95" s="173" t="s">
        <v>3365</v>
      </c>
      <c r="E95" s="172">
        <v>46231</v>
      </c>
      <c r="F95" s="173" t="s">
        <v>3366</v>
      </c>
      <c r="G95" s="174" t="s">
        <v>839</v>
      </c>
      <c r="H95" s="175">
        <v>13950</v>
      </c>
      <c r="I95" s="175">
        <v>34040</v>
      </c>
      <c r="J95" s="175">
        <v>20090</v>
      </c>
    </row>
    <row r="96" spans="1:10" x14ac:dyDescent="0.3">
      <c r="A96" s="171">
        <v>92</v>
      </c>
      <c r="B96" s="171" t="s">
        <v>3367</v>
      </c>
      <c r="C96" s="172">
        <v>46231</v>
      </c>
      <c r="D96" s="173" t="s">
        <v>3368</v>
      </c>
      <c r="E96" s="172">
        <v>46231</v>
      </c>
      <c r="F96" s="173" t="s">
        <v>3369</v>
      </c>
      <c r="G96" s="174" t="s">
        <v>43</v>
      </c>
      <c r="H96" s="175">
        <v>13830</v>
      </c>
      <c r="I96" s="175">
        <v>34710</v>
      </c>
      <c r="J96" s="175">
        <v>20880</v>
      </c>
    </row>
    <row r="97" spans="1:10" x14ac:dyDescent="0.3">
      <c r="A97" s="171">
        <v>93</v>
      </c>
      <c r="B97" s="171" t="s">
        <v>3370</v>
      </c>
      <c r="C97" s="172">
        <v>46231</v>
      </c>
      <c r="D97" s="173" t="s">
        <v>3371</v>
      </c>
      <c r="E97" s="172">
        <v>46231</v>
      </c>
      <c r="F97" s="173" t="s">
        <v>3372</v>
      </c>
      <c r="G97" s="174" t="s">
        <v>336</v>
      </c>
      <c r="H97" s="175">
        <v>13850</v>
      </c>
      <c r="I97" s="175">
        <v>33510</v>
      </c>
      <c r="J97" s="175">
        <v>19660</v>
      </c>
    </row>
    <row r="98" spans="1:10" x14ac:dyDescent="0.3">
      <c r="A98" s="171">
        <v>94</v>
      </c>
      <c r="B98" s="171" t="s">
        <v>3373</v>
      </c>
      <c r="C98" s="172">
        <v>46231</v>
      </c>
      <c r="D98" s="173" t="s">
        <v>3374</v>
      </c>
      <c r="E98" s="172">
        <v>46231</v>
      </c>
      <c r="F98" s="173" t="s">
        <v>3375</v>
      </c>
      <c r="G98" s="174" t="s">
        <v>842</v>
      </c>
      <c r="H98" s="175">
        <v>14060</v>
      </c>
      <c r="I98" s="175">
        <v>34790</v>
      </c>
      <c r="J98" s="175">
        <v>20730</v>
      </c>
    </row>
    <row r="99" spans="1:10" x14ac:dyDescent="0.3">
      <c r="A99" s="171">
        <v>95</v>
      </c>
      <c r="B99" s="171" t="s">
        <v>3376</v>
      </c>
      <c r="C99" s="172">
        <v>46231</v>
      </c>
      <c r="D99" s="173" t="s">
        <v>3377</v>
      </c>
      <c r="E99" s="172">
        <v>46231</v>
      </c>
      <c r="F99" s="173" t="s">
        <v>3378</v>
      </c>
      <c r="G99" s="174" t="s">
        <v>64</v>
      </c>
      <c r="H99" s="175">
        <v>13870</v>
      </c>
      <c r="I99" s="175">
        <v>33790</v>
      </c>
      <c r="J99" s="175">
        <v>19920</v>
      </c>
    </row>
    <row r="100" spans="1:10" x14ac:dyDescent="0.3">
      <c r="A100" s="171">
        <v>96</v>
      </c>
      <c r="B100" s="171" t="s">
        <v>3379</v>
      </c>
      <c r="C100" s="172">
        <v>46231</v>
      </c>
      <c r="D100" s="173" t="s">
        <v>3380</v>
      </c>
      <c r="E100" s="172">
        <v>46231</v>
      </c>
      <c r="F100" s="173" t="s">
        <v>3381</v>
      </c>
      <c r="G100" s="174" t="s">
        <v>143</v>
      </c>
      <c r="H100" s="175">
        <v>13910</v>
      </c>
      <c r="I100" s="175">
        <v>33260</v>
      </c>
      <c r="J100" s="175">
        <v>19350</v>
      </c>
    </row>
    <row r="101" spans="1:10" x14ac:dyDescent="0.3">
      <c r="A101" s="171">
        <v>97</v>
      </c>
      <c r="B101" s="171" t="s">
        <v>3382</v>
      </c>
      <c r="C101" s="172">
        <v>46231</v>
      </c>
      <c r="D101" s="173" t="s">
        <v>3383</v>
      </c>
      <c r="E101" s="172">
        <v>46231</v>
      </c>
      <c r="F101" s="173" t="s">
        <v>3384</v>
      </c>
      <c r="G101" s="174" t="s">
        <v>80</v>
      </c>
      <c r="H101" s="175">
        <v>13960</v>
      </c>
      <c r="I101" s="175">
        <v>33950</v>
      </c>
      <c r="J101" s="175">
        <v>19990</v>
      </c>
    </row>
    <row r="102" spans="1:10" x14ac:dyDescent="0.3">
      <c r="A102" s="171">
        <v>98</v>
      </c>
      <c r="B102" s="171" t="s">
        <v>3385</v>
      </c>
      <c r="C102" s="172">
        <v>46231</v>
      </c>
      <c r="D102" s="173" t="s">
        <v>1294</v>
      </c>
      <c r="E102" s="172">
        <v>46231</v>
      </c>
      <c r="F102" s="173" t="s">
        <v>2807</v>
      </c>
      <c r="G102" s="174" t="s">
        <v>55</v>
      </c>
      <c r="H102" s="175">
        <v>13740</v>
      </c>
      <c r="I102" s="175">
        <v>32890</v>
      </c>
      <c r="J102" s="175">
        <v>19150</v>
      </c>
    </row>
    <row r="103" spans="1:10" x14ac:dyDescent="0.3">
      <c r="A103" s="171">
        <v>99</v>
      </c>
      <c r="B103" s="171" t="s">
        <v>3386</v>
      </c>
      <c r="C103" s="172">
        <v>46231</v>
      </c>
      <c r="D103" s="173" t="s">
        <v>3387</v>
      </c>
      <c r="E103" s="172">
        <v>46231</v>
      </c>
      <c r="F103" s="173" t="s">
        <v>3388</v>
      </c>
      <c r="G103" s="174" t="s">
        <v>85</v>
      </c>
      <c r="H103" s="175">
        <v>13560</v>
      </c>
      <c r="I103" s="175">
        <v>33730</v>
      </c>
      <c r="J103" s="175">
        <v>20170</v>
      </c>
    </row>
    <row r="104" spans="1:10" x14ac:dyDescent="0.3">
      <c r="A104" s="171">
        <v>100</v>
      </c>
      <c r="B104" s="171" t="s">
        <v>3389</v>
      </c>
      <c r="C104" s="172">
        <v>46231</v>
      </c>
      <c r="D104" s="173" t="s">
        <v>3390</v>
      </c>
      <c r="E104" s="172">
        <v>46231</v>
      </c>
      <c r="F104" s="173" t="s">
        <v>3391</v>
      </c>
      <c r="G104" s="174" t="s">
        <v>337</v>
      </c>
      <c r="H104" s="175">
        <v>13980</v>
      </c>
      <c r="I104" s="175">
        <v>34070</v>
      </c>
      <c r="J104" s="175">
        <v>20090</v>
      </c>
    </row>
    <row r="105" spans="1:10" x14ac:dyDescent="0.3">
      <c r="A105" s="171">
        <v>101</v>
      </c>
      <c r="B105" s="171" t="s">
        <v>3392</v>
      </c>
      <c r="C105" s="172">
        <v>46231</v>
      </c>
      <c r="D105" s="173" t="s">
        <v>3393</v>
      </c>
      <c r="E105" s="172">
        <v>46231</v>
      </c>
      <c r="F105" s="173" t="s">
        <v>3394</v>
      </c>
      <c r="G105" s="174" t="s">
        <v>90</v>
      </c>
      <c r="H105" s="175">
        <v>13900</v>
      </c>
      <c r="I105" s="175">
        <v>33460</v>
      </c>
      <c r="J105" s="175">
        <v>19560</v>
      </c>
    </row>
    <row r="106" spans="1:10" x14ac:dyDescent="0.3">
      <c r="A106" s="171">
        <v>102</v>
      </c>
      <c r="B106" s="171" t="s">
        <v>3395</v>
      </c>
      <c r="C106" s="172">
        <v>46231</v>
      </c>
      <c r="D106" s="173" t="s">
        <v>3396</v>
      </c>
      <c r="E106" s="172">
        <v>46231</v>
      </c>
      <c r="F106" s="173" t="s">
        <v>3397</v>
      </c>
      <c r="G106" s="174" t="s">
        <v>839</v>
      </c>
      <c r="H106" s="175">
        <v>13920</v>
      </c>
      <c r="I106" s="175">
        <v>33420</v>
      </c>
      <c r="J106" s="175">
        <v>19500</v>
      </c>
    </row>
    <row r="107" spans="1:10" x14ac:dyDescent="0.3">
      <c r="A107" s="171">
        <v>103</v>
      </c>
      <c r="B107" s="171" t="s">
        <v>3398</v>
      </c>
      <c r="C107" s="172">
        <v>46231</v>
      </c>
      <c r="D107" s="173" t="s">
        <v>3399</v>
      </c>
      <c r="E107" s="172">
        <v>46231</v>
      </c>
      <c r="F107" s="173" t="s">
        <v>3400</v>
      </c>
      <c r="G107" s="174" t="s">
        <v>336</v>
      </c>
      <c r="H107" s="175">
        <v>13820</v>
      </c>
      <c r="I107" s="175">
        <v>34610</v>
      </c>
      <c r="J107" s="175">
        <v>20790</v>
      </c>
    </row>
    <row r="108" spans="1:10" x14ac:dyDescent="0.3">
      <c r="A108" s="171">
        <v>104</v>
      </c>
      <c r="B108" s="171" t="s">
        <v>3401</v>
      </c>
      <c r="C108" s="172">
        <v>46231</v>
      </c>
      <c r="D108" s="173" t="s">
        <v>3402</v>
      </c>
      <c r="E108" s="172">
        <v>46231</v>
      </c>
      <c r="F108" s="173" t="s">
        <v>3403</v>
      </c>
      <c r="G108" s="174" t="s">
        <v>842</v>
      </c>
      <c r="H108" s="175">
        <v>14040</v>
      </c>
      <c r="I108" s="175">
        <v>33650</v>
      </c>
      <c r="J108" s="175">
        <v>19610</v>
      </c>
    </row>
    <row r="109" spans="1:10" x14ac:dyDescent="0.3">
      <c r="A109" s="171">
        <v>105</v>
      </c>
      <c r="B109" s="171" t="s">
        <v>3404</v>
      </c>
      <c r="C109" s="172">
        <v>46231</v>
      </c>
      <c r="D109" s="173" t="s">
        <v>3405</v>
      </c>
      <c r="E109" s="172">
        <v>46231</v>
      </c>
      <c r="F109" s="173" t="s">
        <v>3406</v>
      </c>
      <c r="G109" s="174" t="s">
        <v>143</v>
      </c>
      <c r="H109" s="175">
        <v>13910</v>
      </c>
      <c r="I109" s="175">
        <v>34700</v>
      </c>
      <c r="J109" s="175">
        <v>20790</v>
      </c>
    </row>
    <row r="110" spans="1:10" x14ac:dyDescent="0.3">
      <c r="A110" s="171">
        <v>106</v>
      </c>
      <c r="B110" s="171" t="s">
        <v>3407</v>
      </c>
      <c r="C110" s="172">
        <v>46231</v>
      </c>
      <c r="D110" s="173" t="s">
        <v>3408</v>
      </c>
      <c r="E110" s="172">
        <v>46231</v>
      </c>
      <c r="F110" s="173" t="s">
        <v>3409</v>
      </c>
      <c r="G110" s="174" t="s">
        <v>64</v>
      </c>
      <c r="H110" s="175">
        <v>13850</v>
      </c>
      <c r="I110" s="175">
        <v>32990</v>
      </c>
      <c r="J110" s="175">
        <v>19140</v>
      </c>
    </row>
    <row r="111" spans="1:10" x14ac:dyDescent="0.3">
      <c r="A111" s="171">
        <v>107</v>
      </c>
      <c r="B111" s="171" t="s">
        <v>3410</v>
      </c>
      <c r="C111" s="172">
        <v>46231</v>
      </c>
      <c r="D111" s="173" t="s">
        <v>3411</v>
      </c>
      <c r="E111" s="172">
        <v>46231</v>
      </c>
      <c r="F111" s="173" t="s">
        <v>3094</v>
      </c>
      <c r="G111" s="174" t="s">
        <v>80</v>
      </c>
      <c r="H111" s="175">
        <v>14000</v>
      </c>
      <c r="I111" s="175">
        <v>34180</v>
      </c>
      <c r="J111" s="175">
        <v>20180</v>
      </c>
    </row>
    <row r="112" spans="1:10" x14ac:dyDescent="0.3">
      <c r="A112" s="171">
        <v>108</v>
      </c>
      <c r="B112" s="171" t="s">
        <v>3412</v>
      </c>
      <c r="C112" s="172">
        <v>46231</v>
      </c>
      <c r="D112" s="173" t="s">
        <v>3413</v>
      </c>
      <c r="E112" s="172">
        <v>46231</v>
      </c>
      <c r="F112" s="173" t="s">
        <v>3414</v>
      </c>
      <c r="G112" s="174" t="s">
        <v>85</v>
      </c>
      <c r="H112" s="175">
        <v>13770</v>
      </c>
      <c r="I112" s="175">
        <v>33820</v>
      </c>
      <c r="J112" s="175">
        <v>20050</v>
      </c>
    </row>
    <row r="113" spans="1:10" x14ac:dyDescent="0.3">
      <c r="A113" s="171">
        <v>109</v>
      </c>
      <c r="B113" s="171" t="s">
        <v>3415</v>
      </c>
      <c r="C113" s="172">
        <v>46231</v>
      </c>
      <c r="D113" s="173" t="s">
        <v>3416</v>
      </c>
      <c r="E113" s="172">
        <v>46231</v>
      </c>
      <c r="F113" s="173" t="s">
        <v>3417</v>
      </c>
      <c r="G113" s="174" t="s">
        <v>55</v>
      </c>
      <c r="H113" s="175">
        <v>13760</v>
      </c>
      <c r="I113" s="175">
        <v>32050</v>
      </c>
      <c r="J113" s="175">
        <v>18290</v>
      </c>
    </row>
    <row r="114" spans="1:10" x14ac:dyDescent="0.3">
      <c r="A114" s="171">
        <v>110</v>
      </c>
      <c r="B114" s="171" t="s">
        <v>3418</v>
      </c>
      <c r="C114" s="172">
        <v>46231</v>
      </c>
      <c r="D114" s="173" t="s">
        <v>3419</v>
      </c>
      <c r="E114" s="172">
        <v>46231</v>
      </c>
      <c r="F114" s="173" t="s">
        <v>3420</v>
      </c>
      <c r="G114" s="174" t="s">
        <v>337</v>
      </c>
      <c r="H114" s="175">
        <v>13980</v>
      </c>
      <c r="I114" s="175">
        <v>31570</v>
      </c>
      <c r="J114" s="175">
        <v>17590</v>
      </c>
    </row>
    <row r="115" spans="1:10" x14ac:dyDescent="0.3">
      <c r="A115" s="171">
        <v>111</v>
      </c>
      <c r="B115" s="171" t="s">
        <v>3421</v>
      </c>
      <c r="C115" s="172">
        <v>46231</v>
      </c>
      <c r="D115" s="173" t="s">
        <v>3422</v>
      </c>
      <c r="E115" s="172">
        <v>46231</v>
      </c>
      <c r="F115" s="173" t="s">
        <v>3088</v>
      </c>
      <c r="G115" s="174" t="s">
        <v>90</v>
      </c>
      <c r="H115" s="175">
        <v>13850</v>
      </c>
      <c r="I115" s="175">
        <v>32870</v>
      </c>
      <c r="J115" s="175">
        <v>19020</v>
      </c>
    </row>
    <row r="116" spans="1:10" x14ac:dyDescent="0.3">
      <c r="A116" s="171">
        <v>112</v>
      </c>
      <c r="B116" s="171" t="s">
        <v>3423</v>
      </c>
      <c r="C116" s="172">
        <v>46232</v>
      </c>
      <c r="D116" s="173" t="s">
        <v>3424</v>
      </c>
      <c r="E116" s="172">
        <v>46232</v>
      </c>
      <c r="F116" s="173" t="s">
        <v>3425</v>
      </c>
      <c r="G116" s="174" t="s">
        <v>842</v>
      </c>
      <c r="H116" s="175">
        <v>14020</v>
      </c>
      <c r="I116" s="175">
        <v>34280</v>
      </c>
      <c r="J116" s="175">
        <v>20260</v>
      </c>
    </row>
    <row r="117" spans="1:10" x14ac:dyDescent="0.3">
      <c r="A117" s="171">
        <v>113</v>
      </c>
      <c r="B117" s="171" t="s">
        <v>3426</v>
      </c>
      <c r="C117" s="172">
        <v>46232</v>
      </c>
      <c r="D117" s="173" t="s">
        <v>3427</v>
      </c>
      <c r="E117" s="172">
        <v>46232</v>
      </c>
      <c r="F117" s="173" t="s">
        <v>3428</v>
      </c>
      <c r="G117" s="174" t="s">
        <v>64</v>
      </c>
      <c r="H117" s="175">
        <v>13850</v>
      </c>
      <c r="I117" s="175">
        <v>34330</v>
      </c>
      <c r="J117" s="175">
        <v>20480</v>
      </c>
    </row>
    <row r="118" spans="1:10" x14ac:dyDescent="0.3">
      <c r="A118" s="171">
        <v>114</v>
      </c>
      <c r="B118" s="171" t="s">
        <v>3429</v>
      </c>
      <c r="C118" s="172">
        <v>46232</v>
      </c>
      <c r="D118" s="173" t="s">
        <v>3430</v>
      </c>
      <c r="E118" s="172">
        <v>46232</v>
      </c>
      <c r="F118" s="173" t="s">
        <v>3431</v>
      </c>
      <c r="G118" s="174" t="s">
        <v>76</v>
      </c>
      <c r="H118" s="175">
        <v>13730</v>
      </c>
      <c r="I118" s="175">
        <v>33190</v>
      </c>
      <c r="J118" s="175">
        <v>19460</v>
      </c>
    </row>
    <row r="119" spans="1:10" x14ac:dyDescent="0.3">
      <c r="A119" s="171">
        <v>115</v>
      </c>
      <c r="B119" s="171" t="s">
        <v>3432</v>
      </c>
      <c r="C119" s="172">
        <v>46232</v>
      </c>
      <c r="D119" s="173" t="s">
        <v>3433</v>
      </c>
      <c r="E119" s="172">
        <v>46232</v>
      </c>
      <c r="F119" s="173" t="s">
        <v>3092</v>
      </c>
      <c r="G119" s="174" t="s">
        <v>841</v>
      </c>
      <c r="H119" s="175">
        <v>13890</v>
      </c>
      <c r="I119" s="175">
        <v>33880</v>
      </c>
      <c r="J119" s="175">
        <v>19990</v>
      </c>
    </row>
    <row r="120" spans="1:10" x14ac:dyDescent="0.3">
      <c r="A120" s="171">
        <v>116</v>
      </c>
      <c r="B120" s="171" t="s">
        <v>3434</v>
      </c>
      <c r="C120" s="172">
        <v>46232</v>
      </c>
      <c r="D120" s="173" t="s">
        <v>3435</v>
      </c>
      <c r="E120" s="172">
        <v>46232</v>
      </c>
      <c r="F120" s="173" t="s">
        <v>3436</v>
      </c>
      <c r="G120" s="174" t="s">
        <v>80</v>
      </c>
      <c r="H120" s="175">
        <v>13900</v>
      </c>
      <c r="I120" s="175">
        <v>32800</v>
      </c>
      <c r="J120" s="175">
        <v>18900</v>
      </c>
    </row>
    <row r="121" spans="1:10" x14ac:dyDescent="0.3">
      <c r="A121" s="171">
        <v>117</v>
      </c>
      <c r="B121" s="171" t="s">
        <v>3437</v>
      </c>
      <c r="C121" s="172">
        <v>46232</v>
      </c>
      <c r="D121" s="173" t="s">
        <v>3438</v>
      </c>
      <c r="E121" s="172">
        <v>46232</v>
      </c>
      <c r="F121" s="173" t="s">
        <v>3439</v>
      </c>
      <c r="G121" s="174" t="s">
        <v>71</v>
      </c>
      <c r="H121" s="175">
        <v>13930</v>
      </c>
      <c r="I121" s="175">
        <v>34280</v>
      </c>
      <c r="J121" s="175">
        <v>20350</v>
      </c>
    </row>
    <row r="122" spans="1:10" x14ac:dyDescent="0.3">
      <c r="A122" s="171">
        <v>118</v>
      </c>
      <c r="B122" s="171" t="s">
        <v>3440</v>
      </c>
      <c r="C122" s="172">
        <v>46232</v>
      </c>
      <c r="D122" s="173" t="s">
        <v>3441</v>
      </c>
      <c r="E122" s="172">
        <v>46232</v>
      </c>
      <c r="F122" s="173" t="s">
        <v>3442</v>
      </c>
      <c r="G122" s="174" t="s">
        <v>336</v>
      </c>
      <c r="H122" s="175">
        <v>13930</v>
      </c>
      <c r="I122" s="175">
        <v>33620</v>
      </c>
      <c r="J122" s="175">
        <v>19690</v>
      </c>
    </row>
    <row r="123" spans="1:10" x14ac:dyDescent="0.3">
      <c r="A123" s="171">
        <v>119</v>
      </c>
      <c r="B123" s="171" t="s">
        <v>3443</v>
      </c>
      <c r="C123" s="172">
        <v>46232</v>
      </c>
      <c r="D123" s="173" t="s">
        <v>2408</v>
      </c>
      <c r="E123" s="172">
        <v>46232</v>
      </c>
      <c r="F123" s="173" t="s">
        <v>212</v>
      </c>
      <c r="G123" s="174" t="s">
        <v>839</v>
      </c>
      <c r="H123" s="175">
        <v>13900</v>
      </c>
      <c r="I123" s="175">
        <v>33280</v>
      </c>
      <c r="J123" s="175">
        <v>19380</v>
      </c>
    </row>
    <row r="124" spans="1:10" x14ac:dyDescent="0.3">
      <c r="A124" s="171">
        <v>120</v>
      </c>
      <c r="B124" s="171" t="s">
        <v>3444</v>
      </c>
      <c r="C124" s="172">
        <v>46232</v>
      </c>
      <c r="D124" s="173" t="s">
        <v>3445</v>
      </c>
      <c r="E124" s="172">
        <v>46232</v>
      </c>
      <c r="F124" s="173" t="s">
        <v>3446</v>
      </c>
      <c r="G124" s="174" t="s">
        <v>90</v>
      </c>
      <c r="H124" s="175">
        <v>13870</v>
      </c>
      <c r="I124" s="175">
        <v>32730</v>
      </c>
      <c r="J124" s="175">
        <v>18860</v>
      </c>
    </row>
    <row r="125" spans="1:10" x14ac:dyDescent="0.3">
      <c r="A125" s="171">
        <v>121</v>
      </c>
      <c r="B125" s="171" t="s">
        <v>3447</v>
      </c>
      <c r="C125" s="172">
        <v>46232</v>
      </c>
      <c r="D125" s="173" t="s">
        <v>3448</v>
      </c>
      <c r="E125" s="172">
        <v>46232</v>
      </c>
      <c r="F125" s="173" t="s">
        <v>3449</v>
      </c>
      <c r="G125" s="174" t="s">
        <v>43</v>
      </c>
      <c r="H125" s="175">
        <v>13850</v>
      </c>
      <c r="I125" s="175">
        <v>32090</v>
      </c>
      <c r="J125" s="175">
        <v>18240</v>
      </c>
    </row>
    <row r="126" spans="1:10" x14ac:dyDescent="0.3">
      <c r="A126" s="171">
        <v>122</v>
      </c>
      <c r="B126" s="171" t="s">
        <v>3450</v>
      </c>
      <c r="C126" s="172">
        <v>46232</v>
      </c>
      <c r="D126" s="173" t="s">
        <v>3451</v>
      </c>
      <c r="E126" s="172">
        <v>46232</v>
      </c>
      <c r="F126" s="173" t="s">
        <v>3452</v>
      </c>
      <c r="G126" s="174" t="s">
        <v>537</v>
      </c>
      <c r="H126" s="175">
        <v>14030</v>
      </c>
      <c r="I126" s="175">
        <v>33770</v>
      </c>
      <c r="J126" s="175">
        <v>19740</v>
      </c>
    </row>
    <row r="127" spans="1:10" x14ac:dyDescent="0.3">
      <c r="A127" s="171">
        <v>123</v>
      </c>
      <c r="B127" s="171" t="s">
        <v>3453</v>
      </c>
      <c r="C127" s="172">
        <v>46232</v>
      </c>
      <c r="D127" s="173" t="s">
        <v>3454</v>
      </c>
      <c r="E127" s="172">
        <v>46232</v>
      </c>
      <c r="F127" s="173" t="s">
        <v>3455</v>
      </c>
      <c r="G127" s="174" t="s">
        <v>143</v>
      </c>
      <c r="H127" s="175">
        <v>13890</v>
      </c>
      <c r="I127" s="175">
        <v>33810</v>
      </c>
      <c r="J127" s="175">
        <v>19920</v>
      </c>
    </row>
    <row r="128" spans="1:10" x14ac:dyDescent="0.3">
      <c r="A128" s="171">
        <v>124</v>
      </c>
      <c r="B128" s="171" t="s">
        <v>3456</v>
      </c>
      <c r="C128" s="172">
        <v>46232</v>
      </c>
      <c r="D128" s="173" t="s">
        <v>3457</v>
      </c>
      <c r="E128" s="172">
        <v>46232</v>
      </c>
      <c r="F128" s="173" t="s">
        <v>3458</v>
      </c>
      <c r="G128" s="174" t="s">
        <v>55</v>
      </c>
      <c r="H128" s="175">
        <v>13670</v>
      </c>
      <c r="I128" s="175">
        <v>34150</v>
      </c>
      <c r="J128" s="175">
        <v>20480</v>
      </c>
    </row>
    <row r="129" spans="1:10" x14ac:dyDescent="0.3">
      <c r="A129" s="171">
        <v>125</v>
      </c>
      <c r="B129" s="171" t="s">
        <v>3459</v>
      </c>
      <c r="C129" s="172">
        <v>46232</v>
      </c>
      <c r="D129" s="173" t="s">
        <v>3460</v>
      </c>
      <c r="E129" s="172">
        <v>46232</v>
      </c>
      <c r="F129" s="173" t="s">
        <v>3461</v>
      </c>
      <c r="G129" s="174" t="s">
        <v>842</v>
      </c>
      <c r="H129" s="175">
        <v>13970</v>
      </c>
      <c r="I129" s="175">
        <v>33070</v>
      </c>
      <c r="J129" s="175">
        <v>19100</v>
      </c>
    </row>
    <row r="130" spans="1:10" x14ac:dyDescent="0.3">
      <c r="A130" s="171">
        <v>126</v>
      </c>
      <c r="B130" s="171" t="s">
        <v>3462</v>
      </c>
      <c r="C130" s="172">
        <v>46232</v>
      </c>
      <c r="D130" s="173" t="s">
        <v>3463</v>
      </c>
      <c r="E130" s="172">
        <v>46232</v>
      </c>
      <c r="F130" s="173" t="s">
        <v>3464</v>
      </c>
      <c r="G130" s="174" t="s">
        <v>841</v>
      </c>
      <c r="H130" s="175">
        <v>13830</v>
      </c>
      <c r="I130" s="175">
        <v>33970</v>
      </c>
      <c r="J130" s="175">
        <v>20140</v>
      </c>
    </row>
    <row r="131" spans="1:10" x14ac:dyDescent="0.3">
      <c r="A131" s="171">
        <v>127</v>
      </c>
      <c r="B131" s="171" t="s">
        <v>3465</v>
      </c>
      <c r="C131" s="172">
        <v>46232</v>
      </c>
      <c r="D131" s="173" t="s">
        <v>3466</v>
      </c>
      <c r="E131" s="172">
        <v>46232</v>
      </c>
      <c r="F131" s="173" t="s">
        <v>2894</v>
      </c>
      <c r="G131" s="174" t="s">
        <v>64</v>
      </c>
      <c r="H131" s="175">
        <v>13790</v>
      </c>
      <c r="I131" s="175">
        <v>33370</v>
      </c>
      <c r="J131" s="175">
        <v>19580</v>
      </c>
    </row>
    <row r="132" spans="1:10" x14ac:dyDescent="0.3">
      <c r="A132" s="171">
        <v>128</v>
      </c>
      <c r="B132" s="171" t="s">
        <v>3467</v>
      </c>
      <c r="C132" s="172">
        <v>46232</v>
      </c>
      <c r="D132" s="173" t="s">
        <v>3468</v>
      </c>
      <c r="E132" s="172">
        <v>46232</v>
      </c>
      <c r="F132" s="173" t="s">
        <v>3469</v>
      </c>
      <c r="G132" s="174" t="s">
        <v>80</v>
      </c>
      <c r="H132" s="175">
        <v>13860</v>
      </c>
      <c r="I132" s="175">
        <v>33790</v>
      </c>
      <c r="J132" s="175">
        <v>19930</v>
      </c>
    </row>
    <row r="133" spans="1:10" x14ac:dyDescent="0.3">
      <c r="A133" s="171">
        <v>129</v>
      </c>
      <c r="B133" s="171" t="s">
        <v>3470</v>
      </c>
      <c r="C133" s="172">
        <v>46232</v>
      </c>
      <c r="D133" s="173" t="s">
        <v>3471</v>
      </c>
      <c r="E133" s="172">
        <v>46232</v>
      </c>
      <c r="F133" s="173" t="s">
        <v>3472</v>
      </c>
      <c r="G133" s="174" t="s">
        <v>71</v>
      </c>
      <c r="H133" s="175">
        <v>13940</v>
      </c>
      <c r="I133" s="175">
        <v>33720</v>
      </c>
      <c r="J133" s="175">
        <v>19780</v>
      </c>
    </row>
    <row r="134" spans="1:10" x14ac:dyDescent="0.3">
      <c r="A134" s="171">
        <v>130</v>
      </c>
      <c r="B134" s="171" t="s">
        <v>3473</v>
      </c>
      <c r="C134" s="172">
        <v>46232</v>
      </c>
      <c r="D134" s="173" t="s">
        <v>3474</v>
      </c>
      <c r="E134" s="172">
        <v>46232</v>
      </c>
      <c r="F134" s="173" t="s">
        <v>3475</v>
      </c>
      <c r="G134" s="174" t="s">
        <v>336</v>
      </c>
      <c r="H134" s="175">
        <v>13900</v>
      </c>
      <c r="I134" s="175">
        <v>32670</v>
      </c>
      <c r="J134" s="175">
        <v>18770</v>
      </c>
    </row>
    <row r="135" spans="1:10" x14ac:dyDescent="0.3">
      <c r="A135" s="171">
        <v>131</v>
      </c>
      <c r="B135" s="171" t="s">
        <v>3476</v>
      </c>
      <c r="C135" s="172">
        <v>46232</v>
      </c>
      <c r="D135" s="173" t="s">
        <v>3086</v>
      </c>
      <c r="E135" s="172">
        <v>46232</v>
      </c>
      <c r="F135" s="173" t="s">
        <v>3477</v>
      </c>
      <c r="G135" s="174" t="s">
        <v>90</v>
      </c>
      <c r="H135" s="175">
        <v>13830</v>
      </c>
      <c r="I135" s="175">
        <v>33310</v>
      </c>
      <c r="J135" s="175">
        <v>19480</v>
      </c>
    </row>
    <row r="136" spans="1:10" x14ac:dyDescent="0.3">
      <c r="A136" s="171">
        <v>132</v>
      </c>
      <c r="B136" s="171" t="s">
        <v>3478</v>
      </c>
      <c r="C136" s="172">
        <v>46232</v>
      </c>
      <c r="D136" s="173" t="s">
        <v>3479</v>
      </c>
      <c r="E136" s="172">
        <v>46232</v>
      </c>
      <c r="F136" s="173" t="s">
        <v>795</v>
      </c>
      <c r="G136" s="174" t="s">
        <v>537</v>
      </c>
      <c r="H136" s="175">
        <v>13990</v>
      </c>
      <c r="I136" s="175">
        <v>33110</v>
      </c>
      <c r="J136" s="175">
        <v>19120</v>
      </c>
    </row>
    <row r="137" spans="1:10" x14ac:dyDescent="0.3">
      <c r="A137" s="171">
        <v>133</v>
      </c>
      <c r="B137" s="171" t="s">
        <v>3480</v>
      </c>
      <c r="C137" s="172">
        <v>46232</v>
      </c>
      <c r="D137" s="173" t="s">
        <v>3481</v>
      </c>
      <c r="E137" s="172">
        <v>46232</v>
      </c>
      <c r="F137" s="173" t="s">
        <v>3482</v>
      </c>
      <c r="G137" s="174" t="s">
        <v>839</v>
      </c>
      <c r="H137" s="175">
        <v>13870</v>
      </c>
      <c r="I137" s="175">
        <v>33370</v>
      </c>
      <c r="J137" s="175">
        <v>19500</v>
      </c>
    </row>
    <row r="138" spans="1:10" x14ac:dyDescent="0.3">
      <c r="A138" s="171">
        <v>134</v>
      </c>
      <c r="B138" s="171" t="s">
        <v>3483</v>
      </c>
      <c r="C138" s="172">
        <v>46232</v>
      </c>
      <c r="D138" s="173" t="s">
        <v>3484</v>
      </c>
      <c r="E138" s="172">
        <v>46232</v>
      </c>
      <c r="F138" s="173" t="s">
        <v>3485</v>
      </c>
      <c r="G138" s="174" t="s">
        <v>76</v>
      </c>
      <c r="H138" s="175">
        <v>13710</v>
      </c>
      <c r="I138" s="175">
        <v>32510</v>
      </c>
      <c r="J138" s="175">
        <v>18800</v>
      </c>
    </row>
    <row r="139" spans="1:10" x14ac:dyDescent="0.3">
      <c r="A139" s="171">
        <v>135</v>
      </c>
      <c r="B139" s="171" t="s">
        <v>3486</v>
      </c>
      <c r="C139" s="172">
        <v>46232</v>
      </c>
      <c r="D139" s="173" t="s">
        <v>3487</v>
      </c>
      <c r="E139" s="172">
        <v>46232</v>
      </c>
      <c r="F139" s="173" t="s">
        <v>3096</v>
      </c>
      <c r="G139" s="174" t="s">
        <v>43</v>
      </c>
      <c r="H139" s="175">
        <v>13820</v>
      </c>
      <c r="I139" s="175">
        <v>33160</v>
      </c>
      <c r="J139" s="175">
        <v>19340</v>
      </c>
    </row>
    <row r="140" spans="1:10" x14ac:dyDescent="0.3">
      <c r="A140" s="171">
        <v>136</v>
      </c>
      <c r="B140" s="171" t="s">
        <v>3488</v>
      </c>
      <c r="C140" s="172">
        <v>46232</v>
      </c>
      <c r="D140" s="173" t="s">
        <v>3489</v>
      </c>
      <c r="E140" s="172">
        <v>46232</v>
      </c>
      <c r="F140" s="173" t="s">
        <v>3490</v>
      </c>
      <c r="G140" s="174" t="s">
        <v>143</v>
      </c>
      <c r="H140" s="175">
        <v>13920</v>
      </c>
      <c r="I140" s="175">
        <v>32470</v>
      </c>
      <c r="J140" s="175">
        <v>18550</v>
      </c>
    </row>
    <row r="141" spans="1:10" x14ac:dyDescent="0.3">
      <c r="A141" s="171">
        <v>137</v>
      </c>
      <c r="B141" s="171" t="s">
        <v>3491</v>
      </c>
      <c r="C141" s="172">
        <v>46232</v>
      </c>
      <c r="D141" s="173" t="s">
        <v>3492</v>
      </c>
      <c r="E141" s="172">
        <v>46232</v>
      </c>
      <c r="F141" s="173" t="s">
        <v>3493</v>
      </c>
      <c r="G141" s="174" t="s">
        <v>55</v>
      </c>
      <c r="H141" s="175">
        <v>13640</v>
      </c>
      <c r="I141" s="175">
        <v>32290</v>
      </c>
      <c r="J141" s="175">
        <v>18650</v>
      </c>
    </row>
    <row r="142" spans="1:10" x14ac:dyDescent="0.3">
      <c r="A142" s="171">
        <v>138</v>
      </c>
      <c r="B142" s="171" t="s">
        <v>3494</v>
      </c>
      <c r="C142" s="172">
        <v>46232</v>
      </c>
      <c r="D142" s="173" t="s">
        <v>3495</v>
      </c>
      <c r="E142" s="172">
        <v>46232</v>
      </c>
      <c r="F142" s="173" t="s">
        <v>3496</v>
      </c>
      <c r="G142" s="174" t="s">
        <v>842</v>
      </c>
      <c r="H142" s="175">
        <v>13940</v>
      </c>
      <c r="I142" s="175">
        <v>34440</v>
      </c>
      <c r="J142" s="175">
        <v>20500</v>
      </c>
    </row>
    <row r="143" spans="1:10" x14ac:dyDescent="0.3">
      <c r="A143" s="171">
        <v>139</v>
      </c>
      <c r="B143" s="171" t="s">
        <v>3497</v>
      </c>
      <c r="C143" s="172">
        <v>46232</v>
      </c>
      <c r="D143" s="173" t="s">
        <v>3498</v>
      </c>
      <c r="E143" s="172">
        <v>46232</v>
      </c>
      <c r="F143" s="173" t="s">
        <v>3499</v>
      </c>
      <c r="G143" s="174" t="s">
        <v>841</v>
      </c>
      <c r="H143" s="175">
        <v>13810</v>
      </c>
      <c r="I143" s="175">
        <v>34170</v>
      </c>
      <c r="J143" s="175">
        <v>20360</v>
      </c>
    </row>
    <row r="144" spans="1:10" x14ac:dyDescent="0.3">
      <c r="A144" s="171">
        <v>140</v>
      </c>
      <c r="B144" s="171" t="s">
        <v>3500</v>
      </c>
      <c r="C144" s="172">
        <v>46232</v>
      </c>
      <c r="D144" s="173" t="s">
        <v>3501</v>
      </c>
      <c r="E144" s="172">
        <v>46232</v>
      </c>
      <c r="F144" s="173" t="s">
        <v>3502</v>
      </c>
      <c r="G144" s="174" t="s">
        <v>64</v>
      </c>
      <c r="H144" s="175">
        <v>13780</v>
      </c>
      <c r="I144" s="175">
        <v>33500</v>
      </c>
      <c r="J144" s="175">
        <v>19720</v>
      </c>
    </row>
    <row r="145" spans="1:10" x14ac:dyDescent="0.3">
      <c r="A145" s="171">
        <v>141</v>
      </c>
      <c r="B145" s="171" t="s">
        <v>3503</v>
      </c>
      <c r="C145" s="172">
        <v>46232</v>
      </c>
      <c r="D145" s="173" t="s">
        <v>3504</v>
      </c>
      <c r="E145" s="172">
        <v>46232</v>
      </c>
      <c r="F145" s="173" t="s">
        <v>3505</v>
      </c>
      <c r="G145" s="174" t="s">
        <v>80</v>
      </c>
      <c r="H145" s="175">
        <v>13840</v>
      </c>
      <c r="I145" s="175">
        <v>33470</v>
      </c>
      <c r="J145" s="175">
        <v>19630</v>
      </c>
    </row>
    <row r="146" spans="1:10" x14ac:dyDescent="0.3">
      <c r="A146" s="171">
        <v>142</v>
      </c>
      <c r="B146" s="171" t="s">
        <v>3506</v>
      </c>
      <c r="C146" s="172">
        <v>46232</v>
      </c>
      <c r="D146" s="173" t="s">
        <v>3507</v>
      </c>
      <c r="E146" s="172">
        <v>46232</v>
      </c>
      <c r="F146" s="173" t="s">
        <v>3508</v>
      </c>
      <c r="G146" s="174" t="s">
        <v>71</v>
      </c>
      <c r="H146" s="175">
        <v>13900</v>
      </c>
      <c r="I146" s="175">
        <v>33960</v>
      </c>
      <c r="J146" s="175">
        <v>20060</v>
      </c>
    </row>
    <row r="147" spans="1:10" x14ac:dyDescent="0.3">
      <c r="A147" s="171">
        <v>143</v>
      </c>
      <c r="B147" s="171" t="s">
        <v>3509</v>
      </c>
      <c r="C147" s="172">
        <v>46232</v>
      </c>
      <c r="D147" s="173" t="s">
        <v>3510</v>
      </c>
      <c r="E147" s="172">
        <v>46232</v>
      </c>
      <c r="F147" s="173" t="s">
        <v>3089</v>
      </c>
      <c r="G147" s="174" t="s">
        <v>336</v>
      </c>
      <c r="H147" s="175">
        <v>13870</v>
      </c>
      <c r="I147" s="175">
        <v>32690</v>
      </c>
      <c r="J147" s="175">
        <v>18820</v>
      </c>
    </row>
    <row r="148" spans="1:10" x14ac:dyDescent="0.3">
      <c r="A148" s="171">
        <v>144</v>
      </c>
      <c r="B148" s="171" t="s">
        <v>3511</v>
      </c>
      <c r="C148" s="172">
        <v>46232</v>
      </c>
      <c r="D148" s="173" t="s">
        <v>3090</v>
      </c>
      <c r="E148" s="172">
        <v>46232</v>
      </c>
      <c r="F148" s="173" t="s">
        <v>3512</v>
      </c>
      <c r="G148" s="174" t="s">
        <v>90</v>
      </c>
      <c r="H148" s="175">
        <v>13790</v>
      </c>
      <c r="I148" s="175">
        <v>33740</v>
      </c>
      <c r="J148" s="175">
        <v>19950</v>
      </c>
    </row>
    <row r="149" spans="1:10" x14ac:dyDescent="0.3">
      <c r="A149" s="171">
        <v>145</v>
      </c>
      <c r="B149" s="171" t="s">
        <v>3513</v>
      </c>
      <c r="C149" s="172">
        <v>46232</v>
      </c>
      <c r="D149" s="173" t="s">
        <v>3514</v>
      </c>
      <c r="E149" s="172">
        <v>46232</v>
      </c>
      <c r="F149" s="173" t="s">
        <v>3515</v>
      </c>
      <c r="G149" s="174" t="s">
        <v>537</v>
      </c>
      <c r="H149" s="175">
        <v>13950</v>
      </c>
      <c r="I149" s="175">
        <v>34440</v>
      </c>
      <c r="J149" s="175">
        <v>20490</v>
      </c>
    </row>
    <row r="150" spans="1:10" x14ac:dyDescent="0.3">
      <c r="A150" s="171">
        <v>146</v>
      </c>
      <c r="B150" s="171" t="s">
        <v>3516</v>
      </c>
      <c r="C150" s="172">
        <v>46232</v>
      </c>
      <c r="D150" s="173" t="s">
        <v>3517</v>
      </c>
      <c r="E150" s="172">
        <v>46232</v>
      </c>
      <c r="F150" s="173" t="s">
        <v>3518</v>
      </c>
      <c r="G150" s="174" t="s">
        <v>839</v>
      </c>
      <c r="H150" s="175">
        <v>13850</v>
      </c>
      <c r="I150" s="175">
        <v>35420</v>
      </c>
      <c r="J150" s="175">
        <v>21570</v>
      </c>
    </row>
    <row r="151" spans="1:10" x14ac:dyDescent="0.3">
      <c r="A151" s="171">
        <v>147</v>
      </c>
      <c r="B151" s="171" t="s">
        <v>3519</v>
      </c>
      <c r="C151" s="172">
        <v>46232</v>
      </c>
      <c r="D151" s="173" t="s">
        <v>3520</v>
      </c>
      <c r="E151" s="172">
        <v>46232</v>
      </c>
      <c r="F151" s="173" t="s">
        <v>3521</v>
      </c>
      <c r="G151" s="174" t="s">
        <v>76</v>
      </c>
      <c r="H151" s="175">
        <v>13670</v>
      </c>
      <c r="I151" s="175">
        <v>34190</v>
      </c>
      <c r="J151" s="175">
        <v>20520</v>
      </c>
    </row>
    <row r="152" spans="1:10" x14ac:dyDescent="0.3">
      <c r="A152" s="171">
        <v>148</v>
      </c>
      <c r="B152" s="171" t="s">
        <v>3522</v>
      </c>
      <c r="C152" s="172">
        <v>46232</v>
      </c>
      <c r="D152" s="173" t="s">
        <v>3523</v>
      </c>
      <c r="E152" s="172">
        <v>46232</v>
      </c>
      <c r="F152" s="173" t="s">
        <v>3524</v>
      </c>
      <c r="G152" s="174" t="s">
        <v>43</v>
      </c>
      <c r="H152" s="175">
        <v>13790</v>
      </c>
      <c r="I152" s="175">
        <v>34290</v>
      </c>
      <c r="J152" s="175">
        <v>20500</v>
      </c>
    </row>
    <row r="153" spans="1:10" x14ac:dyDescent="0.3">
      <c r="A153" s="171">
        <v>149</v>
      </c>
      <c r="B153" s="171" t="s">
        <v>3525</v>
      </c>
      <c r="C153" s="172">
        <v>46232</v>
      </c>
      <c r="D153" s="173" t="s">
        <v>3526</v>
      </c>
      <c r="E153" s="172">
        <v>46232</v>
      </c>
      <c r="F153" s="173" t="s">
        <v>3527</v>
      </c>
      <c r="G153" s="174" t="s">
        <v>55</v>
      </c>
      <c r="H153" s="175">
        <v>13600</v>
      </c>
      <c r="I153" s="175">
        <v>32720</v>
      </c>
      <c r="J153" s="175">
        <v>19120</v>
      </c>
    </row>
    <row r="154" spans="1:10" x14ac:dyDescent="0.3">
      <c r="A154" s="171">
        <v>150</v>
      </c>
      <c r="B154" s="171" t="s">
        <v>3528</v>
      </c>
      <c r="C154" s="172">
        <v>46232</v>
      </c>
      <c r="D154" s="173" t="s">
        <v>3529</v>
      </c>
      <c r="E154" s="172">
        <v>46232</v>
      </c>
      <c r="F154" s="173" t="s">
        <v>3530</v>
      </c>
      <c r="G154" s="174" t="s">
        <v>143</v>
      </c>
      <c r="H154" s="175">
        <v>13860</v>
      </c>
      <c r="I154" s="175">
        <v>32550</v>
      </c>
      <c r="J154" s="175">
        <v>18690</v>
      </c>
    </row>
    <row r="155" spans="1:10" x14ac:dyDescent="0.3">
      <c r="A155" s="171">
        <v>151</v>
      </c>
      <c r="B155" s="171" t="s">
        <v>3531</v>
      </c>
      <c r="C155" s="172">
        <v>46232</v>
      </c>
      <c r="D155" s="173" t="s">
        <v>3532</v>
      </c>
      <c r="E155" s="172">
        <v>46232</v>
      </c>
      <c r="F155" s="173" t="s">
        <v>3533</v>
      </c>
      <c r="G155" s="174" t="s">
        <v>842</v>
      </c>
      <c r="H155" s="175">
        <v>13910</v>
      </c>
      <c r="I155" s="175">
        <v>33870</v>
      </c>
      <c r="J155" s="175">
        <v>19960</v>
      </c>
    </row>
    <row r="156" spans="1:10" x14ac:dyDescent="0.3">
      <c r="A156" s="171">
        <v>152</v>
      </c>
      <c r="B156" s="171" t="s">
        <v>3534</v>
      </c>
      <c r="C156" s="172">
        <v>46232</v>
      </c>
      <c r="D156" s="173" t="s">
        <v>3535</v>
      </c>
      <c r="E156" s="172">
        <v>46232</v>
      </c>
      <c r="F156" s="173" t="s">
        <v>3536</v>
      </c>
      <c r="G156" s="174" t="s">
        <v>841</v>
      </c>
      <c r="H156" s="175">
        <v>13780</v>
      </c>
      <c r="I156" s="175">
        <v>32970</v>
      </c>
      <c r="J156" s="175">
        <v>19190</v>
      </c>
    </row>
    <row r="157" spans="1:10" x14ac:dyDescent="0.3">
      <c r="A157" s="171">
        <v>153</v>
      </c>
      <c r="B157" s="171" t="s">
        <v>3537</v>
      </c>
      <c r="C157" s="172">
        <v>46232</v>
      </c>
      <c r="D157" s="173" t="s">
        <v>3538</v>
      </c>
      <c r="E157" s="172">
        <v>46232</v>
      </c>
      <c r="F157" s="173" t="s">
        <v>3539</v>
      </c>
      <c r="G157" s="174" t="s">
        <v>64</v>
      </c>
      <c r="H157" s="175">
        <v>14040</v>
      </c>
      <c r="I157" s="175">
        <v>34440</v>
      </c>
      <c r="J157" s="175">
        <v>20400</v>
      </c>
    </row>
    <row r="158" spans="1:10" x14ac:dyDescent="0.3">
      <c r="A158" s="171">
        <v>154</v>
      </c>
      <c r="B158" s="171" t="s">
        <v>3540</v>
      </c>
      <c r="C158" s="172">
        <v>46232</v>
      </c>
      <c r="D158" s="173" t="s">
        <v>3541</v>
      </c>
      <c r="E158" s="172">
        <v>46232</v>
      </c>
      <c r="F158" s="173" t="s">
        <v>3542</v>
      </c>
      <c r="G158" s="174" t="s">
        <v>80</v>
      </c>
      <c r="H158" s="175">
        <v>14170</v>
      </c>
      <c r="I158" s="175">
        <v>33360</v>
      </c>
      <c r="J158" s="175">
        <v>19190</v>
      </c>
    </row>
    <row r="159" spans="1:10" x14ac:dyDescent="0.3">
      <c r="A159" s="171">
        <v>155</v>
      </c>
      <c r="B159" s="171" t="s">
        <v>3543</v>
      </c>
      <c r="C159" s="172">
        <v>46232</v>
      </c>
      <c r="D159" s="173" t="s">
        <v>3544</v>
      </c>
      <c r="E159" s="172">
        <v>46232</v>
      </c>
      <c r="F159" s="173" t="s">
        <v>3545</v>
      </c>
      <c r="G159" s="174" t="s">
        <v>71</v>
      </c>
      <c r="H159" s="175">
        <v>13950</v>
      </c>
      <c r="I159" s="175">
        <v>33370</v>
      </c>
      <c r="J159" s="175">
        <v>19420</v>
      </c>
    </row>
    <row r="160" spans="1:10" x14ac:dyDescent="0.3">
      <c r="A160" s="171">
        <v>156</v>
      </c>
      <c r="B160" s="171" t="s">
        <v>3546</v>
      </c>
      <c r="C160" s="172">
        <v>46232</v>
      </c>
      <c r="D160" s="173" t="s">
        <v>3547</v>
      </c>
      <c r="E160" s="172">
        <v>46232</v>
      </c>
      <c r="F160" s="173" t="s">
        <v>3548</v>
      </c>
      <c r="G160" s="174" t="s">
        <v>90</v>
      </c>
      <c r="H160" s="175">
        <v>13760</v>
      </c>
      <c r="I160" s="175">
        <v>32810</v>
      </c>
      <c r="J160" s="175">
        <v>19050</v>
      </c>
    </row>
    <row r="161" spans="1:10" x14ac:dyDescent="0.3">
      <c r="A161" s="171">
        <v>157</v>
      </c>
      <c r="B161" s="171" t="s">
        <v>3549</v>
      </c>
      <c r="C161" s="172">
        <v>46232</v>
      </c>
      <c r="D161" s="173" t="s">
        <v>3550</v>
      </c>
      <c r="E161" s="172">
        <v>46232</v>
      </c>
      <c r="F161" s="173" t="s">
        <v>3551</v>
      </c>
      <c r="G161" s="174" t="s">
        <v>336</v>
      </c>
      <c r="H161" s="175">
        <v>13850</v>
      </c>
      <c r="I161" s="175">
        <v>32780</v>
      </c>
      <c r="J161" s="175">
        <v>18930</v>
      </c>
    </row>
    <row r="162" spans="1:10" x14ac:dyDescent="0.3">
      <c r="A162" s="171">
        <v>158</v>
      </c>
      <c r="B162" s="171" t="s">
        <v>3552</v>
      </c>
      <c r="C162" s="172">
        <v>46232</v>
      </c>
      <c r="D162" s="173" t="s">
        <v>3553</v>
      </c>
      <c r="E162" s="172">
        <v>46232</v>
      </c>
      <c r="F162" s="173" t="s">
        <v>3554</v>
      </c>
      <c r="G162" s="174" t="s">
        <v>537</v>
      </c>
      <c r="H162" s="175">
        <v>13930</v>
      </c>
      <c r="I162" s="175">
        <v>33060</v>
      </c>
      <c r="J162" s="175">
        <v>19130</v>
      </c>
    </row>
    <row r="163" spans="1:10" x14ac:dyDescent="0.3">
      <c r="A163" s="171">
        <v>159</v>
      </c>
      <c r="B163" s="171" t="s">
        <v>3555</v>
      </c>
      <c r="C163" s="172">
        <v>46232</v>
      </c>
      <c r="D163" s="173" t="s">
        <v>3556</v>
      </c>
      <c r="E163" s="172">
        <v>46232</v>
      </c>
      <c r="F163" s="173" t="s">
        <v>3557</v>
      </c>
      <c r="G163" s="174" t="s">
        <v>839</v>
      </c>
      <c r="H163" s="175">
        <v>13800</v>
      </c>
      <c r="I163" s="175">
        <v>32840</v>
      </c>
      <c r="J163" s="175">
        <v>19040</v>
      </c>
    </row>
    <row r="164" spans="1:10" x14ac:dyDescent="0.3">
      <c r="A164" s="171">
        <v>160</v>
      </c>
      <c r="B164" s="171" t="s">
        <v>3558</v>
      </c>
      <c r="C164" s="172">
        <v>46232</v>
      </c>
      <c r="D164" s="173" t="s">
        <v>3559</v>
      </c>
      <c r="E164" s="172">
        <v>46232</v>
      </c>
      <c r="F164" s="173" t="s">
        <v>3560</v>
      </c>
      <c r="G164" s="174" t="s">
        <v>43</v>
      </c>
      <c r="H164" s="175">
        <v>13760</v>
      </c>
      <c r="I164" s="175">
        <v>31970</v>
      </c>
      <c r="J164" s="175">
        <v>18210</v>
      </c>
    </row>
    <row r="165" spans="1:10" x14ac:dyDescent="0.3">
      <c r="A165" s="171">
        <v>161</v>
      </c>
      <c r="B165" s="171" t="s">
        <v>3561</v>
      </c>
      <c r="C165" s="172">
        <v>46232</v>
      </c>
      <c r="D165" s="173" t="s">
        <v>3562</v>
      </c>
      <c r="E165" s="172">
        <v>46232</v>
      </c>
      <c r="F165" s="173" t="s">
        <v>3563</v>
      </c>
      <c r="G165" s="174" t="s">
        <v>76</v>
      </c>
      <c r="H165" s="175">
        <v>13990</v>
      </c>
      <c r="I165" s="175">
        <v>33730</v>
      </c>
      <c r="J165" s="175">
        <v>19740</v>
      </c>
    </row>
    <row r="166" spans="1:10" x14ac:dyDescent="0.3">
      <c r="A166" s="171">
        <v>162</v>
      </c>
      <c r="B166" s="171" t="s">
        <v>3564</v>
      </c>
      <c r="C166" s="172">
        <v>46232</v>
      </c>
      <c r="D166" s="173" t="s">
        <v>3369</v>
      </c>
      <c r="E166" s="172">
        <v>46232</v>
      </c>
      <c r="F166" s="173" t="s">
        <v>3565</v>
      </c>
      <c r="G166" s="174" t="s">
        <v>143</v>
      </c>
      <c r="H166" s="175">
        <v>13830</v>
      </c>
      <c r="I166" s="175">
        <v>32300</v>
      </c>
      <c r="J166" s="175">
        <v>18470</v>
      </c>
    </row>
    <row r="167" spans="1:10" x14ac:dyDescent="0.3">
      <c r="A167" s="171">
        <v>163</v>
      </c>
      <c r="B167" s="171" t="s">
        <v>3566</v>
      </c>
      <c r="C167" s="172">
        <v>46232</v>
      </c>
      <c r="D167" s="173" t="s">
        <v>3567</v>
      </c>
      <c r="E167" s="172">
        <v>46232</v>
      </c>
      <c r="F167" s="173" t="s">
        <v>3568</v>
      </c>
      <c r="G167" s="174" t="s">
        <v>842</v>
      </c>
      <c r="H167" s="175">
        <v>14180</v>
      </c>
      <c r="I167" s="175">
        <v>33530</v>
      </c>
      <c r="J167" s="175">
        <v>19350</v>
      </c>
    </row>
    <row r="168" spans="1:10" x14ac:dyDescent="0.3">
      <c r="A168" s="171">
        <v>164</v>
      </c>
      <c r="B168" s="171" t="s">
        <v>3569</v>
      </c>
      <c r="C168" s="172">
        <v>46232</v>
      </c>
      <c r="D168" s="173" t="s">
        <v>3570</v>
      </c>
      <c r="E168" s="172">
        <v>46232</v>
      </c>
      <c r="F168" s="173" t="s">
        <v>3571</v>
      </c>
      <c r="G168" s="174" t="s">
        <v>841</v>
      </c>
      <c r="H168" s="175">
        <v>14090</v>
      </c>
      <c r="I168" s="175">
        <v>32780</v>
      </c>
      <c r="J168" s="175">
        <v>18690</v>
      </c>
    </row>
    <row r="169" spans="1:10" x14ac:dyDescent="0.3">
      <c r="A169" s="171">
        <v>165</v>
      </c>
      <c r="B169" s="171" t="s">
        <v>3572</v>
      </c>
      <c r="C169" s="172">
        <v>46232</v>
      </c>
      <c r="D169" s="173" t="s">
        <v>3573</v>
      </c>
      <c r="E169" s="172">
        <v>46232</v>
      </c>
      <c r="F169" s="173" t="s">
        <v>3574</v>
      </c>
      <c r="G169" s="174" t="s">
        <v>64</v>
      </c>
      <c r="H169" s="175">
        <v>14010</v>
      </c>
      <c r="I169" s="175">
        <v>33350</v>
      </c>
      <c r="J169" s="175">
        <v>19340</v>
      </c>
    </row>
    <row r="170" spans="1:10" x14ac:dyDescent="0.3">
      <c r="A170" s="171">
        <v>166</v>
      </c>
      <c r="B170" s="171" t="s">
        <v>3575</v>
      </c>
      <c r="C170" s="172">
        <v>46232</v>
      </c>
      <c r="D170" s="173" t="s">
        <v>3576</v>
      </c>
      <c r="E170" s="172">
        <v>46232</v>
      </c>
      <c r="F170" s="173" t="s">
        <v>3577</v>
      </c>
      <c r="G170" s="174" t="s">
        <v>80</v>
      </c>
      <c r="H170" s="175">
        <v>14140</v>
      </c>
      <c r="I170" s="175">
        <v>34750</v>
      </c>
      <c r="J170" s="175">
        <v>20610</v>
      </c>
    </row>
    <row r="171" spans="1:10" x14ac:dyDescent="0.3">
      <c r="A171" s="171">
        <v>167</v>
      </c>
      <c r="B171" s="171" t="s">
        <v>3578</v>
      </c>
      <c r="C171" s="172">
        <v>46232</v>
      </c>
      <c r="D171" s="173" t="s">
        <v>3579</v>
      </c>
      <c r="E171" s="172">
        <v>46232</v>
      </c>
      <c r="F171" s="173" t="s">
        <v>3580</v>
      </c>
      <c r="G171" s="174" t="s">
        <v>71</v>
      </c>
      <c r="H171" s="175">
        <v>13930</v>
      </c>
      <c r="I171" s="175">
        <v>34430</v>
      </c>
      <c r="J171" s="175">
        <v>20500</v>
      </c>
    </row>
    <row r="172" spans="1:10" x14ac:dyDescent="0.3">
      <c r="A172" s="171">
        <v>168</v>
      </c>
      <c r="B172" s="171" t="s">
        <v>3581</v>
      </c>
      <c r="C172" s="172">
        <v>46232</v>
      </c>
      <c r="D172" s="173" t="s">
        <v>3582</v>
      </c>
      <c r="E172" s="172">
        <v>46232</v>
      </c>
      <c r="F172" s="173" t="s">
        <v>3583</v>
      </c>
      <c r="G172" s="174" t="s">
        <v>90</v>
      </c>
      <c r="H172" s="175">
        <v>13720</v>
      </c>
      <c r="I172" s="175">
        <v>34100</v>
      </c>
      <c r="J172" s="175">
        <v>20380</v>
      </c>
    </row>
    <row r="173" spans="1:10" x14ac:dyDescent="0.3">
      <c r="A173" s="171">
        <v>169</v>
      </c>
      <c r="B173" s="171" t="s">
        <v>3584</v>
      </c>
      <c r="C173" s="172">
        <v>46232</v>
      </c>
      <c r="D173" s="173" t="s">
        <v>3585</v>
      </c>
      <c r="E173" s="172">
        <v>46232</v>
      </c>
      <c r="F173" s="173" t="s">
        <v>3586</v>
      </c>
      <c r="G173" s="174" t="s">
        <v>336</v>
      </c>
      <c r="H173" s="175">
        <v>13810</v>
      </c>
      <c r="I173" s="175">
        <v>33610</v>
      </c>
      <c r="J173" s="175">
        <v>19800</v>
      </c>
    </row>
    <row r="174" spans="1:10" x14ac:dyDescent="0.3">
      <c r="A174" s="171">
        <v>170</v>
      </c>
      <c r="B174" s="171" t="s">
        <v>3587</v>
      </c>
      <c r="C174" s="172">
        <v>46232</v>
      </c>
      <c r="D174" s="173" t="s">
        <v>3588</v>
      </c>
      <c r="E174" s="172">
        <v>46232</v>
      </c>
      <c r="F174" s="173" t="s">
        <v>3589</v>
      </c>
      <c r="G174" s="174" t="s">
        <v>537</v>
      </c>
      <c r="H174" s="175">
        <v>13880</v>
      </c>
      <c r="I174" s="175">
        <v>34660</v>
      </c>
      <c r="J174" s="175">
        <v>20780</v>
      </c>
    </row>
    <row r="175" spans="1:10" x14ac:dyDescent="0.3">
      <c r="A175" s="171">
        <v>171</v>
      </c>
      <c r="B175" s="171" t="s">
        <v>3590</v>
      </c>
      <c r="C175" s="172">
        <v>46232</v>
      </c>
      <c r="D175" s="173" t="s">
        <v>3591</v>
      </c>
      <c r="E175" s="172">
        <v>46232</v>
      </c>
      <c r="F175" s="173" t="s">
        <v>3592</v>
      </c>
      <c r="G175" s="174" t="s">
        <v>55</v>
      </c>
      <c r="H175" s="175">
        <v>13610</v>
      </c>
      <c r="I175" s="175">
        <v>33380</v>
      </c>
      <c r="J175" s="175">
        <v>19770</v>
      </c>
    </row>
    <row r="176" spans="1:10" x14ac:dyDescent="0.3">
      <c r="A176" s="171">
        <v>172</v>
      </c>
      <c r="B176" s="171" t="s">
        <v>3593</v>
      </c>
      <c r="C176" s="172">
        <v>46232</v>
      </c>
      <c r="D176" s="173" t="s">
        <v>3594</v>
      </c>
      <c r="E176" s="172">
        <v>46232</v>
      </c>
      <c r="F176" s="173" t="s">
        <v>3595</v>
      </c>
      <c r="G176" s="174" t="s">
        <v>43</v>
      </c>
      <c r="H176" s="175">
        <v>13810</v>
      </c>
      <c r="I176" s="175">
        <v>34410</v>
      </c>
      <c r="J176" s="175">
        <v>20600</v>
      </c>
    </row>
    <row r="177" spans="1:10" x14ac:dyDescent="0.3">
      <c r="A177" s="171">
        <v>173</v>
      </c>
      <c r="B177" s="171" t="s">
        <v>3596</v>
      </c>
      <c r="C177" s="172">
        <v>46232</v>
      </c>
      <c r="D177" s="173" t="s">
        <v>3597</v>
      </c>
      <c r="E177" s="172">
        <v>46232</v>
      </c>
      <c r="F177" s="173" t="s">
        <v>3598</v>
      </c>
      <c r="G177" s="174" t="s">
        <v>839</v>
      </c>
      <c r="H177" s="175">
        <v>13890</v>
      </c>
      <c r="I177" s="175">
        <v>34720</v>
      </c>
      <c r="J177" s="175">
        <v>20830</v>
      </c>
    </row>
    <row r="178" spans="1:10" x14ac:dyDescent="0.3">
      <c r="A178" s="171">
        <v>174</v>
      </c>
      <c r="B178" s="171" t="s">
        <v>3599</v>
      </c>
      <c r="C178" s="172">
        <v>46232</v>
      </c>
      <c r="D178" s="173" t="s">
        <v>3600</v>
      </c>
      <c r="E178" s="172">
        <v>46232</v>
      </c>
      <c r="F178" s="173" t="s">
        <v>3601</v>
      </c>
      <c r="G178" s="174" t="s">
        <v>76</v>
      </c>
      <c r="H178" s="175">
        <v>13560</v>
      </c>
      <c r="I178" s="175">
        <v>33690</v>
      </c>
      <c r="J178" s="175">
        <v>20130</v>
      </c>
    </row>
    <row r="179" spans="1:10" x14ac:dyDescent="0.3">
      <c r="A179" s="171">
        <v>175</v>
      </c>
      <c r="B179" s="171" t="s">
        <v>3602</v>
      </c>
      <c r="C179" s="172">
        <v>46232</v>
      </c>
      <c r="D179" s="173" t="s">
        <v>3603</v>
      </c>
      <c r="E179" s="172">
        <v>46232</v>
      </c>
      <c r="F179" s="173" t="s">
        <v>3604</v>
      </c>
      <c r="G179" s="174" t="s">
        <v>143</v>
      </c>
      <c r="H179" s="175">
        <v>13800</v>
      </c>
      <c r="I179" s="175">
        <v>34090</v>
      </c>
      <c r="J179" s="175">
        <v>20290</v>
      </c>
    </row>
    <row r="180" spans="1:10" x14ac:dyDescent="0.3">
      <c r="A180" s="171">
        <v>176</v>
      </c>
      <c r="B180" s="171" t="s">
        <v>3605</v>
      </c>
      <c r="C180" s="172">
        <v>46232</v>
      </c>
      <c r="D180" s="173" t="s">
        <v>3606</v>
      </c>
      <c r="E180" s="172">
        <v>46232</v>
      </c>
      <c r="F180" s="173" t="s">
        <v>3607</v>
      </c>
      <c r="G180" s="174" t="s">
        <v>841</v>
      </c>
      <c r="H180" s="175">
        <v>14000</v>
      </c>
      <c r="I180" s="175">
        <v>33560</v>
      </c>
      <c r="J180" s="175">
        <v>19560</v>
      </c>
    </row>
    <row r="181" spans="1:10" x14ac:dyDescent="0.3">
      <c r="A181" s="171">
        <v>177</v>
      </c>
      <c r="B181" s="171" t="s">
        <v>3608</v>
      </c>
      <c r="C181" s="172">
        <v>46232</v>
      </c>
      <c r="D181" s="173" t="s">
        <v>3609</v>
      </c>
      <c r="E181" s="172">
        <v>46232</v>
      </c>
      <c r="F181" s="173" t="s">
        <v>3610</v>
      </c>
      <c r="G181" s="174" t="s">
        <v>842</v>
      </c>
      <c r="H181" s="175">
        <v>14150</v>
      </c>
      <c r="I181" s="175">
        <v>33470</v>
      </c>
      <c r="J181" s="175">
        <v>19320</v>
      </c>
    </row>
    <row r="182" spans="1:10" x14ac:dyDescent="0.3">
      <c r="A182" s="171">
        <v>178</v>
      </c>
      <c r="B182" s="171" t="s">
        <v>3611</v>
      </c>
      <c r="C182" s="172">
        <v>46232</v>
      </c>
      <c r="D182" s="173" t="s">
        <v>3612</v>
      </c>
      <c r="E182" s="172">
        <v>46232</v>
      </c>
      <c r="F182" s="173" t="s">
        <v>3613</v>
      </c>
      <c r="G182" s="174" t="s">
        <v>64</v>
      </c>
      <c r="H182" s="175">
        <v>14020</v>
      </c>
      <c r="I182" s="175">
        <v>34170</v>
      </c>
      <c r="J182" s="175">
        <v>20150</v>
      </c>
    </row>
    <row r="183" spans="1:10" x14ac:dyDescent="0.3">
      <c r="A183" s="171">
        <v>179</v>
      </c>
      <c r="B183" s="171" t="s">
        <v>3614</v>
      </c>
      <c r="C183" s="172">
        <v>46232</v>
      </c>
      <c r="D183" s="173" t="s">
        <v>3615</v>
      </c>
      <c r="E183" s="172">
        <v>46232</v>
      </c>
      <c r="F183" s="173" t="s">
        <v>3616</v>
      </c>
      <c r="G183" s="174" t="s">
        <v>80</v>
      </c>
      <c r="H183" s="175">
        <v>14140</v>
      </c>
      <c r="I183" s="175">
        <v>32540</v>
      </c>
      <c r="J183" s="175">
        <v>18400</v>
      </c>
    </row>
    <row r="184" spans="1:10" x14ac:dyDescent="0.3">
      <c r="A184" s="171">
        <v>180</v>
      </c>
      <c r="B184" s="171" t="s">
        <v>3617</v>
      </c>
      <c r="C184" s="172">
        <v>46232</v>
      </c>
      <c r="D184" s="173" t="s">
        <v>3618</v>
      </c>
      <c r="E184" s="172">
        <v>46232</v>
      </c>
      <c r="F184" s="173" t="s">
        <v>3619</v>
      </c>
      <c r="G184" s="174" t="s">
        <v>71</v>
      </c>
      <c r="H184" s="175">
        <v>13810</v>
      </c>
      <c r="I184" s="175">
        <v>34270</v>
      </c>
      <c r="J184" s="175">
        <v>20460</v>
      </c>
    </row>
    <row r="185" spans="1:10" x14ac:dyDescent="0.3">
      <c r="A185" s="171">
        <v>181</v>
      </c>
      <c r="B185" s="171" t="s">
        <v>3620</v>
      </c>
      <c r="C185" s="172">
        <v>46232</v>
      </c>
      <c r="D185" s="173" t="s">
        <v>3621</v>
      </c>
      <c r="E185" s="172">
        <v>46232</v>
      </c>
      <c r="F185" s="173" t="s">
        <v>3622</v>
      </c>
      <c r="G185" s="174" t="s">
        <v>90</v>
      </c>
      <c r="H185" s="175">
        <v>13720</v>
      </c>
      <c r="I185" s="175">
        <v>33720</v>
      </c>
      <c r="J185" s="175">
        <v>20000</v>
      </c>
    </row>
    <row r="186" spans="1:10" x14ac:dyDescent="0.3">
      <c r="A186" s="171">
        <v>182</v>
      </c>
      <c r="B186" s="171" t="s">
        <v>3623</v>
      </c>
      <c r="C186" s="172">
        <v>46232</v>
      </c>
      <c r="D186" s="173" t="s">
        <v>3624</v>
      </c>
      <c r="E186" s="172">
        <v>46232</v>
      </c>
      <c r="F186" s="173" t="s">
        <v>3625</v>
      </c>
      <c r="G186" s="174" t="s">
        <v>336</v>
      </c>
      <c r="H186" s="175">
        <v>13800</v>
      </c>
      <c r="I186" s="175">
        <v>34010</v>
      </c>
      <c r="J186" s="175">
        <v>20210</v>
      </c>
    </row>
    <row r="187" spans="1:10" x14ac:dyDescent="0.3">
      <c r="A187" s="171">
        <v>183</v>
      </c>
      <c r="B187" s="171" t="s">
        <v>3626</v>
      </c>
      <c r="C187" s="172">
        <v>46232</v>
      </c>
      <c r="D187" s="173" t="s">
        <v>3627</v>
      </c>
      <c r="E187" s="172">
        <v>46232</v>
      </c>
      <c r="F187" s="173" t="s">
        <v>3628</v>
      </c>
      <c r="G187" s="174" t="s">
        <v>55</v>
      </c>
      <c r="H187" s="175">
        <v>14010</v>
      </c>
      <c r="I187" s="175">
        <v>33860</v>
      </c>
      <c r="J187" s="175">
        <v>19850</v>
      </c>
    </row>
    <row r="188" spans="1:10" x14ac:dyDescent="0.3">
      <c r="A188" s="171">
        <v>184</v>
      </c>
      <c r="B188" s="171" t="s">
        <v>3629</v>
      </c>
      <c r="C188" s="172">
        <v>46232</v>
      </c>
      <c r="D188" s="173" t="s">
        <v>3630</v>
      </c>
      <c r="E188" s="172">
        <v>46232</v>
      </c>
      <c r="F188" s="173" t="s">
        <v>3631</v>
      </c>
      <c r="G188" s="174" t="s">
        <v>839</v>
      </c>
      <c r="H188" s="175">
        <v>13920</v>
      </c>
      <c r="I188" s="175">
        <v>34070</v>
      </c>
      <c r="J188" s="175">
        <v>20150</v>
      </c>
    </row>
    <row r="189" spans="1:10" x14ac:dyDescent="0.3">
      <c r="A189" s="171">
        <v>185</v>
      </c>
      <c r="B189" s="171" t="s">
        <v>3632</v>
      </c>
      <c r="C189" s="172">
        <v>46232</v>
      </c>
      <c r="D189" s="173" t="s">
        <v>3633</v>
      </c>
      <c r="E189" s="172">
        <v>46232</v>
      </c>
      <c r="F189" s="173" t="s">
        <v>3634</v>
      </c>
      <c r="G189" s="174" t="s">
        <v>143</v>
      </c>
      <c r="H189" s="175">
        <v>14070</v>
      </c>
      <c r="I189" s="175">
        <v>35150</v>
      </c>
      <c r="J189" s="175">
        <v>21080</v>
      </c>
    </row>
    <row r="190" spans="1:10" x14ac:dyDescent="0.3">
      <c r="A190" s="171">
        <v>186</v>
      </c>
      <c r="B190" s="171" t="s">
        <v>3635</v>
      </c>
      <c r="C190" s="172">
        <v>46233</v>
      </c>
      <c r="D190" s="173" t="s">
        <v>3636</v>
      </c>
      <c r="E190" s="172">
        <v>46233</v>
      </c>
      <c r="F190" s="173" t="s">
        <v>3637</v>
      </c>
      <c r="G190" s="174" t="s">
        <v>842</v>
      </c>
      <c r="H190" s="175">
        <v>14140</v>
      </c>
      <c r="I190" s="175">
        <v>33070</v>
      </c>
      <c r="J190" s="175">
        <v>18930</v>
      </c>
    </row>
    <row r="191" spans="1:10" x14ac:dyDescent="0.3">
      <c r="A191" s="171">
        <v>187</v>
      </c>
      <c r="B191" s="171" t="s">
        <v>3638</v>
      </c>
      <c r="C191" s="172">
        <v>46233</v>
      </c>
      <c r="D191" s="173" t="s">
        <v>3639</v>
      </c>
      <c r="E191" s="172">
        <v>46233</v>
      </c>
      <c r="F191" s="173" t="s">
        <v>3640</v>
      </c>
      <c r="G191" s="174" t="s">
        <v>537</v>
      </c>
      <c r="H191" s="175">
        <v>13860</v>
      </c>
      <c r="I191" s="175">
        <v>34080</v>
      </c>
      <c r="J191" s="175">
        <v>20220</v>
      </c>
    </row>
    <row r="192" spans="1:10" x14ac:dyDescent="0.3">
      <c r="A192" s="171">
        <v>188</v>
      </c>
      <c r="B192" s="171" t="s">
        <v>3641</v>
      </c>
      <c r="C192" s="172">
        <v>46233</v>
      </c>
      <c r="D192" s="173" t="s">
        <v>3642</v>
      </c>
      <c r="E192" s="172">
        <v>46233</v>
      </c>
      <c r="F192" s="173" t="s">
        <v>3643</v>
      </c>
      <c r="G192" s="174" t="s">
        <v>64</v>
      </c>
      <c r="H192" s="175">
        <v>13970</v>
      </c>
      <c r="I192" s="175">
        <v>34220</v>
      </c>
      <c r="J192" s="175">
        <v>20250</v>
      </c>
    </row>
    <row r="193" spans="1:10" x14ac:dyDescent="0.3">
      <c r="A193" s="171">
        <v>189</v>
      </c>
      <c r="B193" s="171" t="s">
        <v>3644</v>
      </c>
      <c r="C193" s="172">
        <v>46233</v>
      </c>
      <c r="D193" s="173" t="s">
        <v>3645</v>
      </c>
      <c r="E193" s="172">
        <v>46233</v>
      </c>
      <c r="F193" s="173" t="s">
        <v>3646</v>
      </c>
      <c r="G193" s="174" t="s">
        <v>839</v>
      </c>
      <c r="H193" s="175">
        <v>13870</v>
      </c>
      <c r="I193" s="175">
        <v>34920</v>
      </c>
      <c r="J193" s="175">
        <v>21050</v>
      </c>
    </row>
    <row r="194" spans="1:10" x14ac:dyDescent="0.3">
      <c r="A194" s="171">
        <v>190</v>
      </c>
      <c r="B194" s="171" t="s">
        <v>3647</v>
      </c>
      <c r="C194" s="172">
        <v>46233</v>
      </c>
      <c r="D194" s="173" t="s">
        <v>3648</v>
      </c>
      <c r="E194" s="172">
        <v>46233</v>
      </c>
      <c r="F194" s="173" t="s">
        <v>3649</v>
      </c>
      <c r="G194" s="174" t="s">
        <v>143</v>
      </c>
      <c r="H194" s="175">
        <v>13970</v>
      </c>
      <c r="I194" s="175">
        <v>33690</v>
      </c>
      <c r="J194" s="175">
        <v>19720</v>
      </c>
    </row>
    <row r="195" spans="1:10" x14ac:dyDescent="0.3">
      <c r="A195" s="171">
        <v>191</v>
      </c>
      <c r="B195" s="171" t="s">
        <v>3650</v>
      </c>
      <c r="C195" s="172">
        <v>46233</v>
      </c>
      <c r="D195" s="173" t="s">
        <v>3099</v>
      </c>
      <c r="E195" s="172">
        <v>46233</v>
      </c>
      <c r="F195" s="173" t="s">
        <v>3651</v>
      </c>
      <c r="G195" s="174" t="s">
        <v>76</v>
      </c>
      <c r="H195" s="175">
        <v>13930</v>
      </c>
      <c r="I195" s="175">
        <v>32650</v>
      </c>
      <c r="J195" s="175">
        <v>18720</v>
      </c>
    </row>
    <row r="196" spans="1:10" x14ac:dyDescent="0.3">
      <c r="A196" s="171">
        <v>192</v>
      </c>
      <c r="B196" s="171" t="s">
        <v>3652</v>
      </c>
      <c r="C196" s="172">
        <v>46233</v>
      </c>
      <c r="D196" s="173" t="s">
        <v>3653</v>
      </c>
      <c r="E196" s="172">
        <v>46233</v>
      </c>
      <c r="F196" s="173" t="s">
        <v>3654</v>
      </c>
      <c r="G196" s="174" t="s">
        <v>90</v>
      </c>
      <c r="H196" s="175">
        <v>13710</v>
      </c>
      <c r="I196" s="175">
        <v>32790</v>
      </c>
      <c r="J196" s="175">
        <v>19080</v>
      </c>
    </row>
    <row r="197" spans="1:10" x14ac:dyDescent="0.3">
      <c r="A197" s="171">
        <v>193</v>
      </c>
      <c r="B197" s="171" t="s">
        <v>3655</v>
      </c>
      <c r="C197" s="172">
        <v>46233</v>
      </c>
      <c r="D197" s="173" t="s">
        <v>3656</v>
      </c>
      <c r="E197" s="172">
        <v>46233</v>
      </c>
      <c r="F197" s="173" t="s">
        <v>3657</v>
      </c>
      <c r="G197" s="174" t="s">
        <v>55</v>
      </c>
      <c r="H197" s="175">
        <v>13980</v>
      </c>
      <c r="I197" s="175">
        <v>33640</v>
      </c>
      <c r="J197" s="175">
        <v>19660</v>
      </c>
    </row>
    <row r="198" spans="1:10" x14ac:dyDescent="0.3">
      <c r="A198" s="171">
        <v>194</v>
      </c>
      <c r="B198" s="171" t="s">
        <v>3658</v>
      </c>
      <c r="C198" s="172">
        <v>46233</v>
      </c>
      <c r="D198" s="173" t="s">
        <v>3659</v>
      </c>
      <c r="E198" s="172">
        <v>46233</v>
      </c>
      <c r="F198" s="173" t="s">
        <v>3660</v>
      </c>
      <c r="G198" s="174" t="s">
        <v>43</v>
      </c>
      <c r="H198" s="175">
        <v>14030</v>
      </c>
      <c r="I198" s="175">
        <v>32780</v>
      </c>
      <c r="J198" s="175">
        <v>18750</v>
      </c>
    </row>
    <row r="199" spans="1:10" x14ac:dyDescent="0.3">
      <c r="A199" s="171">
        <v>195</v>
      </c>
      <c r="B199" s="171" t="s">
        <v>3661</v>
      </c>
      <c r="C199" s="172">
        <v>46233</v>
      </c>
      <c r="D199" s="173" t="s">
        <v>3662</v>
      </c>
      <c r="E199" s="172">
        <v>46233</v>
      </c>
      <c r="F199" s="173" t="s">
        <v>3663</v>
      </c>
      <c r="G199" s="174" t="s">
        <v>841</v>
      </c>
      <c r="H199" s="175">
        <v>13990</v>
      </c>
      <c r="I199" s="175">
        <v>33190</v>
      </c>
      <c r="J199" s="175">
        <v>19200</v>
      </c>
    </row>
    <row r="200" spans="1:10" x14ac:dyDescent="0.3">
      <c r="A200" s="171">
        <v>196</v>
      </c>
      <c r="B200" s="171" t="s">
        <v>3664</v>
      </c>
      <c r="C200" s="172">
        <v>46233</v>
      </c>
      <c r="D200" s="173" t="s">
        <v>3665</v>
      </c>
      <c r="E200" s="172">
        <v>46233</v>
      </c>
      <c r="F200" s="173" t="s">
        <v>3666</v>
      </c>
      <c r="G200" s="174" t="s">
        <v>336</v>
      </c>
      <c r="H200" s="175">
        <v>13780</v>
      </c>
      <c r="I200" s="175">
        <v>32880</v>
      </c>
      <c r="J200" s="175">
        <v>19100</v>
      </c>
    </row>
    <row r="201" spans="1:10" x14ac:dyDescent="0.3">
      <c r="A201" s="171">
        <v>197</v>
      </c>
      <c r="B201" s="171" t="s">
        <v>3667</v>
      </c>
      <c r="C201" s="172">
        <v>46233</v>
      </c>
      <c r="D201" s="173" t="s">
        <v>3668</v>
      </c>
      <c r="E201" s="172">
        <v>46233</v>
      </c>
      <c r="F201" s="173" t="s">
        <v>3669</v>
      </c>
      <c r="G201" s="174" t="s">
        <v>80</v>
      </c>
      <c r="H201" s="175">
        <v>14050</v>
      </c>
      <c r="I201" s="175">
        <v>34070</v>
      </c>
      <c r="J201" s="175">
        <v>20020</v>
      </c>
    </row>
    <row r="202" spans="1:10" x14ac:dyDescent="0.3">
      <c r="A202" s="171">
        <v>198</v>
      </c>
      <c r="B202" s="171" t="s">
        <v>3670</v>
      </c>
      <c r="C202" s="172">
        <v>46233</v>
      </c>
      <c r="D202" s="173" t="s">
        <v>3671</v>
      </c>
      <c r="E202" s="172">
        <v>46233</v>
      </c>
      <c r="F202" s="173" t="s">
        <v>3672</v>
      </c>
      <c r="G202" s="174" t="s">
        <v>71</v>
      </c>
      <c r="H202" s="175">
        <v>13800</v>
      </c>
      <c r="I202" s="175">
        <v>32370</v>
      </c>
      <c r="J202" s="175">
        <v>18570</v>
      </c>
    </row>
    <row r="203" spans="1:10" x14ac:dyDescent="0.3">
      <c r="A203" s="171">
        <v>199</v>
      </c>
      <c r="B203" s="171" t="s">
        <v>3673</v>
      </c>
      <c r="C203" s="172">
        <v>46233</v>
      </c>
      <c r="D203" s="173" t="s">
        <v>3674</v>
      </c>
      <c r="E203" s="172">
        <v>46233</v>
      </c>
      <c r="F203" s="173" t="s">
        <v>3675</v>
      </c>
      <c r="G203" s="174" t="s">
        <v>842</v>
      </c>
      <c r="H203" s="175">
        <v>14090</v>
      </c>
      <c r="I203" s="175">
        <v>33100</v>
      </c>
      <c r="J203" s="175">
        <v>19010</v>
      </c>
    </row>
    <row r="204" spans="1:10" x14ac:dyDescent="0.3">
      <c r="A204" s="171">
        <v>200</v>
      </c>
      <c r="B204" s="171" t="s">
        <v>3676</v>
      </c>
      <c r="C204" s="172">
        <v>46233</v>
      </c>
      <c r="D204" s="173" t="s">
        <v>3677</v>
      </c>
      <c r="E204" s="172">
        <v>46233</v>
      </c>
      <c r="F204" s="173" t="s">
        <v>3678</v>
      </c>
      <c r="G204" s="174" t="s">
        <v>537</v>
      </c>
      <c r="H204" s="175">
        <v>13820</v>
      </c>
      <c r="I204" s="175">
        <v>33600</v>
      </c>
      <c r="J204" s="175">
        <v>19780</v>
      </c>
    </row>
    <row r="205" spans="1:10" x14ac:dyDescent="0.3">
      <c r="A205" s="171">
        <v>201</v>
      </c>
      <c r="B205" s="171" t="s">
        <v>3679</v>
      </c>
      <c r="C205" s="172">
        <v>46233</v>
      </c>
      <c r="D205" s="173" t="s">
        <v>3680</v>
      </c>
      <c r="E205" s="172">
        <v>46233</v>
      </c>
      <c r="F205" s="173" t="s">
        <v>3681</v>
      </c>
      <c r="G205" s="174" t="s">
        <v>90</v>
      </c>
      <c r="H205" s="175">
        <v>13660</v>
      </c>
      <c r="I205" s="175">
        <v>31600</v>
      </c>
      <c r="J205" s="175">
        <v>17940</v>
      </c>
    </row>
    <row r="206" spans="1:10" x14ac:dyDescent="0.3">
      <c r="A206" s="171">
        <v>202</v>
      </c>
      <c r="B206" s="171" t="s">
        <v>3682</v>
      </c>
      <c r="C206" s="172">
        <v>46233</v>
      </c>
      <c r="D206" s="173" t="s">
        <v>3683</v>
      </c>
      <c r="E206" s="172">
        <v>46233</v>
      </c>
      <c r="F206" s="173" t="s">
        <v>3684</v>
      </c>
      <c r="G206" s="174" t="s">
        <v>64</v>
      </c>
      <c r="H206" s="175">
        <v>13970</v>
      </c>
      <c r="I206" s="175">
        <v>33520</v>
      </c>
      <c r="J206" s="175">
        <v>19550</v>
      </c>
    </row>
    <row r="207" spans="1:10" x14ac:dyDescent="0.3">
      <c r="A207" s="171">
        <v>203</v>
      </c>
      <c r="B207" s="171" t="s">
        <v>3685</v>
      </c>
      <c r="C207" s="172">
        <v>46233</v>
      </c>
      <c r="D207" s="173" t="s">
        <v>3686</v>
      </c>
      <c r="E207" s="172">
        <v>46233</v>
      </c>
      <c r="F207" s="173" t="s">
        <v>3687</v>
      </c>
      <c r="G207" s="174" t="s">
        <v>43</v>
      </c>
      <c r="H207" s="175">
        <v>14050</v>
      </c>
      <c r="I207" s="175">
        <v>33110</v>
      </c>
      <c r="J207" s="175">
        <v>19060</v>
      </c>
    </row>
    <row r="208" spans="1:10" x14ac:dyDescent="0.3">
      <c r="A208" s="171">
        <v>204</v>
      </c>
      <c r="B208" s="171" t="s">
        <v>3688</v>
      </c>
      <c r="C208" s="172">
        <v>46233</v>
      </c>
      <c r="D208" s="173" t="s">
        <v>3689</v>
      </c>
      <c r="E208" s="172">
        <v>46233</v>
      </c>
      <c r="F208" s="173" t="s">
        <v>3690</v>
      </c>
      <c r="G208" s="174" t="s">
        <v>76</v>
      </c>
      <c r="H208" s="175">
        <v>13890</v>
      </c>
      <c r="I208" s="175">
        <v>32710</v>
      </c>
      <c r="J208" s="175">
        <v>18820</v>
      </c>
    </row>
    <row r="209" spans="1:10" x14ac:dyDescent="0.3">
      <c r="A209" s="171">
        <v>205</v>
      </c>
      <c r="B209" s="171" t="s">
        <v>3691</v>
      </c>
      <c r="C209" s="172">
        <v>46233</v>
      </c>
      <c r="D209" s="173" t="s">
        <v>3692</v>
      </c>
      <c r="E209" s="172">
        <v>46233</v>
      </c>
      <c r="F209" s="173" t="s">
        <v>3693</v>
      </c>
      <c r="G209" s="174" t="s">
        <v>839</v>
      </c>
      <c r="H209" s="175">
        <v>13810</v>
      </c>
      <c r="I209" s="175">
        <v>33690</v>
      </c>
      <c r="J209" s="175">
        <v>19880</v>
      </c>
    </row>
    <row r="210" spans="1:10" x14ac:dyDescent="0.3">
      <c r="A210" s="171">
        <v>206</v>
      </c>
      <c r="B210" s="171" t="s">
        <v>3694</v>
      </c>
      <c r="C210" s="172">
        <v>46233</v>
      </c>
      <c r="D210" s="173" t="s">
        <v>3695</v>
      </c>
      <c r="E210" s="172">
        <v>46233</v>
      </c>
      <c r="F210" s="173" t="s">
        <v>3696</v>
      </c>
      <c r="G210" s="174" t="s">
        <v>143</v>
      </c>
      <c r="H210" s="175">
        <v>13930</v>
      </c>
      <c r="I210" s="175">
        <v>33640</v>
      </c>
      <c r="J210" s="175">
        <v>19710</v>
      </c>
    </row>
    <row r="211" spans="1:10" x14ac:dyDescent="0.3">
      <c r="A211" s="171">
        <v>207</v>
      </c>
      <c r="B211" s="171" t="s">
        <v>3697</v>
      </c>
      <c r="C211" s="172">
        <v>46233</v>
      </c>
      <c r="D211" s="173" t="s">
        <v>3698</v>
      </c>
      <c r="E211" s="172">
        <v>46233</v>
      </c>
      <c r="F211" s="173" t="s">
        <v>3699</v>
      </c>
      <c r="G211" s="174" t="s">
        <v>55</v>
      </c>
      <c r="H211" s="175">
        <v>13910</v>
      </c>
      <c r="I211" s="175">
        <v>33230</v>
      </c>
      <c r="J211" s="175">
        <v>19320</v>
      </c>
    </row>
    <row r="212" spans="1:10" x14ac:dyDescent="0.3">
      <c r="A212" s="171">
        <v>208</v>
      </c>
      <c r="B212" s="171" t="s">
        <v>3700</v>
      </c>
      <c r="C212" s="172">
        <v>46233</v>
      </c>
      <c r="D212" s="173" t="s">
        <v>3701</v>
      </c>
      <c r="E212" s="172">
        <v>46233</v>
      </c>
      <c r="F212" s="173" t="s">
        <v>3702</v>
      </c>
      <c r="G212" s="174" t="s">
        <v>336</v>
      </c>
      <c r="H212" s="175">
        <v>13730</v>
      </c>
      <c r="I212" s="175">
        <v>33100</v>
      </c>
      <c r="J212" s="175">
        <v>19370</v>
      </c>
    </row>
    <row r="213" spans="1:10" x14ac:dyDescent="0.3">
      <c r="A213" s="171">
        <v>209</v>
      </c>
      <c r="B213" s="171" t="s">
        <v>3703</v>
      </c>
      <c r="C213" s="172">
        <v>46233</v>
      </c>
      <c r="D213" s="173" t="s">
        <v>3704</v>
      </c>
      <c r="E213" s="172">
        <v>46233</v>
      </c>
      <c r="F213" s="173" t="s">
        <v>3705</v>
      </c>
      <c r="G213" s="174" t="s">
        <v>841</v>
      </c>
      <c r="H213" s="175">
        <v>13950</v>
      </c>
      <c r="I213" s="175">
        <v>33400</v>
      </c>
      <c r="J213" s="175">
        <v>19450</v>
      </c>
    </row>
    <row r="214" spans="1:10" x14ac:dyDescent="0.3">
      <c r="A214" s="171">
        <v>210</v>
      </c>
      <c r="B214" s="171" t="s">
        <v>3706</v>
      </c>
      <c r="C214" s="172">
        <v>46233</v>
      </c>
      <c r="D214" s="173" t="s">
        <v>3707</v>
      </c>
      <c r="E214" s="172">
        <v>46233</v>
      </c>
      <c r="F214" s="173" t="s">
        <v>3708</v>
      </c>
      <c r="G214" s="174" t="s">
        <v>80</v>
      </c>
      <c r="H214" s="175">
        <v>14020</v>
      </c>
      <c r="I214" s="175">
        <v>32410</v>
      </c>
      <c r="J214" s="175">
        <v>18390</v>
      </c>
    </row>
    <row r="215" spans="1:10" x14ac:dyDescent="0.3">
      <c r="A215" s="171">
        <v>211</v>
      </c>
      <c r="B215" s="171" t="s">
        <v>3709</v>
      </c>
      <c r="C215" s="172">
        <v>46233</v>
      </c>
      <c r="D215" s="173" t="s">
        <v>3710</v>
      </c>
      <c r="E215" s="172">
        <v>46233</v>
      </c>
      <c r="F215" s="173" t="s">
        <v>3711</v>
      </c>
      <c r="G215" s="174" t="s">
        <v>71</v>
      </c>
      <c r="H215" s="175">
        <v>13760</v>
      </c>
      <c r="I215" s="175">
        <v>33120</v>
      </c>
      <c r="J215" s="175">
        <v>19360</v>
      </c>
    </row>
    <row r="216" spans="1:10" x14ac:dyDescent="0.3">
      <c r="A216" s="171">
        <v>212</v>
      </c>
      <c r="B216" s="171" t="s">
        <v>3712</v>
      </c>
      <c r="C216" s="172">
        <v>46233</v>
      </c>
      <c r="D216" s="173" t="s">
        <v>3713</v>
      </c>
      <c r="E216" s="172">
        <v>46233</v>
      </c>
      <c r="F216" s="173" t="s">
        <v>3714</v>
      </c>
      <c r="G216" s="174" t="s">
        <v>842</v>
      </c>
      <c r="H216" s="175">
        <v>14060</v>
      </c>
      <c r="I216" s="175">
        <v>32780</v>
      </c>
      <c r="J216" s="175">
        <v>18720</v>
      </c>
    </row>
    <row r="217" spans="1:10" x14ac:dyDescent="0.3">
      <c r="A217" s="171">
        <v>213</v>
      </c>
      <c r="B217" s="171" t="s">
        <v>3715</v>
      </c>
      <c r="C217" s="172">
        <v>46233</v>
      </c>
      <c r="D217" s="173" t="s">
        <v>3716</v>
      </c>
      <c r="E217" s="172">
        <v>46233</v>
      </c>
      <c r="F217" s="173" t="s">
        <v>3717</v>
      </c>
      <c r="G217" s="174" t="s">
        <v>537</v>
      </c>
      <c r="H217" s="175">
        <v>13780</v>
      </c>
      <c r="I217" s="175">
        <v>32090</v>
      </c>
      <c r="J217" s="175">
        <v>18310</v>
      </c>
    </row>
    <row r="218" spans="1:10" x14ac:dyDescent="0.3">
      <c r="A218" s="171">
        <v>214</v>
      </c>
      <c r="B218" s="171" t="s">
        <v>3718</v>
      </c>
      <c r="C218" s="172">
        <v>46233</v>
      </c>
      <c r="D218" s="173" t="s">
        <v>3719</v>
      </c>
      <c r="E218" s="172">
        <v>46233</v>
      </c>
      <c r="F218" s="173" t="s">
        <v>3720</v>
      </c>
      <c r="G218" s="174" t="s">
        <v>90</v>
      </c>
      <c r="H218" s="175">
        <v>13620</v>
      </c>
      <c r="I218" s="175">
        <v>32520</v>
      </c>
      <c r="J218" s="175">
        <v>18900</v>
      </c>
    </row>
    <row r="219" spans="1:10" x14ac:dyDescent="0.3">
      <c r="A219" s="171">
        <v>215</v>
      </c>
      <c r="B219" s="171" t="s">
        <v>3721</v>
      </c>
      <c r="C219" s="172">
        <v>46233</v>
      </c>
      <c r="D219" s="173" t="s">
        <v>3722</v>
      </c>
      <c r="E219" s="172">
        <v>46233</v>
      </c>
      <c r="F219" s="173" t="s">
        <v>3723</v>
      </c>
      <c r="G219" s="174" t="s">
        <v>64</v>
      </c>
      <c r="H219" s="175">
        <v>13910</v>
      </c>
      <c r="I219" s="175">
        <v>32690</v>
      </c>
      <c r="J219" s="175">
        <v>18780</v>
      </c>
    </row>
    <row r="220" spans="1:10" x14ac:dyDescent="0.3">
      <c r="A220" s="171">
        <v>216</v>
      </c>
      <c r="B220" s="171" t="s">
        <v>3724</v>
      </c>
      <c r="C220" s="172">
        <v>46233</v>
      </c>
      <c r="D220" s="173" t="s">
        <v>3725</v>
      </c>
      <c r="E220" s="172">
        <v>46233</v>
      </c>
      <c r="F220" s="173" t="s">
        <v>3084</v>
      </c>
      <c r="G220" s="174" t="s">
        <v>43</v>
      </c>
      <c r="H220" s="175">
        <v>13910</v>
      </c>
      <c r="I220" s="175">
        <v>32100</v>
      </c>
      <c r="J220" s="175">
        <v>18190</v>
      </c>
    </row>
    <row r="221" spans="1:10" x14ac:dyDescent="0.3">
      <c r="A221" s="171">
        <v>217</v>
      </c>
      <c r="B221" s="171" t="s">
        <v>3726</v>
      </c>
      <c r="C221" s="172">
        <v>46233</v>
      </c>
      <c r="D221" s="173" t="s">
        <v>3727</v>
      </c>
      <c r="E221" s="172">
        <v>46233</v>
      </c>
      <c r="F221" s="173" t="s">
        <v>3728</v>
      </c>
      <c r="G221" s="174" t="s">
        <v>76</v>
      </c>
      <c r="H221" s="175">
        <v>13860</v>
      </c>
      <c r="I221" s="175">
        <v>32150</v>
      </c>
      <c r="J221" s="175">
        <v>18290</v>
      </c>
    </row>
    <row r="222" spans="1:10" x14ac:dyDescent="0.3">
      <c r="A222" s="171">
        <v>218</v>
      </c>
      <c r="B222" s="171" t="s">
        <v>3729</v>
      </c>
      <c r="C222" s="172">
        <v>46233</v>
      </c>
      <c r="D222" s="173" t="s">
        <v>3730</v>
      </c>
      <c r="E222" s="172">
        <v>46233</v>
      </c>
      <c r="F222" s="173" t="s">
        <v>3731</v>
      </c>
      <c r="G222" s="174" t="s">
        <v>839</v>
      </c>
      <c r="H222" s="175">
        <v>13720</v>
      </c>
      <c r="I222" s="175">
        <v>32920</v>
      </c>
      <c r="J222" s="175">
        <v>19200</v>
      </c>
    </row>
    <row r="223" spans="1:10" x14ac:dyDescent="0.3">
      <c r="A223" s="171">
        <v>219</v>
      </c>
      <c r="B223" s="171" t="s">
        <v>3732</v>
      </c>
      <c r="C223" s="172">
        <v>46233</v>
      </c>
      <c r="D223" s="173" t="s">
        <v>3733</v>
      </c>
      <c r="E223" s="172">
        <v>46233</v>
      </c>
      <c r="F223" s="173" t="s">
        <v>3734</v>
      </c>
      <c r="G223" s="174" t="s">
        <v>143</v>
      </c>
      <c r="H223" s="175">
        <v>13880</v>
      </c>
      <c r="I223" s="175">
        <v>32980</v>
      </c>
      <c r="J223" s="175">
        <v>19100</v>
      </c>
    </row>
    <row r="224" spans="1:10" x14ac:dyDescent="0.3">
      <c r="A224" s="171">
        <v>220</v>
      </c>
      <c r="B224" s="171" t="s">
        <v>3735</v>
      </c>
      <c r="C224" s="172">
        <v>46233</v>
      </c>
      <c r="D224" s="173" t="s">
        <v>3736</v>
      </c>
      <c r="E224" s="172">
        <v>46233</v>
      </c>
      <c r="F224" s="173" t="s">
        <v>1212</v>
      </c>
      <c r="G224" s="174" t="s">
        <v>55</v>
      </c>
      <c r="H224" s="175">
        <v>13850</v>
      </c>
      <c r="I224" s="175">
        <v>32670</v>
      </c>
      <c r="J224" s="175">
        <v>18820</v>
      </c>
    </row>
    <row r="225" spans="1:10" x14ac:dyDescent="0.3">
      <c r="A225" s="171">
        <v>221</v>
      </c>
      <c r="B225" s="171" t="s">
        <v>3737</v>
      </c>
      <c r="C225" s="172">
        <v>46233</v>
      </c>
      <c r="D225" s="173" t="s">
        <v>3738</v>
      </c>
      <c r="E225" s="172">
        <v>46233</v>
      </c>
      <c r="F225" s="173" t="s">
        <v>3739</v>
      </c>
      <c r="G225" s="174" t="s">
        <v>841</v>
      </c>
      <c r="H225" s="175">
        <v>13940</v>
      </c>
      <c r="I225" s="175">
        <v>32710</v>
      </c>
      <c r="J225" s="175">
        <v>18770</v>
      </c>
    </row>
    <row r="226" spans="1:10" x14ac:dyDescent="0.3">
      <c r="A226" s="171">
        <v>222</v>
      </c>
      <c r="B226" s="171" t="s">
        <v>3740</v>
      </c>
      <c r="C226" s="172">
        <v>46233</v>
      </c>
      <c r="D226" s="173" t="s">
        <v>3741</v>
      </c>
      <c r="E226" s="172">
        <v>46233</v>
      </c>
      <c r="F226" s="173" t="s">
        <v>3742</v>
      </c>
      <c r="G226" s="174" t="s">
        <v>336</v>
      </c>
      <c r="H226" s="175">
        <v>13700</v>
      </c>
      <c r="I226" s="175">
        <v>32770</v>
      </c>
      <c r="J226" s="175">
        <v>19070</v>
      </c>
    </row>
    <row r="227" spans="1:10" x14ac:dyDescent="0.3">
      <c r="A227" s="171">
        <v>223</v>
      </c>
      <c r="B227" s="171" t="s">
        <v>3743</v>
      </c>
      <c r="C227" s="172">
        <v>46233</v>
      </c>
      <c r="D227" s="173" t="s">
        <v>3744</v>
      </c>
      <c r="E227" s="172">
        <v>46233</v>
      </c>
      <c r="F227" s="173" t="s">
        <v>3745</v>
      </c>
      <c r="G227" s="174" t="s">
        <v>842</v>
      </c>
      <c r="H227" s="175">
        <v>14030</v>
      </c>
      <c r="I227" s="175">
        <v>32410</v>
      </c>
      <c r="J227" s="175">
        <v>18380</v>
      </c>
    </row>
    <row r="228" spans="1:10" x14ac:dyDescent="0.3">
      <c r="A228" s="171">
        <v>224</v>
      </c>
      <c r="B228" s="171" t="s">
        <v>3746</v>
      </c>
      <c r="C228" s="172">
        <v>46233</v>
      </c>
      <c r="D228" s="173" t="s">
        <v>3747</v>
      </c>
      <c r="E228" s="172">
        <v>46233</v>
      </c>
      <c r="F228" s="173" t="s">
        <v>3748</v>
      </c>
      <c r="G228" s="174" t="s">
        <v>71</v>
      </c>
      <c r="H228" s="175">
        <v>13970</v>
      </c>
      <c r="I228" s="175">
        <v>34040</v>
      </c>
      <c r="J228" s="175">
        <v>20070</v>
      </c>
    </row>
    <row r="229" spans="1:10" x14ac:dyDescent="0.3">
      <c r="A229" s="171">
        <v>225</v>
      </c>
      <c r="B229" s="171" t="s">
        <v>3749</v>
      </c>
      <c r="C229" s="172">
        <v>46233</v>
      </c>
      <c r="D229" s="173" t="s">
        <v>3750</v>
      </c>
      <c r="E229" s="172">
        <v>46233</v>
      </c>
      <c r="F229" s="173" t="s">
        <v>3751</v>
      </c>
      <c r="G229" s="174" t="s">
        <v>537</v>
      </c>
      <c r="H229" s="175">
        <v>13740</v>
      </c>
      <c r="I229" s="175">
        <v>35250</v>
      </c>
      <c r="J229" s="175">
        <v>21510</v>
      </c>
    </row>
    <row r="230" spans="1:10" x14ac:dyDescent="0.3">
      <c r="A230" s="171">
        <v>226</v>
      </c>
      <c r="B230" s="171" t="s">
        <v>3752</v>
      </c>
      <c r="C230" s="172">
        <v>46233</v>
      </c>
      <c r="D230" s="173" t="s">
        <v>3753</v>
      </c>
      <c r="E230" s="172">
        <v>46233</v>
      </c>
      <c r="F230" s="173" t="s">
        <v>3754</v>
      </c>
      <c r="G230" s="174" t="s">
        <v>90</v>
      </c>
      <c r="H230" s="175">
        <v>14050</v>
      </c>
      <c r="I230" s="175">
        <v>33440</v>
      </c>
      <c r="J230" s="175">
        <v>19390</v>
      </c>
    </row>
    <row r="231" spans="1:10" x14ac:dyDescent="0.3">
      <c r="A231" s="171">
        <v>227</v>
      </c>
      <c r="B231" s="171" t="s">
        <v>3755</v>
      </c>
      <c r="C231" s="172">
        <v>46233</v>
      </c>
      <c r="D231" s="173" t="s">
        <v>3756</v>
      </c>
      <c r="E231" s="172">
        <v>46233</v>
      </c>
      <c r="F231" s="173" t="s">
        <v>3757</v>
      </c>
      <c r="G231" s="174" t="s">
        <v>64</v>
      </c>
      <c r="H231" s="175">
        <v>13860</v>
      </c>
      <c r="I231" s="175">
        <v>33180</v>
      </c>
      <c r="J231" s="175">
        <v>19320</v>
      </c>
    </row>
    <row r="232" spans="1:10" x14ac:dyDescent="0.3">
      <c r="A232" s="171">
        <v>228</v>
      </c>
      <c r="B232" s="171" t="s">
        <v>3758</v>
      </c>
      <c r="C232" s="172">
        <v>46233</v>
      </c>
      <c r="D232" s="173" t="s">
        <v>3759</v>
      </c>
      <c r="E232" s="172">
        <v>46233</v>
      </c>
      <c r="F232" s="173" t="s">
        <v>3760</v>
      </c>
      <c r="G232" s="174" t="s">
        <v>43</v>
      </c>
      <c r="H232" s="175">
        <v>13940</v>
      </c>
      <c r="I232" s="175">
        <v>33100</v>
      </c>
      <c r="J232" s="175">
        <v>19160</v>
      </c>
    </row>
    <row r="233" spans="1:10" x14ac:dyDescent="0.3">
      <c r="A233" s="171">
        <v>229</v>
      </c>
      <c r="B233" s="171" t="s">
        <v>3761</v>
      </c>
      <c r="C233" s="172">
        <v>46233</v>
      </c>
      <c r="D233" s="173" t="s">
        <v>3762</v>
      </c>
      <c r="E233" s="172">
        <v>46233</v>
      </c>
      <c r="F233" s="173" t="s">
        <v>3763</v>
      </c>
      <c r="G233" s="174" t="s">
        <v>76</v>
      </c>
      <c r="H233" s="175">
        <v>13800</v>
      </c>
      <c r="I233" s="175">
        <v>32030</v>
      </c>
      <c r="J233" s="175">
        <v>18230</v>
      </c>
    </row>
    <row r="234" spans="1:10" x14ac:dyDescent="0.3">
      <c r="A234" s="171">
        <v>230</v>
      </c>
      <c r="B234" s="171" t="s">
        <v>3764</v>
      </c>
      <c r="C234" s="172">
        <v>46233</v>
      </c>
      <c r="D234" s="173" t="s">
        <v>3765</v>
      </c>
      <c r="E234" s="172">
        <v>46233</v>
      </c>
      <c r="F234" s="173" t="s">
        <v>3766</v>
      </c>
      <c r="G234" s="174" t="s">
        <v>143</v>
      </c>
      <c r="H234" s="175">
        <v>13830</v>
      </c>
      <c r="I234" s="175">
        <v>32620</v>
      </c>
      <c r="J234" s="175">
        <v>18790</v>
      </c>
    </row>
    <row r="235" spans="1:10" x14ac:dyDescent="0.3">
      <c r="A235" s="171">
        <v>231</v>
      </c>
      <c r="B235" s="171" t="s">
        <v>3767</v>
      </c>
      <c r="C235" s="172">
        <v>46233</v>
      </c>
      <c r="D235" s="173" t="s">
        <v>3768</v>
      </c>
      <c r="E235" s="172">
        <v>46233</v>
      </c>
      <c r="F235" s="173" t="s">
        <v>3769</v>
      </c>
      <c r="G235" s="174" t="s">
        <v>80</v>
      </c>
      <c r="H235" s="175">
        <v>13990</v>
      </c>
      <c r="I235" s="175">
        <v>35090</v>
      </c>
      <c r="J235" s="175">
        <v>21100</v>
      </c>
    </row>
    <row r="236" spans="1:10" x14ac:dyDescent="0.3">
      <c r="A236" s="171">
        <v>232</v>
      </c>
      <c r="B236" s="171" t="s">
        <v>3770</v>
      </c>
      <c r="C236" s="172">
        <v>46233</v>
      </c>
      <c r="D236" s="173" t="s">
        <v>3771</v>
      </c>
      <c r="E236" s="172">
        <v>46233</v>
      </c>
      <c r="F236" s="173" t="s">
        <v>3772</v>
      </c>
      <c r="G236" s="174" t="s">
        <v>841</v>
      </c>
      <c r="H236" s="175">
        <v>13880</v>
      </c>
      <c r="I236" s="175">
        <v>32190</v>
      </c>
      <c r="J236" s="175">
        <v>18310</v>
      </c>
    </row>
    <row r="237" spans="1:10" x14ac:dyDescent="0.3">
      <c r="A237" s="171">
        <v>233</v>
      </c>
      <c r="B237" s="171" t="s">
        <v>3773</v>
      </c>
      <c r="C237" s="172">
        <v>46233</v>
      </c>
      <c r="D237" s="173" t="s">
        <v>3774</v>
      </c>
      <c r="E237" s="172">
        <v>46233</v>
      </c>
      <c r="F237" s="173" t="s">
        <v>3775</v>
      </c>
      <c r="G237" s="174" t="s">
        <v>336</v>
      </c>
      <c r="H237" s="175">
        <v>13640</v>
      </c>
      <c r="I237" s="175">
        <v>31860</v>
      </c>
      <c r="J237" s="175">
        <v>18220</v>
      </c>
    </row>
    <row r="238" spans="1:10" x14ac:dyDescent="0.3">
      <c r="A238" s="171">
        <v>234</v>
      </c>
      <c r="B238" s="171" t="s">
        <v>3776</v>
      </c>
      <c r="C238" s="172">
        <v>46233</v>
      </c>
      <c r="D238" s="173" t="s">
        <v>3777</v>
      </c>
      <c r="E238" s="172">
        <v>46233</v>
      </c>
      <c r="F238" s="173" t="s">
        <v>3778</v>
      </c>
      <c r="G238" s="174" t="s">
        <v>71</v>
      </c>
      <c r="H238" s="175">
        <v>13860</v>
      </c>
      <c r="I238" s="175">
        <v>32750</v>
      </c>
      <c r="J238" s="175">
        <v>18890</v>
      </c>
    </row>
    <row r="239" spans="1:10" x14ac:dyDescent="0.3">
      <c r="A239" s="171">
        <v>235</v>
      </c>
      <c r="B239" s="171" t="s">
        <v>3779</v>
      </c>
      <c r="C239" s="172">
        <v>46233</v>
      </c>
      <c r="D239" s="173" t="s">
        <v>3780</v>
      </c>
      <c r="E239" s="172">
        <v>46233</v>
      </c>
      <c r="F239" s="173" t="s">
        <v>3781</v>
      </c>
      <c r="G239" s="174" t="s">
        <v>537</v>
      </c>
      <c r="H239" s="175">
        <v>13780</v>
      </c>
      <c r="I239" s="175">
        <v>33540</v>
      </c>
      <c r="J239" s="175">
        <v>19760</v>
      </c>
    </row>
    <row r="240" spans="1:10" x14ac:dyDescent="0.3">
      <c r="A240" s="171">
        <v>236</v>
      </c>
      <c r="B240" s="171" t="s">
        <v>3782</v>
      </c>
      <c r="C240" s="172">
        <v>46233</v>
      </c>
      <c r="D240" s="173" t="s">
        <v>3783</v>
      </c>
      <c r="E240" s="172">
        <v>46233</v>
      </c>
      <c r="F240" s="173" t="s">
        <v>3784</v>
      </c>
      <c r="G240" s="174" t="s">
        <v>842</v>
      </c>
      <c r="H240" s="175">
        <v>14040</v>
      </c>
      <c r="I240" s="175">
        <v>32300</v>
      </c>
      <c r="J240" s="175">
        <v>18260</v>
      </c>
    </row>
    <row r="241" spans="1:10" x14ac:dyDescent="0.3">
      <c r="A241" s="171">
        <v>237</v>
      </c>
      <c r="B241" s="171" t="s">
        <v>3785</v>
      </c>
      <c r="C241" s="172">
        <v>46233</v>
      </c>
      <c r="D241" s="173" t="s">
        <v>3786</v>
      </c>
      <c r="E241" s="172">
        <v>46233</v>
      </c>
      <c r="F241" s="173" t="s">
        <v>3787</v>
      </c>
      <c r="G241" s="174" t="s">
        <v>90</v>
      </c>
      <c r="H241" s="175">
        <v>13930</v>
      </c>
      <c r="I241" s="175">
        <v>32310</v>
      </c>
      <c r="J241" s="175">
        <v>18380</v>
      </c>
    </row>
    <row r="242" spans="1:10" x14ac:dyDescent="0.3">
      <c r="A242" s="171">
        <v>238</v>
      </c>
      <c r="B242" s="171" t="s">
        <v>3788</v>
      </c>
      <c r="C242" s="172">
        <v>46233</v>
      </c>
      <c r="D242" s="173" t="s">
        <v>3789</v>
      </c>
      <c r="E242" s="172">
        <v>46233</v>
      </c>
      <c r="F242" s="173" t="s">
        <v>3790</v>
      </c>
      <c r="G242" s="174" t="s">
        <v>64</v>
      </c>
      <c r="H242" s="175">
        <v>13840</v>
      </c>
      <c r="I242" s="175">
        <v>33190</v>
      </c>
      <c r="J242" s="175">
        <v>19350</v>
      </c>
    </row>
    <row r="243" spans="1:10" x14ac:dyDescent="0.3">
      <c r="A243" s="171">
        <v>239</v>
      </c>
      <c r="B243" s="171" t="s">
        <v>3791</v>
      </c>
      <c r="C243" s="172">
        <v>46233</v>
      </c>
      <c r="D243" s="173" t="s">
        <v>3792</v>
      </c>
      <c r="E243" s="172">
        <v>46233</v>
      </c>
      <c r="F243" s="173" t="s">
        <v>3793</v>
      </c>
      <c r="G243" s="174" t="s">
        <v>43</v>
      </c>
      <c r="H243" s="175">
        <v>13840</v>
      </c>
      <c r="I243" s="175">
        <v>32740</v>
      </c>
      <c r="J243" s="175">
        <v>18900</v>
      </c>
    </row>
    <row r="244" spans="1:10" x14ac:dyDescent="0.3">
      <c r="A244" s="171">
        <v>240</v>
      </c>
      <c r="B244" s="171" t="s">
        <v>3794</v>
      </c>
      <c r="C244" s="172">
        <v>46233</v>
      </c>
      <c r="D244" s="173" t="s">
        <v>3795</v>
      </c>
      <c r="E244" s="172">
        <v>46233</v>
      </c>
      <c r="F244" s="173" t="s">
        <v>3796</v>
      </c>
      <c r="G244" s="174" t="s">
        <v>143</v>
      </c>
      <c r="H244" s="175">
        <v>13820</v>
      </c>
      <c r="I244" s="175">
        <v>31910</v>
      </c>
      <c r="J244" s="175">
        <v>18090</v>
      </c>
    </row>
    <row r="245" spans="1:10" x14ac:dyDescent="0.3">
      <c r="A245" s="171">
        <v>241</v>
      </c>
      <c r="B245" s="171" t="s">
        <v>3797</v>
      </c>
      <c r="C245" s="172">
        <v>46233</v>
      </c>
      <c r="D245" s="173" t="s">
        <v>3798</v>
      </c>
      <c r="E245" s="172">
        <v>46233</v>
      </c>
      <c r="F245" s="173" t="s">
        <v>3799</v>
      </c>
      <c r="G245" s="174" t="s">
        <v>76</v>
      </c>
      <c r="H245" s="175">
        <v>13810</v>
      </c>
      <c r="I245" s="175">
        <v>32560</v>
      </c>
      <c r="J245" s="175">
        <v>18750</v>
      </c>
    </row>
    <row r="246" spans="1:10" x14ac:dyDescent="0.3">
      <c r="A246" s="171">
        <v>242</v>
      </c>
      <c r="B246" s="171" t="s">
        <v>3800</v>
      </c>
      <c r="C246" s="172">
        <v>46233</v>
      </c>
      <c r="D246" s="173" t="s">
        <v>3801</v>
      </c>
      <c r="E246" s="172">
        <v>46233</v>
      </c>
      <c r="F246" s="173" t="s">
        <v>3802</v>
      </c>
      <c r="G246" s="174" t="s">
        <v>80</v>
      </c>
      <c r="H246" s="175">
        <v>13950</v>
      </c>
      <c r="I246" s="175">
        <v>35070</v>
      </c>
      <c r="J246" s="175">
        <v>21120</v>
      </c>
    </row>
    <row r="247" spans="1:10" x14ac:dyDescent="0.3">
      <c r="A247" s="171">
        <v>243</v>
      </c>
      <c r="B247" s="171" t="s">
        <v>3803</v>
      </c>
      <c r="C247" s="172">
        <v>46233</v>
      </c>
      <c r="D247" s="173" t="s">
        <v>3804</v>
      </c>
      <c r="E247" s="172">
        <v>46233</v>
      </c>
      <c r="F247" s="173" t="s">
        <v>3805</v>
      </c>
      <c r="G247" s="174" t="s">
        <v>55</v>
      </c>
      <c r="H247" s="175">
        <v>13800</v>
      </c>
      <c r="I247" s="175">
        <v>34610</v>
      </c>
      <c r="J247" s="175">
        <v>20810</v>
      </c>
    </row>
    <row r="248" spans="1:10" x14ac:dyDescent="0.3">
      <c r="A248" s="171">
        <v>244</v>
      </c>
      <c r="B248" s="171" t="s">
        <v>3806</v>
      </c>
      <c r="C248" s="172">
        <v>46233</v>
      </c>
      <c r="D248" s="173" t="s">
        <v>3807</v>
      </c>
      <c r="E248" s="172">
        <v>46233</v>
      </c>
      <c r="F248" s="173" t="s">
        <v>3808</v>
      </c>
      <c r="G248" s="174" t="s">
        <v>841</v>
      </c>
      <c r="H248" s="175">
        <v>13820</v>
      </c>
      <c r="I248" s="175">
        <v>33520</v>
      </c>
      <c r="J248" s="175">
        <v>19700</v>
      </c>
    </row>
    <row r="249" spans="1:10" x14ac:dyDescent="0.3">
      <c r="A249" s="171">
        <v>245</v>
      </c>
      <c r="B249" s="171" t="s">
        <v>3809</v>
      </c>
      <c r="C249" s="172">
        <v>46233</v>
      </c>
      <c r="D249" s="173" t="s">
        <v>3810</v>
      </c>
      <c r="E249" s="172">
        <v>46233</v>
      </c>
      <c r="F249" s="173" t="s">
        <v>3811</v>
      </c>
      <c r="G249" s="174" t="s">
        <v>71</v>
      </c>
      <c r="H249" s="175">
        <v>13910</v>
      </c>
      <c r="I249" s="175">
        <v>33590</v>
      </c>
      <c r="J249" s="175">
        <v>19680</v>
      </c>
    </row>
    <row r="250" spans="1:10" x14ac:dyDescent="0.3">
      <c r="A250" s="171">
        <v>246</v>
      </c>
      <c r="B250" s="171" t="s">
        <v>3812</v>
      </c>
      <c r="C250" s="172">
        <v>46233</v>
      </c>
      <c r="D250" s="173" t="s">
        <v>3813</v>
      </c>
      <c r="E250" s="172">
        <v>46233</v>
      </c>
      <c r="F250" s="173" t="s">
        <v>3814</v>
      </c>
      <c r="G250" s="174" t="s">
        <v>90</v>
      </c>
      <c r="H250" s="175">
        <v>13900</v>
      </c>
      <c r="I250" s="175">
        <v>33360</v>
      </c>
      <c r="J250" s="175">
        <v>19460</v>
      </c>
    </row>
    <row r="251" spans="1:10" x14ac:dyDescent="0.3">
      <c r="A251" s="171">
        <v>247</v>
      </c>
      <c r="B251" s="171" t="s">
        <v>3815</v>
      </c>
      <c r="C251" s="172">
        <v>46233</v>
      </c>
      <c r="D251" s="173" t="s">
        <v>3816</v>
      </c>
      <c r="E251" s="172">
        <v>46233</v>
      </c>
      <c r="F251" s="173" t="s">
        <v>3817</v>
      </c>
      <c r="G251" s="174" t="s">
        <v>336</v>
      </c>
      <c r="H251" s="175">
        <v>13960</v>
      </c>
      <c r="I251" s="175">
        <v>33190</v>
      </c>
      <c r="J251" s="175">
        <v>19230</v>
      </c>
    </row>
    <row r="252" spans="1:10" x14ac:dyDescent="0.3">
      <c r="A252" s="171">
        <v>248</v>
      </c>
      <c r="B252" s="171" t="s">
        <v>3818</v>
      </c>
      <c r="C252" s="172">
        <v>46233</v>
      </c>
      <c r="D252" s="173" t="s">
        <v>3819</v>
      </c>
      <c r="E252" s="172">
        <v>46233</v>
      </c>
      <c r="F252" s="173" t="s">
        <v>3820</v>
      </c>
      <c r="G252" s="174" t="s">
        <v>842</v>
      </c>
      <c r="H252" s="175">
        <v>13980</v>
      </c>
      <c r="I252" s="175">
        <v>34390</v>
      </c>
      <c r="J252" s="175">
        <v>20410</v>
      </c>
    </row>
    <row r="253" spans="1:10" x14ac:dyDescent="0.3">
      <c r="A253" s="171">
        <v>249</v>
      </c>
      <c r="B253" s="171" t="s">
        <v>3821</v>
      </c>
      <c r="C253" s="172">
        <v>46233</v>
      </c>
      <c r="D253" s="173" t="s">
        <v>3822</v>
      </c>
      <c r="E253" s="172">
        <v>46233</v>
      </c>
      <c r="F253" s="173" t="s">
        <v>3823</v>
      </c>
      <c r="G253" s="174" t="s">
        <v>64</v>
      </c>
      <c r="H253" s="175">
        <v>13800</v>
      </c>
      <c r="I253" s="175">
        <v>32750</v>
      </c>
      <c r="J253" s="175">
        <v>18950</v>
      </c>
    </row>
    <row r="254" spans="1:10" x14ac:dyDescent="0.3">
      <c r="A254" s="171">
        <v>250</v>
      </c>
      <c r="B254" s="171" t="s">
        <v>3824</v>
      </c>
      <c r="C254" s="172">
        <v>46233</v>
      </c>
      <c r="D254" s="173" t="s">
        <v>3825</v>
      </c>
      <c r="E254" s="172">
        <v>46233</v>
      </c>
      <c r="F254" s="173" t="s">
        <v>3826</v>
      </c>
      <c r="G254" s="174" t="s">
        <v>143</v>
      </c>
      <c r="H254" s="175">
        <v>14010</v>
      </c>
      <c r="I254" s="175">
        <v>35380</v>
      </c>
      <c r="J254" s="175">
        <v>21370</v>
      </c>
    </row>
    <row r="255" spans="1:10" x14ac:dyDescent="0.3">
      <c r="A255" s="171">
        <v>251</v>
      </c>
      <c r="B255" s="171" t="s">
        <v>3827</v>
      </c>
      <c r="C255" s="172">
        <v>46233</v>
      </c>
      <c r="D255" s="173" t="s">
        <v>3828</v>
      </c>
      <c r="E255" s="172">
        <v>46233</v>
      </c>
      <c r="F255" s="173" t="s">
        <v>3829</v>
      </c>
      <c r="G255" s="174" t="s">
        <v>80</v>
      </c>
      <c r="H255" s="175">
        <v>13900</v>
      </c>
      <c r="I255" s="175">
        <v>32200</v>
      </c>
      <c r="J255" s="175">
        <v>18300</v>
      </c>
    </row>
    <row r="256" spans="1:10" x14ac:dyDescent="0.3">
      <c r="A256" s="171">
        <v>252</v>
      </c>
      <c r="B256" s="171" t="s">
        <v>3830</v>
      </c>
      <c r="C256" s="172">
        <v>46233</v>
      </c>
      <c r="D256" s="173" t="s">
        <v>3831</v>
      </c>
      <c r="E256" s="172">
        <v>46233</v>
      </c>
      <c r="F256" s="173" t="s">
        <v>3832</v>
      </c>
      <c r="G256" s="174" t="s">
        <v>71</v>
      </c>
      <c r="H256" s="175">
        <v>13910</v>
      </c>
      <c r="I256" s="175">
        <v>32650</v>
      </c>
      <c r="J256" s="175">
        <v>18740</v>
      </c>
    </row>
    <row r="257" spans="1:10" x14ac:dyDescent="0.3">
      <c r="A257" s="171">
        <v>253</v>
      </c>
      <c r="B257" s="171" t="s">
        <v>3833</v>
      </c>
      <c r="C257" s="172">
        <v>46233</v>
      </c>
      <c r="D257" s="173" t="s">
        <v>3834</v>
      </c>
      <c r="E257" s="172">
        <v>46233</v>
      </c>
      <c r="F257" s="173" t="s">
        <v>3835</v>
      </c>
      <c r="G257" s="174" t="s">
        <v>841</v>
      </c>
      <c r="H257" s="175">
        <v>13820</v>
      </c>
      <c r="I257" s="175">
        <v>33750</v>
      </c>
      <c r="J257" s="175">
        <v>19930</v>
      </c>
    </row>
    <row r="258" spans="1:10" x14ac:dyDescent="0.3">
      <c r="A258" s="171">
        <v>254</v>
      </c>
      <c r="B258" s="171" t="s">
        <v>3836</v>
      </c>
      <c r="C258" s="172">
        <v>46233</v>
      </c>
      <c r="D258" s="173" t="s">
        <v>3837</v>
      </c>
      <c r="E258" s="172">
        <v>46233</v>
      </c>
      <c r="F258" s="173" t="s">
        <v>3838</v>
      </c>
      <c r="G258" s="174" t="s">
        <v>336</v>
      </c>
      <c r="H258" s="175">
        <v>13910</v>
      </c>
      <c r="I258" s="175">
        <v>33700</v>
      </c>
      <c r="J258" s="175">
        <v>19790</v>
      </c>
    </row>
    <row r="259" spans="1:10" x14ac:dyDescent="0.3">
      <c r="A259" s="171">
        <v>255</v>
      </c>
      <c r="B259" s="171" t="s">
        <v>3839</v>
      </c>
      <c r="C259" s="172">
        <v>46234</v>
      </c>
      <c r="D259" s="173" t="s">
        <v>3840</v>
      </c>
      <c r="E259" s="172">
        <v>46234</v>
      </c>
      <c r="F259" s="173" t="s">
        <v>3085</v>
      </c>
      <c r="G259" s="174" t="s">
        <v>842</v>
      </c>
      <c r="H259" s="175">
        <v>13920</v>
      </c>
      <c r="I259" s="175">
        <v>31960</v>
      </c>
      <c r="J259" s="175">
        <v>18040</v>
      </c>
    </row>
    <row r="260" spans="1:10" x14ac:dyDescent="0.3">
      <c r="A260" s="171">
        <v>256</v>
      </c>
      <c r="B260" s="171" t="s">
        <v>3841</v>
      </c>
      <c r="C260" s="172">
        <v>46234</v>
      </c>
      <c r="D260" s="173" t="s">
        <v>3842</v>
      </c>
      <c r="E260" s="172">
        <v>46234</v>
      </c>
      <c r="F260" s="173" t="s">
        <v>3843</v>
      </c>
      <c r="G260" s="174" t="s">
        <v>64</v>
      </c>
      <c r="H260" s="175">
        <v>13770</v>
      </c>
      <c r="I260" s="175">
        <v>33880</v>
      </c>
      <c r="J260" s="175">
        <v>20110</v>
      </c>
    </row>
    <row r="261" spans="1:10" x14ac:dyDescent="0.3">
      <c r="A261" s="171">
        <v>257</v>
      </c>
      <c r="B261" s="171" t="s">
        <v>3844</v>
      </c>
      <c r="C261" s="172">
        <v>46234</v>
      </c>
      <c r="D261" s="173" t="s">
        <v>3845</v>
      </c>
      <c r="E261" s="172">
        <v>46234</v>
      </c>
      <c r="F261" s="173" t="s">
        <v>3846</v>
      </c>
      <c r="G261" s="174" t="s">
        <v>76</v>
      </c>
      <c r="H261" s="175">
        <v>13810</v>
      </c>
      <c r="I261" s="175">
        <v>33020</v>
      </c>
      <c r="J261" s="175">
        <v>19210</v>
      </c>
    </row>
    <row r="262" spans="1:10" x14ac:dyDescent="0.3">
      <c r="A262" s="171">
        <v>258</v>
      </c>
      <c r="B262" s="171" t="s">
        <v>3847</v>
      </c>
      <c r="C262" s="172">
        <v>46234</v>
      </c>
      <c r="D262" s="173" t="s">
        <v>3848</v>
      </c>
      <c r="E262" s="172">
        <v>46234</v>
      </c>
      <c r="F262" s="173" t="s">
        <v>3849</v>
      </c>
      <c r="G262" s="174" t="s">
        <v>336</v>
      </c>
      <c r="H262" s="175">
        <v>13830</v>
      </c>
      <c r="I262" s="175">
        <v>32960</v>
      </c>
      <c r="J262" s="175">
        <v>19130</v>
      </c>
    </row>
    <row r="263" spans="1:10" x14ac:dyDescent="0.3">
      <c r="A263" s="171">
        <v>259</v>
      </c>
      <c r="B263" s="171" t="s">
        <v>3850</v>
      </c>
      <c r="C263" s="172">
        <v>46234</v>
      </c>
      <c r="D263" s="173" t="s">
        <v>3851</v>
      </c>
      <c r="E263" s="172">
        <v>46234</v>
      </c>
      <c r="F263" s="173" t="s">
        <v>3852</v>
      </c>
      <c r="G263" s="174" t="s">
        <v>841</v>
      </c>
      <c r="H263" s="175">
        <v>13760</v>
      </c>
      <c r="I263" s="175">
        <v>33750</v>
      </c>
      <c r="J263" s="175">
        <v>19990</v>
      </c>
    </row>
    <row r="264" spans="1:10" x14ac:dyDescent="0.3">
      <c r="A264" s="171">
        <v>260</v>
      </c>
      <c r="B264" s="171" t="s">
        <v>3853</v>
      </c>
      <c r="C264" s="172">
        <v>46234</v>
      </c>
      <c r="D264" s="173" t="s">
        <v>3854</v>
      </c>
      <c r="E264" s="172">
        <v>46234</v>
      </c>
      <c r="F264" s="173" t="s">
        <v>3855</v>
      </c>
      <c r="G264" s="174" t="s">
        <v>55</v>
      </c>
      <c r="H264" s="175">
        <v>13720</v>
      </c>
      <c r="I264" s="175">
        <v>32070</v>
      </c>
      <c r="J264" s="175">
        <v>18350</v>
      </c>
    </row>
    <row r="265" spans="1:10" x14ac:dyDescent="0.3">
      <c r="A265" s="171">
        <v>261</v>
      </c>
      <c r="B265" s="171" t="s">
        <v>3856</v>
      </c>
      <c r="C265" s="172">
        <v>46234</v>
      </c>
      <c r="D265" s="173" t="s">
        <v>1098</v>
      </c>
      <c r="E265" s="172">
        <v>46234</v>
      </c>
      <c r="F265" s="173" t="s">
        <v>3857</v>
      </c>
      <c r="G265" s="174" t="s">
        <v>71</v>
      </c>
      <c r="H265" s="175">
        <v>13850</v>
      </c>
      <c r="I265" s="175">
        <v>33830</v>
      </c>
      <c r="J265" s="175">
        <v>19980</v>
      </c>
    </row>
    <row r="266" spans="1:10" x14ac:dyDescent="0.3">
      <c r="A266" s="171">
        <v>262</v>
      </c>
      <c r="B266" s="171" t="s">
        <v>3858</v>
      </c>
      <c r="C266" s="172">
        <v>46234</v>
      </c>
      <c r="D266" s="173" t="s">
        <v>3859</v>
      </c>
      <c r="E266" s="172">
        <v>46234</v>
      </c>
      <c r="F266" s="173" t="s">
        <v>3097</v>
      </c>
      <c r="G266" s="174" t="s">
        <v>839</v>
      </c>
      <c r="H266" s="175">
        <v>13740</v>
      </c>
      <c r="I266" s="175">
        <v>33160</v>
      </c>
      <c r="J266" s="175">
        <v>19420</v>
      </c>
    </row>
    <row r="267" spans="1:10" x14ac:dyDescent="0.3">
      <c r="A267" s="171">
        <v>263</v>
      </c>
      <c r="B267" s="171" t="s">
        <v>3860</v>
      </c>
      <c r="C267" s="172">
        <v>46234</v>
      </c>
      <c r="D267" s="173" t="s">
        <v>3861</v>
      </c>
      <c r="E267" s="172">
        <v>46234</v>
      </c>
      <c r="F267" s="173" t="s">
        <v>3862</v>
      </c>
      <c r="G267" s="174" t="s">
        <v>80</v>
      </c>
      <c r="H267" s="175">
        <v>13890</v>
      </c>
      <c r="I267" s="175">
        <v>33100</v>
      </c>
      <c r="J267" s="175">
        <v>19210</v>
      </c>
    </row>
    <row r="268" spans="1:10" x14ac:dyDescent="0.3">
      <c r="A268" s="171">
        <v>264</v>
      </c>
      <c r="B268" s="171" t="s">
        <v>3863</v>
      </c>
      <c r="C268" s="172">
        <v>46234</v>
      </c>
      <c r="D268" s="173" t="s">
        <v>3864</v>
      </c>
      <c r="E268" s="172">
        <v>46234</v>
      </c>
      <c r="F268" s="173" t="s">
        <v>3865</v>
      </c>
      <c r="G268" s="174" t="s">
        <v>537</v>
      </c>
      <c r="H268" s="175">
        <v>13990</v>
      </c>
      <c r="I268" s="175">
        <v>34400</v>
      </c>
      <c r="J268" s="175">
        <v>20410</v>
      </c>
    </row>
    <row r="269" spans="1:10" x14ac:dyDescent="0.3">
      <c r="A269" s="171">
        <v>265</v>
      </c>
      <c r="B269" s="171" t="s">
        <v>3866</v>
      </c>
      <c r="C269" s="172">
        <v>46234</v>
      </c>
      <c r="D269" s="173" t="s">
        <v>3867</v>
      </c>
      <c r="E269" s="172">
        <v>46234</v>
      </c>
      <c r="F269" s="173" t="s">
        <v>3868</v>
      </c>
      <c r="G269" s="174" t="s">
        <v>43</v>
      </c>
      <c r="H269" s="175">
        <v>13830</v>
      </c>
      <c r="I269" s="175">
        <v>32480</v>
      </c>
      <c r="J269" s="175">
        <v>18650</v>
      </c>
    </row>
    <row r="270" spans="1:10" x14ac:dyDescent="0.3">
      <c r="A270" s="171">
        <v>266</v>
      </c>
      <c r="B270" s="171" t="s">
        <v>3869</v>
      </c>
      <c r="C270" s="172">
        <v>46234</v>
      </c>
      <c r="D270" s="173" t="s">
        <v>3870</v>
      </c>
      <c r="E270" s="172">
        <v>46234</v>
      </c>
      <c r="F270" s="173" t="s">
        <v>3871</v>
      </c>
      <c r="G270" s="174" t="s">
        <v>90</v>
      </c>
      <c r="H270" s="175">
        <v>13880</v>
      </c>
      <c r="I270" s="175">
        <v>33610</v>
      </c>
      <c r="J270" s="175">
        <v>19730</v>
      </c>
    </row>
    <row r="271" spans="1:10" x14ac:dyDescent="0.3">
      <c r="A271" s="171">
        <v>267</v>
      </c>
      <c r="B271" s="171" t="s">
        <v>3872</v>
      </c>
      <c r="C271" s="172">
        <v>46234</v>
      </c>
      <c r="D271" s="173" t="s">
        <v>75</v>
      </c>
      <c r="E271" s="172">
        <v>46234</v>
      </c>
      <c r="F271" s="173" t="s">
        <v>3873</v>
      </c>
      <c r="G271" s="174" t="s">
        <v>143</v>
      </c>
      <c r="H271" s="175">
        <v>14000</v>
      </c>
      <c r="I271" s="175">
        <v>34180</v>
      </c>
      <c r="J271" s="175">
        <v>20180</v>
      </c>
    </row>
    <row r="272" spans="1:10" x14ac:dyDescent="0.3">
      <c r="A272" s="171">
        <v>268</v>
      </c>
      <c r="B272" s="171" t="s">
        <v>3874</v>
      </c>
      <c r="C272" s="172">
        <v>46234</v>
      </c>
      <c r="D272" s="173" t="s">
        <v>3875</v>
      </c>
      <c r="E272" s="172">
        <v>46234</v>
      </c>
      <c r="F272" s="173" t="s">
        <v>3876</v>
      </c>
      <c r="G272" s="174" t="s">
        <v>842</v>
      </c>
      <c r="H272" s="175">
        <v>13910</v>
      </c>
      <c r="I272" s="175">
        <v>32370</v>
      </c>
      <c r="J272" s="175">
        <v>18460</v>
      </c>
    </row>
    <row r="273" spans="1:10" x14ac:dyDescent="0.3">
      <c r="A273" s="171">
        <v>269</v>
      </c>
      <c r="B273" s="171" t="s">
        <v>3877</v>
      </c>
      <c r="C273" s="172">
        <v>46234</v>
      </c>
      <c r="D273" s="173" t="s">
        <v>3878</v>
      </c>
      <c r="E273" s="172">
        <v>46234</v>
      </c>
      <c r="F273" s="173" t="s">
        <v>3879</v>
      </c>
      <c r="G273" s="174" t="s">
        <v>64</v>
      </c>
      <c r="H273" s="175">
        <v>13740</v>
      </c>
      <c r="I273" s="175">
        <v>32640</v>
      </c>
      <c r="J273" s="175">
        <v>18900</v>
      </c>
    </row>
    <row r="274" spans="1:10" x14ac:dyDescent="0.3">
      <c r="A274" s="171">
        <v>270</v>
      </c>
      <c r="B274" s="171" t="s">
        <v>3880</v>
      </c>
      <c r="C274" s="172">
        <v>46234</v>
      </c>
      <c r="D274" s="173" t="s">
        <v>3881</v>
      </c>
      <c r="E274" s="172">
        <v>46234</v>
      </c>
      <c r="F274" s="173" t="s">
        <v>2017</v>
      </c>
      <c r="G274" s="174" t="s">
        <v>76</v>
      </c>
      <c r="H274" s="175">
        <v>13770</v>
      </c>
      <c r="I274" s="175">
        <v>33200</v>
      </c>
      <c r="J274" s="175">
        <v>19430</v>
      </c>
    </row>
    <row r="275" spans="1:10" x14ac:dyDescent="0.3">
      <c r="A275" s="171">
        <v>271</v>
      </c>
      <c r="B275" s="171" t="s">
        <v>3882</v>
      </c>
      <c r="C275" s="172">
        <v>46234</v>
      </c>
      <c r="D275" s="173" t="s">
        <v>3681</v>
      </c>
      <c r="E275" s="172">
        <v>46234</v>
      </c>
      <c r="F275" s="173" t="s">
        <v>3883</v>
      </c>
      <c r="G275" s="174" t="s">
        <v>336</v>
      </c>
      <c r="H275" s="175">
        <v>13850</v>
      </c>
      <c r="I275" s="175">
        <v>32400</v>
      </c>
      <c r="J275" s="175">
        <v>18550</v>
      </c>
    </row>
    <row r="276" spans="1:10" x14ac:dyDescent="0.3">
      <c r="A276" s="171">
        <v>272</v>
      </c>
      <c r="B276" s="171" t="s">
        <v>3884</v>
      </c>
      <c r="C276" s="172">
        <v>46234</v>
      </c>
      <c r="D276" s="173" t="s">
        <v>3885</v>
      </c>
      <c r="E276" s="172">
        <v>46234</v>
      </c>
      <c r="F276" s="173" t="s">
        <v>3886</v>
      </c>
      <c r="G276" s="174" t="s">
        <v>841</v>
      </c>
      <c r="H276" s="175">
        <v>13740</v>
      </c>
      <c r="I276" s="175">
        <v>33300</v>
      </c>
      <c r="J276" s="175">
        <v>19560</v>
      </c>
    </row>
    <row r="277" spans="1:10" x14ac:dyDescent="0.3">
      <c r="A277" s="171">
        <v>273</v>
      </c>
      <c r="B277" s="171" t="s">
        <v>3887</v>
      </c>
      <c r="C277" s="172">
        <v>46234</v>
      </c>
      <c r="D277" s="173" t="s">
        <v>3888</v>
      </c>
      <c r="E277" s="172">
        <v>46234</v>
      </c>
      <c r="F277" s="173" t="s">
        <v>3889</v>
      </c>
      <c r="G277" s="174" t="s">
        <v>55</v>
      </c>
      <c r="H277" s="175">
        <v>13720</v>
      </c>
      <c r="I277" s="175">
        <v>33490</v>
      </c>
      <c r="J277" s="175">
        <v>19770</v>
      </c>
    </row>
    <row r="278" spans="1:10" x14ac:dyDescent="0.3">
      <c r="A278" s="171">
        <v>274</v>
      </c>
      <c r="B278" s="171" t="s">
        <v>3890</v>
      </c>
      <c r="C278" s="172">
        <v>46234</v>
      </c>
      <c r="D278" s="173" t="s">
        <v>3891</v>
      </c>
      <c r="E278" s="172">
        <v>46234</v>
      </c>
      <c r="F278" s="173" t="s">
        <v>2455</v>
      </c>
      <c r="G278" s="174" t="s">
        <v>71</v>
      </c>
      <c r="H278" s="175">
        <v>13830</v>
      </c>
      <c r="I278" s="175">
        <v>33030</v>
      </c>
      <c r="J278" s="175">
        <v>19200</v>
      </c>
    </row>
    <row r="279" spans="1:10" x14ac:dyDescent="0.3">
      <c r="A279" s="171">
        <v>275</v>
      </c>
      <c r="B279" s="171" t="s">
        <v>3892</v>
      </c>
      <c r="C279" s="172">
        <v>46234</v>
      </c>
      <c r="D279" s="173" t="s">
        <v>3893</v>
      </c>
      <c r="E279" s="172">
        <v>46234</v>
      </c>
      <c r="F279" s="173" t="s">
        <v>3894</v>
      </c>
      <c r="G279" s="174" t="s">
        <v>839</v>
      </c>
      <c r="H279" s="175">
        <v>13720</v>
      </c>
      <c r="I279" s="175">
        <v>33440</v>
      </c>
      <c r="J279" s="175">
        <v>19720</v>
      </c>
    </row>
    <row r="280" spans="1:10" x14ac:dyDescent="0.3">
      <c r="A280" s="171">
        <v>276</v>
      </c>
      <c r="B280" s="171" t="s">
        <v>3895</v>
      </c>
      <c r="C280" s="172">
        <v>46234</v>
      </c>
      <c r="D280" s="173" t="s">
        <v>3896</v>
      </c>
      <c r="E280" s="172">
        <v>46234</v>
      </c>
      <c r="F280" s="173" t="s">
        <v>3897</v>
      </c>
      <c r="G280" s="174" t="s">
        <v>80</v>
      </c>
      <c r="H280" s="175">
        <v>13840</v>
      </c>
      <c r="I280" s="175">
        <v>33840</v>
      </c>
      <c r="J280" s="175">
        <v>20000</v>
      </c>
    </row>
    <row r="281" spans="1:10" ht="18" customHeight="1" x14ac:dyDescent="0.3">
      <c r="A281" s="171">
        <v>277</v>
      </c>
      <c r="B281" s="171" t="s">
        <v>3898</v>
      </c>
      <c r="C281" s="172">
        <v>46234</v>
      </c>
      <c r="D281" s="173" t="s">
        <v>3899</v>
      </c>
      <c r="E281" s="172">
        <v>46234</v>
      </c>
      <c r="F281" s="173" t="s">
        <v>3900</v>
      </c>
      <c r="G281" s="174" t="s">
        <v>537</v>
      </c>
      <c r="H281" s="175">
        <v>13940</v>
      </c>
      <c r="I281" s="175">
        <v>32860</v>
      </c>
      <c r="J281" s="175">
        <v>18920</v>
      </c>
    </row>
    <row r="282" spans="1:10" ht="18" customHeight="1" x14ac:dyDescent="0.3">
      <c r="A282" s="171">
        <v>278</v>
      </c>
      <c r="B282" s="171" t="s">
        <v>3901</v>
      </c>
      <c r="C282" s="172">
        <v>46234</v>
      </c>
      <c r="D282" s="173" t="s">
        <v>3902</v>
      </c>
      <c r="E282" s="172">
        <v>46234</v>
      </c>
      <c r="F282" s="173" t="s">
        <v>3903</v>
      </c>
      <c r="G282" s="174" t="s">
        <v>43</v>
      </c>
      <c r="H282" s="175">
        <v>13810</v>
      </c>
      <c r="I282" s="175">
        <v>32260</v>
      </c>
      <c r="J282" s="175">
        <v>18450</v>
      </c>
    </row>
    <row r="283" spans="1:10" ht="18" customHeight="1" x14ac:dyDescent="0.3">
      <c r="A283" s="171">
        <v>279</v>
      </c>
      <c r="B283" s="171" t="s">
        <v>3904</v>
      </c>
      <c r="C283" s="172">
        <v>46234</v>
      </c>
      <c r="D283" s="173" t="s">
        <v>3905</v>
      </c>
      <c r="E283" s="172">
        <v>46234</v>
      </c>
      <c r="F283" s="173" t="s">
        <v>3906</v>
      </c>
      <c r="G283" s="174" t="s">
        <v>90</v>
      </c>
      <c r="H283" s="175">
        <v>13840</v>
      </c>
      <c r="I283" s="175">
        <v>32440</v>
      </c>
      <c r="J283" s="175">
        <v>18600</v>
      </c>
    </row>
    <row r="284" spans="1:10" ht="18" customHeight="1" x14ac:dyDescent="0.3">
      <c r="A284" s="171">
        <v>280</v>
      </c>
      <c r="B284" s="171" t="s">
        <v>3907</v>
      </c>
      <c r="C284" s="172">
        <v>46234</v>
      </c>
      <c r="D284" s="173" t="s">
        <v>3908</v>
      </c>
      <c r="E284" s="172">
        <v>46234</v>
      </c>
      <c r="F284" s="173" t="s">
        <v>3909</v>
      </c>
      <c r="G284" s="174" t="s">
        <v>143</v>
      </c>
      <c r="H284" s="175">
        <v>13940</v>
      </c>
      <c r="I284" s="175">
        <v>31750</v>
      </c>
      <c r="J284" s="175">
        <v>17810</v>
      </c>
    </row>
    <row r="285" spans="1:10" ht="18" customHeight="1" x14ac:dyDescent="0.3">
      <c r="A285" s="171">
        <v>281</v>
      </c>
      <c r="B285" s="171" t="s">
        <v>3910</v>
      </c>
      <c r="C285" s="172">
        <v>46234</v>
      </c>
      <c r="D285" s="173" t="s">
        <v>3911</v>
      </c>
      <c r="E285" s="172">
        <v>46234</v>
      </c>
      <c r="F285" s="173" t="s">
        <v>3912</v>
      </c>
      <c r="G285" s="174" t="s">
        <v>842</v>
      </c>
      <c r="H285" s="175">
        <v>13870</v>
      </c>
      <c r="I285" s="175">
        <v>32010</v>
      </c>
      <c r="J285" s="175">
        <v>18140</v>
      </c>
    </row>
    <row r="286" spans="1:10" ht="18" customHeight="1" x14ac:dyDescent="0.3">
      <c r="A286" s="171">
        <v>282</v>
      </c>
      <c r="B286" s="171" t="s">
        <v>3913</v>
      </c>
      <c r="C286" s="172">
        <v>46234</v>
      </c>
      <c r="D286" s="173" t="s">
        <v>3914</v>
      </c>
      <c r="E286" s="172">
        <v>46234</v>
      </c>
      <c r="F286" s="173" t="s">
        <v>3915</v>
      </c>
      <c r="G286" s="174" t="s">
        <v>64</v>
      </c>
      <c r="H286" s="175">
        <v>13720</v>
      </c>
      <c r="I286" s="175">
        <v>31470</v>
      </c>
      <c r="J286" s="175">
        <v>17750</v>
      </c>
    </row>
    <row r="287" spans="1:10" ht="18" customHeight="1" x14ac:dyDescent="0.3">
      <c r="A287" s="171">
        <v>283</v>
      </c>
      <c r="B287" s="171" t="s">
        <v>3916</v>
      </c>
      <c r="C287" s="172">
        <v>46234</v>
      </c>
      <c r="D287" s="173" t="s">
        <v>3917</v>
      </c>
      <c r="E287" s="172">
        <v>46234</v>
      </c>
      <c r="F287" s="173" t="s">
        <v>3918</v>
      </c>
      <c r="G287" s="174" t="s">
        <v>336</v>
      </c>
      <c r="H287" s="175">
        <v>13720</v>
      </c>
      <c r="I287" s="175">
        <v>32280</v>
      </c>
      <c r="J287" s="175">
        <v>18560</v>
      </c>
    </row>
    <row r="288" spans="1:10" ht="18" customHeight="1" x14ac:dyDescent="0.3">
      <c r="A288" s="171">
        <v>284</v>
      </c>
      <c r="B288" s="171" t="s">
        <v>3919</v>
      </c>
      <c r="C288" s="172">
        <v>46234</v>
      </c>
      <c r="D288" s="173" t="s">
        <v>3920</v>
      </c>
      <c r="E288" s="172">
        <v>46234</v>
      </c>
      <c r="F288" s="173" t="s">
        <v>631</v>
      </c>
      <c r="G288" s="174" t="s">
        <v>76</v>
      </c>
      <c r="H288" s="175">
        <v>13760</v>
      </c>
      <c r="I288" s="175">
        <v>32850</v>
      </c>
      <c r="J288" s="175">
        <v>19090</v>
      </c>
    </row>
    <row r="289" spans="1:10" ht="18" customHeight="1" x14ac:dyDescent="0.3">
      <c r="A289" s="171">
        <v>285</v>
      </c>
      <c r="B289" s="171" t="s">
        <v>3921</v>
      </c>
      <c r="C289" s="172">
        <v>46234</v>
      </c>
      <c r="D289" s="173" t="s">
        <v>3922</v>
      </c>
      <c r="E289" s="172">
        <v>46234</v>
      </c>
      <c r="F289" s="173" t="s">
        <v>3923</v>
      </c>
      <c r="G289" s="174" t="s">
        <v>55</v>
      </c>
      <c r="H289" s="175">
        <v>13760</v>
      </c>
      <c r="I289" s="175">
        <v>32760</v>
      </c>
      <c r="J289" s="175">
        <v>19000</v>
      </c>
    </row>
    <row r="290" spans="1:10" ht="18" customHeight="1" x14ac:dyDescent="0.3">
      <c r="A290" s="171">
        <v>286</v>
      </c>
      <c r="B290" s="171" t="s">
        <v>3924</v>
      </c>
      <c r="C290" s="172">
        <v>46234</v>
      </c>
      <c r="D290" s="173" t="s">
        <v>3095</v>
      </c>
      <c r="E290" s="172">
        <v>46234</v>
      </c>
      <c r="F290" s="173" t="s">
        <v>3925</v>
      </c>
      <c r="G290" s="174" t="s">
        <v>841</v>
      </c>
      <c r="H290" s="175">
        <v>13690</v>
      </c>
      <c r="I290" s="175">
        <v>31800</v>
      </c>
      <c r="J290" s="175">
        <v>18110</v>
      </c>
    </row>
    <row r="291" spans="1:10" ht="18" customHeight="1" x14ac:dyDescent="0.3">
      <c r="A291" s="171">
        <v>287</v>
      </c>
      <c r="B291" s="171" t="s">
        <v>3926</v>
      </c>
      <c r="C291" s="172">
        <v>46234</v>
      </c>
      <c r="D291" s="173" t="s">
        <v>3927</v>
      </c>
      <c r="E291" s="172">
        <v>46234</v>
      </c>
      <c r="F291" s="173" t="s">
        <v>3928</v>
      </c>
      <c r="G291" s="174" t="s">
        <v>71</v>
      </c>
      <c r="H291" s="175">
        <v>13810</v>
      </c>
      <c r="I291" s="175">
        <v>32370</v>
      </c>
      <c r="J291" s="175">
        <v>18560</v>
      </c>
    </row>
    <row r="292" spans="1:10" ht="18" customHeight="1" x14ac:dyDescent="0.3">
      <c r="A292" s="171">
        <v>288</v>
      </c>
      <c r="B292" s="171" t="s">
        <v>3929</v>
      </c>
      <c r="C292" s="172">
        <v>46234</v>
      </c>
      <c r="D292" s="173" t="s">
        <v>3930</v>
      </c>
      <c r="E292" s="172">
        <v>46234</v>
      </c>
      <c r="F292" s="173" t="s">
        <v>3931</v>
      </c>
      <c r="G292" s="174" t="s">
        <v>839</v>
      </c>
      <c r="H292" s="175">
        <v>13750</v>
      </c>
      <c r="I292" s="175">
        <v>32920</v>
      </c>
      <c r="J292" s="175">
        <v>19170</v>
      </c>
    </row>
    <row r="293" spans="1:10" ht="18" customHeight="1" x14ac:dyDescent="0.3">
      <c r="A293" s="171">
        <v>289</v>
      </c>
      <c r="B293" s="171" t="s">
        <v>3932</v>
      </c>
      <c r="C293" s="172">
        <v>46234</v>
      </c>
      <c r="D293" s="173" t="s">
        <v>3933</v>
      </c>
      <c r="E293" s="172">
        <v>46234</v>
      </c>
      <c r="F293" s="173" t="s">
        <v>3934</v>
      </c>
      <c r="G293" s="174" t="s">
        <v>537</v>
      </c>
      <c r="H293" s="175">
        <v>13890</v>
      </c>
      <c r="I293" s="175">
        <v>32950</v>
      </c>
      <c r="J293" s="175">
        <v>19060</v>
      </c>
    </row>
    <row r="294" spans="1:10" ht="18" customHeight="1" x14ac:dyDescent="0.3">
      <c r="A294" s="171">
        <v>290</v>
      </c>
      <c r="B294" s="171" t="s">
        <v>3935</v>
      </c>
      <c r="C294" s="172">
        <v>46234</v>
      </c>
      <c r="D294" s="173" t="s">
        <v>3936</v>
      </c>
      <c r="E294" s="172">
        <v>46234</v>
      </c>
      <c r="F294" s="173" t="s">
        <v>3937</v>
      </c>
      <c r="G294" s="174" t="s">
        <v>43</v>
      </c>
      <c r="H294" s="175">
        <v>14030</v>
      </c>
      <c r="I294" s="175">
        <v>32670</v>
      </c>
      <c r="J294" s="175">
        <v>18640</v>
      </c>
    </row>
    <row r="295" spans="1:10" ht="18" customHeight="1" x14ac:dyDescent="0.3">
      <c r="A295" s="171">
        <v>291</v>
      </c>
      <c r="B295" s="171" t="s">
        <v>3938</v>
      </c>
      <c r="C295" s="172">
        <v>46234</v>
      </c>
      <c r="D295" s="173" t="s">
        <v>3939</v>
      </c>
      <c r="E295" s="172">
        <v>46234</v>
      </c>
      <c r="F295" s="173" t="s">
        <v>3940</v>
      </c>
      <c r="G295" s="174" t="s">
        <v>90</v>
      </c>
      <c r="H295" s="175">
        <v>13830</v>
      </c>
      <c r="I295" s="175">
        <v>33330</v>
      </c>
      <c r="J295" s="175">
        <v>19500</v>
      </c>
    </row>
    <row r="296" spans="1:10" ht="18" customHeight="1" x14ac:dyDescent="0.3">
      <c r="A296" s="171">
        <v>292</v>
      </c>
      <c r="B296" s="171" t="s">
        <v>3941</v>
      </c>
      <c r="C296" s="172">
        <v>46234</v>
      </c>
      <c r="D296" s="173" t="s">
        <v>3942</v>
      </c>
      <c r="E296" s="172">
        <v>46234</v>
      </c>
      <c r="F296" s="173" t="s">
        <v>3943</v>
      </c>
      <c r="G296" s="174" t="s">
        <v>143</v>
      </c>
      <c r="H296" s="175">
        <v>13930</v>
      </c>
      <c r="I296" s="175">
        <v>33660</v>
      </c>
      <c r="J296" s="175">
        <v>19730</v>
      </c>
    </row>
    <row r="297" spans="1:10" ht="18" customHeight="1" x14ac:dyDescent="0.3">
      <c r="A297" s="171">
        <v>293</v>
      </c>
      <c r="B297" s="171" t="s">
        <v>3944</v>
      </c>
      <c r="C297" s="172">
        <v>46234</v>
      </c>
      <c r="D297" s="173" t="s">
        <v>2299</v>
      </c>
      <c r="E297" s="172">
        <v>46234</v>
      </c>
      <c r="F297" s="173" t="s">
        <v>3945</v>
      </c>
      <c r="G297" s="174" t="s">
        <v>64</v>
      </c>
      <c r="H297" s="175">
        <v>14050</v>
      </c>
      <c r="I297" s="175">
        <v>32710</v>
      </c>
      <c r="J297" s="175">
        <v>18660</v>
      </c>
    </row>
    <row r="298" spans="1:10" ht="18" customHeight="1" x14ac:dyDescent="0.3">
      <c r="A298" s="171">
        <v>294</v>
      </c>
      <c r="B298" s="171" t="s">
        <v>3946</v>
      </c>
      <c r="C298" s="172">
        <v>46234</v>
      </c>
      <c r="D298" s="173" t="s">
        <v>3947</v>
      </c>
      <c r="E298" s="172">
        <v>46234</v>
      </c>
      <c r="F298" s="173" t="s">
        <v>3948</v>
      </c>
      <c r="G298" s="174" t="s">
        <v>336</v>
      </c>
      <c r="H298" s="175">
        <v>13790</v>
      </c>
      <c r="I298" s="175">
        <v>32720</v>
      </c>
      <c r="J298" s="175">
        <v>18930</v>
      </c>
    </row>
    <row r="299" spans="1:10" ht="18" customHeight="1" x14ac:dyDescent="0.3">
      <c r="A299" s="171">
        <v>295</v>
      </c>
      <c r="B299" s="171" t="s">
        <v>3949</v>
      </c>
      <c r="C299" s="172">
        <v>46234</v>
      </c>
      <c r="D299" s="173" t="s">
        <v>3950</v>
      </c>
      <c r="E299" s="172">
        <v>46234</v>
      </c>
      <c r="F299" s="173" t="s">
        <v>3951</v>
      </c>
      <c r="G299" s="174" t="s">
        <v>55</v>
      </c>
      <c r="H299" s="175">
        <v>13750</v>
      </c>
      <c r="I299" s="175">
        <v>32340</v>
      </c>
      <c r="J299" s="175">
        <v>18590</v>
      </c>
    </row>
    <row r="300" spans="1:10" ht="18" customHeight="1" x14ac:dyDescent="0.3">
      <c r="A300" s="171">
        <v>296</v>
      </c>
      <c r="B300" s="171" t="s">
        <v>3952</v>
      </c>
      <c r="C300" s="172">
        <v>46234</v>
      </c>
      <c r="D300" s="173" t="s">
        <v>3953</v>
      </c>
      <c r="E300" s="172">
        <v>46234</v>
      </c>
      <c r="F300" s="173" t="s">
        <v>3954</v>
      </c>
      <c r="G300" s="174" t="s">
        <v>71</v>
      </c>
      <c r="H300" s="175">
        <v>13880</v>
      </c>
      <c r="I300" s="175">
        <v>32380</v>
      </c>
      <c r="J300" s="175">
        <v>18500</v>
      </c>
    </row>
    <row r="301" spans="1:10" ht="18" customHeight="1" x14ac:dyDescent="0.3">
      <c r="A301" s="171">
        <v>297</v>
      </c>
      <c r="B301" s="171" t="s">
        <v>3955</v>
      </c>
      <c r="C301" s="172">
        <v>46234</v>
      </c>
      <c r="D301" s="173" t="s">
        <v>3956</v>
      </c>
      <c r="E301" s="172">
        <v>46234</v>
      </c>
      <c r="F301" s="173" t="s">
        <v>3957</v>
      </c>
      <c r="G301" s="174" t="s">
        <v>841</v>
      </c>
      <c r="H301" s="175">
        <v>14070</v>
      </c>
      <c r="I301" s="175">
        <v>34030</v>
      </c>
      <c r="J301" s="175">
        <v>19960</v>
      </c>
    </row>
    <row r="302" spans="1:10" ht="18" customHeight="1" x14ac:dyDescent="0.3">
      <c r="A302" s="171">
        <v>298</v>
      </c>
      <c r="B302" s="171" t="s">
        <v>3958</v>
      </c>
      <c r="C302" s="172">
        <v>46234</v>
      </c>
      <c r="D302" s="173" t="s">
        <v>3959</v>
      </c>
      <c r="E302" s="172">
        <v>46234</v>
      </c>
      <c r="F302" s="173" t="s">
        <v>3960</v>
      </c>
      <c r="G302" s="174" t="s">
        <v>839</v>
      </c>
      <c r="H302" s="175">
        <v>14110</v>
      </c>
      <c r="I302" s="175">
        <v>34460</v>
      </c>
      <c r="J302" s="175">
        <v>20350</v>
      </c>
    </row>
    <row r="303" spans="1:10" ht="18" customHeight="1" x14ac:dyDescent="0.3">
      <c r="A303" s="171">
        <v>299</v>
      </c>
      <c r="B303" s="171" t="s">
        <v>3961</v>
      </c>
      <c r="C303" s="172">
        <v>46234</v>
      </c>
      <c r="D303" s="173" t="s">
        <v>3962</v>
      </c>
      <c r="E303" s="172">
        <v>46234</v>
      </c>
      <c r="F303" s="173" t="s">
        <v>3963</v>
      </c>
      <c r="G303" s="174" t="s">
        <v>76</v>
      </c>
      <c r="H303" s="175">
        <v>13720</v>
      </c>
      <c r="I303" s="175">
        <v>30920</v>
      </c>
      <c r="J303" s="175">
        <v>17200</v>
      </c>
    </row>
    <row r="304" spans="1:10" ht="18" customHeight="1" x14ac:dyDescent="0.3">
      <c r="A304" s="171">
        <v>300</v>
      </c>
      <c r="B304" s="171" t="s">
        <v>3964</v>
      </c>
      <c r="C304" s="172">
        <v>46234</v>
      </c>
      <c r="D304" s="173" t="s">
        <v>3965</v>
      </c>
      <c r="E304" s="172">
        <v>46234</v>
      </c>
      <c r="F304" s="173" t="s">
        <v>3966</v>
      </c>
      <c r="G304" s="174" t="s">
        <v>43</v>
      </c>
      <c r="H304" s="175">
        <v>14020</v>
      </c>
      <c r="I304" s="175">
        <v>33150</v>
      </c>
      <c r="J304" s="175">
        <v>19130</v>
      </c>
    </row>
    <row r="305" spans="1:10" ht="18" customHeight="1" x14ac:dyDescent="0.3">
      <c r="A305" s="171">
        <v>301</v>
      </c>
      <c r="B305" s="171" t="s">
        <v>3967</v>
      </c>
      <c r="C305" s="172">
        <v>46234</v>
      </c>
      <c r="D305" s="173" t="s">
        <v>3968</v>
      </c>
      <c r="E305" s="172">
        <v>46234</v>
      </c>
      <c r="F305" s="173" t="s">
        <v>3969</v>
      </c>
      <c r="G305" s="174" t="s">
        <v>90</v>
      </c>
      <c r="H305" s="175">
        <v>13800</v>
      </c>
      <c r="I305" s="175">
        <v>33140</v>
      </c>
      <c r="J305" s="175">
        <v>19340</v>
      </c>
    </row>
    <row r="306" spans="1:10" ht="18" customHeight="1" x14ac:dyDescent="0.3">
      <c r="A306" s="171">
        <v>302</v>
      </c>
      <c r="B306" s="171" t="s">
        <v>3970</v>
      </c>
      <c r="C306" s="172">
        <v>46234</v>
      </c>
      <c r="D306" s="173" t="s">
        <v>3971</v>
      </c>
      <c r="E306" s="172">
        <v>46234</v>
      </c>
      <c r="F306" s="173" t="s">
        <v>3972</v>
      </c>
      <c r="G306" s="174" t="s">
        <v>143</v>
      </c>
      <c r="H306" s="175">
        <v>13880</v>
      </c>
      <c r="I306" s="175">
        <v>32630</v>
      </c>
      <c r="J306" s="175">
        <v>18750</v>
      </c>
    </row>
    <row r="307" spans="1:10" ht="18" customHeight="1" x14ac:dyDescent="0.3">
      <c r="A307" s="171">
        <v>303</v>
      </c>
      <c r="B307" s="171" t="s">
        <v>3973</v>
      </c>
      <c r="C307" s="172">
        <v>46234</v>
      </c>
      <c r="D307" s="173" t="s">
        <v>3974</v>
      </c>
      <c r="E307" s="172">
        <v>46234</v>
      </c>
      <c r="F307" s="173" t="s">
        <v>458</v>
      </c>
      <c r="G307" s="174" t="s">
        <v>842</v>
      </c>
      <c r="H307" s="175">
        <v>14180</v>
      </c>
      <c r="I307" s="175">
        <v>32770</v>
      </c>
      <c r="J307" s="175">
        <v>18590</v>
      </c>
    </row>
    <row r="308" spans="1:10" ht="18" customHeight="1" x14ac:dyDescent="0.3">
      <c r="A308" s="171">
        <v>304</v>
      </c>
      <c r="B308" s="171" t="s">
        <v>3975</v>
      </c>
      <c r="C308" s="172">
        <v>46234</v>
      </c>
      <c r="D308" s="173" t="s">
        <v>3976</v>
      </c>
      <c r="E308" s="172">
        <v>46234</v>
      </c>
      <c r="F308" s="173" t="s">
        <v>3020</v>
      </c>
      <c r="G308" s="174" t="s">
        <v>64</v>
      </c>
      <c r="H308" s="175">
        <v>14020</v>
      </c>
      <c r="I308" s="175">
        <v>34670</v>
      </c>
      <c r="J308" s="175">
        <v>20650</v>
      </c>
    </row>
    <row r="309" spans="1:10" ht="18" customHeight="1" x14ac:dyDescent="0.3">
      <c r="A309" s="171">
        <v>305</v>
      </c>
      <c r="B309" s="171" t="s">
        <v>3977</v>
      </c>
      <c r="C309" s="172">
        <v>46234</v>
      </c>
      <c r="D309" s="173" t="s">
        <v>3978</v>
      </c>
      <c r="E309" s="172">
        <v>46234</v>
      </c>
      <c r="F309" s="173" t="s">
        <v>3979</v>
      </c>
      <c r="G309" s="174" t="s">
        <v>336</v>
      </c>
      <c r="H309" s="175">
        <v>13740</v>
      </c>
      <c r="I309" s="175">
        <v>34140</v>
      </c>
      <c r="J309" s="175">
        <v>20400</v>
      </c>
    </row>
    <row r="310" spans="1:10" ht="18" customHeight="1" x14ac:dyDescent="0.3">
      <c r="A310" s="171">
        <v>306</v>
      </c>
      <c r="B310" s="171" t="s">
        <v>3980</v>
      </c>
      <c r="C310" s="172">
        <v>46234</v>
      </c>
      <c r="D310" s="173" t="s">
        <v>3981</v>
      </c>
      <c r="E310" s="172">
        <v>46234</v>
      </c>
      <c r="F310" s="173" t="s">
        <v>3982</v>
      </c>
      <c r="G310" s="174" t="s">
        <v>55</v>
      </c>
      <c r="H310" s="175">
        <v>13650</v>
      </c>
      <c r="I310" s="175">
        <v>34320</v>
      </c>
      <c r="J310" s="175">
        <v>20670</v>
      </c>
    </row>
    <row r="311" spans="1:10" ht="18" customHeight="1" x14ac:dyDescent="0.3">
      <c r="A311" s="171">
        <v>307</v>
      </c>
      <c r="B311" s="171" t="s">
        <v>3983</v>
      </c>
      <c r="C311" s="172">
        <v>46234</v>
      </c>
      <c r="D311" s="173" t="s">
        <v>3984</v>
      </c>
      <c r="E311" s="172">
        <v>46234</v>
      </c>
      <c r="F311" s="173" t="s">
        <v>3985</v>
      </c>
      <c r="G311" s="174" t="s">
        <v>71</v>
      </c>
      <c r="H311" s="175">
        <v>13800</v>
      </c>
      <c r="I311" s="175">
        <v>34090</v>
      </c>
      <c r="J311" s="175">
        <v>20290</v>
      </c>
    </row>
    <row r="312" spans="1:10" ht="18" customHeight="1" x14ac:dyDescent="0.3">
      <c r="A312" s="171">
        <v>308</v>
      </c>
      <c r="B312" s="171" t="s">
        <v>3986</v>
      </c>
      <c r="C312" s="172">
        <v>46234</v>
      </c>
      <c r="D312" s="173" t="s">
        <v>3987</v>
      </c>
      <c r="E312" s="172">
        <v>46234</v>
      </c>
      <c r="F312" s="173" t="s">
        <v>3988</v>
      </c>
      <c r="G312" s="174" t="s">
        <v>841</v>
      </c>
      <c r="H312" s="175">
        <v>14100</v>
      </c>
      <c r="I312" s="175">
        <v>35160</v>
      </c>
      <c r="J312" s="175">
        <v>21060</v>
      </c>
    </row>
    <row r="313" spans="1:10" ht="18" customHeight="1" x14ac:dyDescent="0.3">
      <c r="A313" s="171">
        <v>309</v>
      </c>
      <c r="B313" s="171" t="s">
        <v>3989</v>
      </c>
      <c r="C313" s="172">
        <v>46234</v>
      </c>
      <c r="D313" s="173" t="s">
        <v>3990</v>
      </c>
      <c r="E313" s="172">
        <v>46234</v>
      </c>
      <c r="F313" s="173" t="s">
        <v>3991</v>
      </c>
      <c r="G313" s="174" t="s">
        <v>839</v>
      </c>
      <c r="H313" s="175">
        <v>14070</v>
      </c>
      <c r="I313" s="175">
        <v>33700</v>
      </c>
      <c r="J313" s="175">
        <v>19630</v>
      </c>
    </row>
    <row r="314" spans="1:10" ht="18" customHeight="1" x14ac:dyDescent="0.3">
      <c r="A314" s="171">
        <v>310</v>
      </c>
      <c r="B314" s="171" t="s">
        <v>3992</v>
      </c>
      <c r="C314" s="172">
        <v>46234</v>
      </c>
      <c r="D314" s="173" t="s">
        <v>3993</v>
      </c>
      <c r="E314" s="172">
        <v>46234</v>
      </c>
      <c r="F314" s="173" t="s">
        <v>3994</v>
      </c>
      <c r="G314" s="174" t="s">
        <v>76</v>
      </c>
      <c r="H314" s="175">
        <v>13740</v>
      </c>
      <c r="I314" s="175">
        <v>33580</v>
      </c>
      <c r="J314" s="175">
        <v>19840</v>
      </c>
    </row>
    <row r="315" spans="1:10" ht="18" customHeight="1" x14ac:dyDescent="0.3">
      <c r="A315" s="171">
        <v>311</v>
      </c>
      <c r="B315" s="171" t="s">
        <v>3995</v>
      </c>
      <c r="C315" s="172">
        <v>46234</v>
      </c>
      <c r="D315" s="173" t="s">
        <v>3996</v>
      </c>
      <c r="E315" s="172">
        <v>46234</v>
      </c>
      <c r="F315" s="173" t="s">
        <v>3997</v>
      </c>
      <c r="G315" s="174" t="s">
        <v>537</v>
      </c>
      <c r="H315" s="175">
        <v>13910</v>
      </c>
      <c r="I315" s="175">
        <v>32570</v>
      </c>
      <c r="J315" s="175">
        <v>18660</v>
      </c>
    </row>
    <row r="316" spans="1:10" ht="18" customHeight="1" x14ac:dyDescent="0.3">
      <c r="A316" s="171">
        <v>312</v>
      </c>
      <c r="B316" s="171" t="s">
        <v>3998</v>
      </c>
      <c r="C316" s="172">
        <v>46234</v>
      </c>
      <c r="D316" s="173" t="s">
        <v>3999</v>
      </c>
      <c r="E316" s="172">
        <v>46234</v>
      </c>
      <c r="F316" s="173" t="s">
        <v>4000</v>
      </c>
      <c r="G316" s="174" t="s">
        <v>43</v>
      </c>
      <c r="H316" s="175">
        <v>14060</v>
      </c>
      <c r="I316" s="175">
        <v>34050</v>
      </c>
      <c r="J316" s="175">
        <v>19990</v>
      </c>
    </row>
    <row r="317" spans="1:10" ht="18" customHeight="1" x14ac:dyDescent="0.3">
      <c r="A317" s="171">
        <v>313</v>
      </c>
      <c r="B317" s="171" t="s">
        <v>4001</v>
      </c>
      <c r="C317" s="172">
        <v>46234</v>
      </c>
      <c r="D317" s="173" t="s">
        <v>4002</v>
      </c>
      <c r="E317" s="172">
        <v>46234</v>
      </c>
      <c r="F317" s="173" t="s">
        <v>4003</v>
      </c>
      <c r="G317" s="174" t="s">
        <v>90</v>
      </c>
      <c r="H317" s="175">
        <v>13830</v>
      </c>
      <c r="I317" s="175">
        <v>32860</v>
      </c>
      <c r="J317" s="175">
        <v>19030</v>
      </c>
    </row>
    <row r="318" spans="1:10" ht="18" customHeight="1" x14ac:dyDescent="0.3">
      <c r="A318" s="171">
        <v>314</v>
      </c>
      <c r="B318" s="171" t="s">
        <v>4004</v>
      </c>
      <c r="C318" s="172">
        <v>46234</v>
      </c>
      <c r="D318" s="173" t="s">
        <v>4005</v>
      </c>
      <c r="E318" s="172">
        <v>46234</v>
      </c>
      <c r="F318" s="173" t="s">
        <v>4006</v>
      </c>
      <c r="G318" s="174" t="s">
        <v>143</v>
      </c>
      <c r="H318" s="175">
        <v>13900</v>
      </c>
      <c r="I318" s="175">
        <v>33220</v>
      </c>
      <c r="J318" s="175">
        <v>19320</v>
      </c>
    </row>
    <row r="319" spans="1:10" ht="18" customHeight="1" x14ac:dyDescent="0.3">
      <c r="A319" s="171">
        <v>315</v>
      </c>
      <c r="B319" s="171" t="s">
        <v>4007</v>
      </c>
      <c r="C319" s="172">
        <v>46234</v>
      </c>
      <c r="D319" s="173" t="s">
        <v>4008</v>
      </c>
      <c r="E319" s="172">
        <v>46234</v>
      </c>
      <c r="F319" s="173" t="s">
        <v>4009</v>
      </c>
      <c r="G319" s="174" t="s">
        <v>842</v>
      </c>
      <c r="H319" s="175">
        <v>14230</v>
      </c>
      <c r="I319" s="175">
        <v>34210</v>
      </c>
      <c r="J319" s="175">
        <v>19980</v>
      </c>
    </row>
    <row r="320" spans="1:10" ht="18" customHeight="1" x14ac:dyDescent="0.3">
      <c r="A320" s="171">
        <v>316</v>
      </c>
      <c r="B320" s="171" t="s">
        <v>4010</v>
      </c>
      <c r="C320" s="172">
        <v>46234</v>
      </c>
      <c r="D320" s="173" t="s">
        <v>4011</v>
      </c>
      <c r="E320" s="172">
        <v>46234</v>
      </c>
      <c r="F320" s="173" t="s">
        <v>4012</v>
      </c>
      <c r="G320" s="174" t="s">
        <v>64</v>
      </c>
      <c r="H320" s="175">
        <v>14030</v>
      </c>
      <c r="I320" s="175">
        <v>34190</v>
      </c>
      <c r="J320" s="175">
        <v>20160</v>
      </c>
    </row>
    <row r="321" spans="1:10" ht="18" customHeight="1" x14ac:dyDescent="0.3">
      <c r="A321" s="171">
        <v>317</v>
      </c>
      <c r="B321" s="171" t="s">
        <v>4013</v>
      </c>
      <c r="C321" s="172">
        <v>46234</v>
      </c>
      <c r="D321" s="173" t="s">
        <v>4014</v>
      </c>
      <c r="E321" s="172">
        <v>46234</v>
      </c>
      <c r="F321" s="173" t="s">
        <v>4015</v>
      </c>
      <c r="G321" s="174" t="s">
        <v>80</v>
      </c>
      <c r="H321" s="175">
        <v>14240</v>
      </c>
      <c r="I321" s="175">
        <v>34860</v>
      </c>
      <c r="J321" s="175">
        <v>20620</v>
      </c>
    </row>
    <row r="322" spans="1:10" ht="18" customHeight="1" x14ac:dyDescent="0.3">
      <c r="A322" s="171">
        <v>318</v>
      </c>
      <c r="B322" s="171" t="s">
        <v>4016</v>
      </c>
      <c r="C322" s="172">
        <v>46234</v>
      </c>
      <c r="D322" s="173" t="s">
        <v>4017</v>
      </c>
      <c r="E322" s="172">
        <v>46234</v>
      </c>
      <c r="F322" s="173" t="s">
        <v>3624</v>
      </c>
      <c r="G322" s="174" t="s">
        <v>71</v>
      </c>
      <c r="H322" s="175">
        <v>14060</v>
      </c>
      <c r="I322" s="175">
        <v>34690</v>
      </c>
      <c r="J322" s="175">
        <v>20630</v>
      </c>
    </row>
    <row r="323" spans="1:10" ht="18" customHeight="1" x14ac:dyDescent="0.3">
      <c r="A323" s="171">
        <v>319</v>
      </c>
      <c r="B323" s="171" t="s">
        <v>4018</v>
      </c>
      <c r="C323" s="172">
        <v>46234</v>
      </c>
      <c r="D323" s="173" t="s">
        <v>4019</v>
      </c>
      <c r="E323" s="172">
        <v>46234</v>
      </c>
      <c r="F323" s="173" t="s">
        <v>4020</v>
      </c>
      <c r="G323" s="174" t="s">
        <v>841</v>
      </c>
      <c r="H323" s="175">
        <v>14100</v>
      </c>
      <c r="I323" s="175">
        <v>34250</v>
      </c>
      <c r="J323" s="175">
        <v>20150</v>
      </c>
    </row>
    <row r="324" spans="1:10" ht="18" customHeight="1" x14ac:dyDescent="0.3">
      <c r="A324" s="171">
        <v>320</v>
      </c>
      <c r="B324" s="171" t="s">
        <v>4021</v>
      </c>
      <c r="C324" s="172">
        <v>46234</v>
      </c>
      <c r="D324" s="173" t="s">
        <v>4022</v>
      </c>
      <c r="E324" s="172">
        <v>46234</v>
      </c>
      <c r="F324" s="173" t="s">
        <v>4023</v>
      </c>
      <c r="G324" s="174" t="s">
        <v>90</v>
      </c>
      <c r="H324" s="175">
        <v>13820</v>
      </c>
      <c r="I324" s="175">
        <v>34200</v>
      </c>
      <c r="J324" s="175">
        <v>20380</v>
      </c>
    </row>
    <row r="325" spans="1:10" ht="18" customHeight="1" x14ac:dyDescent="0.3">
      <c r="A325" s="171">
        <v>321</v>
      </c>
      <c r="B325" s="171" t="s">
        <v>4024</v>
      </c>
      <c r="C325" s="172">
        <v>46234</v>
      </c>
      <c r="D325" s="173" t="s">
        <v>4025</v>
      </c>
      <c r="E325" s="172">
        <v>46234</v>
      </c>
      <c r="F325" s="173" t="s">
        <v>4026</v>
      </c>
      <c r="G325" s="174" t="s">
        <v>143</v>
      </c>
      <c r="H325" s="175">
        <v>13870</v>
      </c>
      <c r="I325" s="175">
        <v>33490</v>
      </c>
      <c r="J325" s="175">
        <v>19620</v>
      </c>
    </row>
    <row r="326" spans="1:10" ht="18" customHeight="1" x14ac:dyDescent="0.3">
      <c r="A326" s="171">
        <v>322</v>
      </c>
      <c r="B326" s="171">
        <v>4470</v>
      </c>
      <c r="C326" s="172">
        <v>46233</v>
      </c>
      <c r="D326" s="173" t="s">
        <v>4027</v>
      </c>
      <c r="E326" s="172">
        <v>46233</v>
      </c>
      <c r="F326" s="173" t="s">
        <v>4027</v>
      </c>
      <c r="G326" s="174" t="s">
        <v>55</v>
      </c>
      <c r="H326" s="175">
        <v>13800</v>
      </c>
      <c r="I326" s="175">
        <v>34990</v>
      </c>
      <c r="J326" s="175">
        <v>21190</v>
      </c>
    </row>
    <row r="327" spans="1:10" x14ac:dyDescent="0.3">
      <c r="A327" s="271" t="s">
        <v>320</v>
      </c>
      <c r="B327" s="271"/>
      <c r="C327" s="271"/>
      <c r="D327" s="271"/>
      <c r="E327" s="271"/>
      <c r="F327" s="271"/>
      <c r="G327" s="271"/>
      <c r="H327" s="271"/>
      <c r="I327" s="271"/>
      <c r="J327" s="176">
        <f>SUM(J5:J326)</f>
        <v>6303800</v>
      </c>
    </row>
    <row r="328" spans="1:10" x14ac:dyDescent="0.3">
      <c r="A328" s="110"/>
      <c r="B328" s="110"/>
      <c r="C328" s="104"/>
      <c r="D328" s="101"/>
      <c r="E328" s="101"/>
      <c r="F328" s="101"/>
      <c r="G328" s="268" t="s">
        <v>4029</v>
      </c>
      <c r="H328" s="268"/>
      <c r="I328" s="268"/>
      <c r="J328" s="268"/>
    </row>
    <row r="329" spans="1:10" x14ac:dyDescent="0.3">
      <c r="A329" s="262" t="s">
        <v>333</v>
      </c>
      <c r="B329" s="262"/>
      <c r="C329" s="262"/>
      <c r="D329" s="262"/>
      <c r="E329" s="262"/>
      <c r="F329" s="262"/>
      <c r="G329" s="263" t="s">
        <v>45</v>
      </c>
      <c r="H329" s="263"/>
      <c r="I329" s="263"/>
      <c r="J329" s="263"/>
    </row>
    <row r="330" spans="1:10" x14ac:dyDescent="0.3">
      <c r="A330" s="111"/>
      <c r="B330" s="263" t="s">
        <v>829</v>
      </c>
      <c r="C330" s="263"/>
      <c r="D330" s="263" t="s">
        <v>325</v>
      </c>
      <c r="E330" s="263"/>
      <c r="F330" s="198"/>
      <c r="G330" s="263" t="s">
        <v>830</v>
      </c>
      <c r="H330" s="263"/>
      <c r="I330" s="263" t="s">
        <v>325</v>
      </c>
      <c r="J330" s="263"/>
    </row>
    <row r="331" spans="1:10" x14ac:dyDescent="0.3">
      <c r="A331" s="112"/>
      <c r="B331" s="112"/>
      <c r="C331" s="199"/>
      <c r="D331" s="103"/>
      <c r="E331" s="103"/>
      <c r="F331" s="103"/>
      <c r="G331" s="103"/>
      <c r="H331" s="200"/>
      <c r="I331" s="200"/>
      <c r="J331" s="103"/>
    </row>
    <row r="332" spans="1:10" x14ac:dyDescent="0.3">
      <c r="A332" s="112"/>
      <c r="B332" s="112"/>
      <c r="C332" s="199"/>
      <c r="D332" s="103"/>
      <c r="E332" s="103"/>
      <c r="F332" s="103"/>
      <c r="G332" s="103"/>
      <c r="H332" s="200"/>
      <c r="I332" s="200"/>
      <c r="J332" s="103"/>
    </row>
    <row r="333" spans="1:10" x14ac:dyDescent="0.3">
      <c r="A333" s="112"/>
      <c r="B333" s="112"/>
      <c r="C333" s="199"/>
      <c r="D333" s="103"/>
      <c r="E333" s="103"/>
      <c r="F333" s="103"/>
      <c r="G333" s="103"/>
      <c r="H333" s="200"/>
      <c r="I333" s="200"/>
      <c r="J333" s="103"/>
    </row>
    <row r="334" spans="1:10" x14ac:dyDescent="0.3">
      <c r="A334" s="112"/>
      <c r="B334" s="263"/>
      <c r="C334" s="263"/>
      <c r="D334" s="263" t="s">
        <v>836</v>
      </c>
      <c r="E334" s="263"/>
      <c r="F334" s="103"/>
      <c r="G334" s="103"/>
      <c r="H334" s="200"/>
      <c r="I334" s="200"/>
      <c r="J334" s="103"/>
    </row>
    <row r="335" spans="1:10" x14ac:dyDescent="0.3">
      <c r="A335" s="113"/>
      <c r="B335" s="263" t="s">
        <v>832</v>
      </c>
      <c r="C335" s="263"/>
      <c r="D335" s="263"/>
      <c r="E335" s="263"/>
      <c r="F335" s="102"/>
      <c r="G335" s="263" t="s">
        <v>833</v>
      </c>
      <c r="H335" s="263"/>
      <c r="I335" s="269" t="s">
        <v>831</v>
      </c>
      <c r="J335" s="269"/>
    </row>
  </sheetData>
  <mergeCells count="16">
    <mergeCell ref="A329:F329"/>
    <mergeCell ref="G329:J329"/>
    <mergeCell ref="A1:F1"/>
    <mergeCell ref="A2:F2"/>
    <mergeCell ref="A3:J3"/>
    <mergeCell ref="A327:I327"/>
    <mergeCell ref="G328:J328"/>
    <mergeCell ref="B330:C330"/>
    <mergeCell ref="D330:E330"/>
    <mergeCell ref="G330:H330"/>
    <mergeCell ref="I330:J330"/>
    <mergeCell ref="B334:C334"/>
    <mergeCell ref="D334:E335"/>
    <mergeCell ref="B335:C335"/>
    <mergeCell ref="G335:H335"/>
    <mergeCell ref="I335:J335"/>
  </mergeCells>
  <pageMargins left="0.7" right="0.7" top="0.75" bottom="0.75" header="0.3" footer="0.3"/>
  <pageSetup paperSize="9" scale="62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C2A6-5B9E-4FAC-A140-D4727A45352D}">
  <sheetPr>
    <pageSetUpPr fitToPage="1"/>
  </sheetPr>
  <dimension ref="A1:AB14"/>
  <sheetViews>
    <sheetView tabSelected="1" topLeftCell="H1" zoomScale="85" zoomScaleNormal="85" workbookViewId="0">
      <selection activeCell="K6" sqref="K6"/>
    </sheetView>
  </sheetViews>
  <sheetFormatPr defaultRowHeight="18.75" x14ac:dyDescent="0.3"/>
  <cols>
    <col min="1" max="1" width="5.77734375" style="152" customWidth="1"/>
    <col min="2" max="2" width="9.33203125" style="152" customWidth="1"/>
    <col min="3" max="3" width="22.77734375" style="152" customWidth="1"/>
    <col min="4" max="4" width="8.109375" style="153" customWidth="1"/>
    <col min="5" max="5" width="10.77734375" style="154" customWidth="1"/>
    <col min="6" max="6" width="10.88671875" style="155" customWidth="1"/>
    <col min="7" max="7" width="10.5546875" style="152" customWidth="1"/>
    <col min="8" max="8" width="9.21875" style="155" customWidth="1"/>
    <col min="9" max="9" width="11.77734375" style="155" customWidth="1"/>
    <col min="10" max="10" width="9.44140625" style="155" customWidth="1"/>
    <col min="11" max="11" width="11.88671875" style="155" customWidth="1"/>
    <col min="12" max="12" width="15.109375" style="155" customWidth="1"/>
    <col min="13" max="13" width="10.5546875" style="155" customWidth="1"/>
    <col min="14" max="14" width="10.77734375" style="155" customWidth="1"/>
    <col min="15" max="15" width="11.21875" style="155" customWidth="1"/>
    <col min="16" max="16" width="10.33203125" style="155" customWidth="1"/>
    <col min="17" max="17" width="13.6640625" style="155" customWidth="1"/>
    <col min="18" max="18" width="15.33203125" style="155" bestFit="1" customWidth="1"/>
    <col min="19" max="19" width="8.88671875" style="155" customWidth="1"/>
    <col min="20" max="20" width="9.88671875" style="155" customWidth="1"/>
    <col min="21" max="24" width="9.88671875" style="156" customWidth="1"/>
    <col min="25" max="25" width="11.44140625" style="156" customWidth="1"/>
    <col min="26" max="26" width="10.33203125" style="156" customWidth="1"/>
    <col min="27" max="27" width="18.33203125" style="153" bestFit="1" customWidth="1"/>
    <col min="28" max="28" width="19.77734375" style="154" bestFit="1" customWidth="1"/>
    <col min="29" max="29" width="15.77734375" style="152" customWidth="1"/>
    <col min="30" max="30" width="13.88671875" style="152" bestFit="1" customWidth="1"/>
    <col min="31" max="31" width="16.33203125" style="152" bestFit="1" customWidth="1"/>
    <col min="32" max="32" width="20.109375" style="152" bestFit="1" customWidth="1"/>
    <col min="33" max="33" width="9.5546875" style="152" bestFit="1" customWidth="1"/>
    <col min="34" max="34" width="20.6640625" style="152" bestFit="1" customWidth="1"/>
    <col min="35" max="35" width="19.6640625" style="152" bestFit="1" customWidth="1"/>
    <col min="36" max="36" width="9.5546875" style="152" bestFit="1" customWidth="1"/>
    <col min="37" max="37" width="15.6640625" style="152" bestFit="1" customWidth="1"/>
    <col min="38" max="16384" width="8.88671875" style="152"/>
  </cols>
  <sheetData>
    <row r="1" spans="1:28" x14ac:dyDescent="0.3">
      <c r="A1" s="4" t="s">
        <v>4036</v>
      </c>
    </row>
    <row r="3" spans="1:28" x14ac:dyDescent="0.3">
      <c r="A3" s="4" t="s">
        <v>32</v>
      </c>
    </row>
    <row r="4" spans="1:28" ht="24.6" customHeight="1" x14ac:dyDescent="0.3"/>
    <row r="5" spans="1:28" ht="119.1" customHeight="1" x14ac:dyDescent="0.3">
      <c r="A5" s="157" t="s">
        <v>34</v>
      </c>
      <c r="B5" s="158" t="s">
        <v>41</v>
      </c>
      <c r="C5" s="158" t="s">
        <v>33</v>
      </c>
      <c r="D5" s="159" t="s">
        <v>35</v>
      </c>
      <c r="E5" s="159" t="s">
        <v>25</v>
      </c>
      <c r="F5" s="159" t="s">
        <v>26</v>
      </c>
      <c r="G5" s="159" t="s">
        <v>36</v>
      </c>
      <c r="H5" s="160" t="s">
        <v>27</v>
      </c>
      <c r="I5" s="159" t="s">
        <v>37</v>
      </c>
      <c r="J5" s="158" t="s">
        <v>28</v>
      </c>
      <c r="K5" s="159" t="s">
        <v>38</v>
      </c>
      <c r="L5" s="159" t="s">
        <v>39</v>
      </c>
      <c r="M5" s="158" t="s">
        <v>29</v>
      </c>
      <c r="N5" s="159" t="s">
        <v>19</v>
      </c>
      <c r="O5" s="159" t="s">
        <v>40</v>
      </c>
      <c r="P5" s="158" t="s">
        <v>30</v>
      </c>
      <c r="Q5" s="161" t="s">
        <v>31</v>
      </c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 spans="1:28" s="170" customFormat="1" ht="47.25" customHeight="1" x14ac:dyDescent="0.3">
      <c r="A6" s="162">
        <v>1</v>
      </c>
      <c r="B6" s="243" t="s">
        <v>4031</v>
      </c>
      <c r="C6" s="163" t="s">
        <v>4032</v>
      </c>
      <c r="D6" s="163">
        <v>144</v>
      </c>
      <c r="E6" s="244">
        <v>46283</v>
      </c>
      <c r="F6" s="244">
        <v>46288</v>
      </c>
      <c r="G6" s="164">
        <v>115000</v>
      </c>
      <c r="H6" s="165">
        <v>100</v>
      </c>
      <c r="I6" s="214">
        <v>1870.38</v>
      </c>
      <c r="J6" s="166">
        <v>5088.3500000000004</v>
      </c>
      <c r="K6" s="163">
        <v>0.4</v>
      </c>
      <c r="L6" s="214">
        <v>5760</v>
      </c>
      <c r="M6" s="167">
        <v>671.64999999999964</v>
      </c>
      <c r="N6" s="164">
        <v>29490.76923076923</v>
      </c>
      <c r="O6" s="244">
        <v>46287</v>
      </c>
      <c r="P6" s="168">
        <v>10590.080707581425</v>
      </c>
      <c r="Q6" s="169">
        <v>125600</v>
      </c>
    </row>
    <row r="10" spans="1:28" x14ac:dyDescent="0.3">
      <c r="A10" s="4"/>
      <c r="B10" s="4"/>
      <c r="C10" s="4" t="s">
        <v>323</v>
      </c>
      <c r="D10" s="8"/>
      <c r="E10" s="5"/>
      <c r="F10" s="6"/>
      <c r="G10" s="4"/>
      <c r="H10" s="6"/>
      <c r="I10" s="6"/>
      <c r="J10" s="6"/>
      <c r="K10" s="6"/>
      <c r="L10" s="6" t="s">
        <v>45</v>
      </c>
      <c r="M10" s="6"/>
      <c r="N10" s="6"/>
      <c r="O10" s="6"/>
      <c r="P10" s="6"/>
      <c r="Q10" s="6"/>
      <c r="R10" s="6"/>
      <c r="S10" s="6"/>
      <c r="T10" s="6"/>
      <c r="U10" s="7"/>
      <c r="V10" s="7"/>
    </row>
    <row r="11" spans="1:28" x14ac:dyDescent="0.3">
      <c r="C11" s="249" t="s">
        <v>326</v>
      </c>
      <c r="D11" s="249"/>
      <c r="E11" s="249"/>
      <c r="L11" s="249" t="s">
        <v>326</v>
      </c>
      <c r="M11" s="249"/>
      <c r="N11" s="249"/>
    </row>
    <row r="12" spans="1:28" ht="37.5" customHeight="1" x14ac:dyDescent="0.3"/>
    <row r="13" spans="1:28" ht="37.5" customHeight="1" x14ac:dyDescent="0.3"/>
    <row r="14" spans="1:28" x14ac:dyDescent="0.3">
      <c r="C14" s="250" t="s">
        <v>832</v>
      </c>
      <c r="D14" s="250"/>
      <c r="E14" s="250"/>
      <c r="L14" s="250" t="s">
        <v>833</v>
      </c>
      <c r="M14" s="250"/>
      <c r="N14" s="250"/>
    </row>
  </sheetData>
  <mergeCells count="4">
    <mergeCell ref="C11:E11"/>
    <mergeCell ref="L11:N11"/>
    <mergeCell ref="C14:E14"/>
    <mergeCell ref="L14:N14"/>
  </mergeCells>
  <pageMargins left="0.7" right="0.7" top="0.75" bottom="0.75" header="0.3" footer="0.3"/>
  <pageSetup paperSize="9" scale="54" fitToHeight="0" orientation="landscape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8"/>
  <sheetViews>
    <sheetView zoomScale="95" zoomScaleNormal="95" workbookViewId="0">
      <selection activeCell="C7" sqref="C7"/>
    </sheetView>
  </sheetViews>
  <sheetFormatPr defaultRowHeight="15.75" x14ac:dyDescent="0.25"/>
  <cols>
    <col min="1" max="1" width="7.109375" style="10" customWidth="1"/>
    <col min="2" max="2" width="9.109375" style="10" customWidth="1"/>
    <col min="3" max="3" width="13.5546875" style="9" bestFit="1" customWidth="1"/>
    <col min="4" max="4" width="9.77734375" style="9" customWidth="1"/>
    <col min="5" max="5" width="11.6640625" style="9" customWidth="1"/>
    <col min="6" max="6" width="10.44140625" style="9" customWidth="1"/>
    <col min="7" max="7" width="14" style="9" customWidth="1"/>
    <col min="8" max="9" width="10.44140625" style="9" customWidth="1"/>
    <col min="10" max="10" width="12.33203125" style="9" bestFit="1" customWidth="1"/>
    <col min="11" max="11" width="13.5546875" style="9" bestFit="1" customWidth="1"/>
    <col min="12" max="12" width="21.77734375" style="9" bestFit="1" customWidth="1"/>
    <col min="13" max="26" width="11" style="9" bestFit="1" customWidth="1"/>
    <col min="27" max="27" width="21.77734375" style="9" bestFit="1" customWidth="1"/>
    <col min="28" max="42" width="11" style="9" bestFit="1" customWidth="1"/>
    <col min="43" max="43" width="23.88671875" style="9" bestFit="1" customWidth="1"/>
    <col min="44" max="44" width="27.33203125" style="9" bestFit="1" customWidth="1"/>
    <col min="45" max="16384" width="8.88671875" style="9"/>
  </cols>
  <sheetData>
    <row r="1" spans="1:16" x14ac:dyDescent="0.25">
      <c r="A1" s="10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21</v>
      </c>
      <c r="P1" s="9" t="s">
        <v>23</v>
      </c>
    </row>
    <row r="2" spans="1:16" ht="18.75" x14ac:dyDescent="0.3">
      <c r="A2" s="215">
        <v>1</v>
      </c>
      <c r="B2" s="227" t="s">
        <v>4037</v>
      </c>
      <c r="C2" s="246">
        <v>46283</v>
      </c>
      <c r="D2" s="219" t="s">
        <v>4038</v>
      </c>
      <c r="E2" s="246">
        <v>46283</v>
      </c>
      <c r="F2" s="219" t="s">
        <v>1467</v>
      </c>
      <c r="G2" s="219" t="s">
        <v>336</v>
      </c>
      <c r="H2" s="224">
        <v>13810</v>
      </c>
      <c r="I2" s="224">
        <v>31280</v>
      </c>
      <c r="J2" s="224">
        <v>17470</v>
      </c>
      <c r="K2" s="228" t="s">
        <v>4039</v>
      </c>
      <c r="L2" s="219" t="s">
        <v>4040</v>
      </c>
      <c r="M2" s="225" t="s">
        <v>4334</v>
      </c>
      <c r="N2" s="32" t="s">
        <v>4034</v>
      </c>
      <c r="O2" s="99" t="s">
        <v>4031</v>
      </c>
      <c r="P2" s="99" t="s">
        <v>4033</v>
      </c>
    </row>
    <row r="3" spans="1:16" ht="18.75" x14ac:dyDescent="0.3">
      <c r="A3" s="226">
        <v>2</v>
      </c>
      <c r="B3" s="227" t="s">
        <v>4041</v>
      </c>
      <c r="C3" s="246">
        <v>46283</v>
      </c>
      <c r="D3" s="219" t="s">
        <v>4042</v>
      </c>
      <c r="E3" s="246">
        <v>46283</v>
      </c>
      <c r="F3" s="219" t="s">
        <v>4043</v>
      </c>
      <c r="G3" s="219" t="s">
        <v>337</v>
      </c>
      <c r="H3" s="224">
        <v>14040</v>
      </c>
      <c r="I3" s="224">
        <v>30750</v>
      </c>
      <c r="J3" s="224">
        <v>16710</v>
      </c>
      <c r="K3" s="228" t="s">
        <v>4039</v>
      </c>
      <c r="L3" s="219" t="s">
        <v>4040</v>
      </c>
      <c r="M3" s="225" t="s">
        <v>4334</v>
      </c>
      <c r="N3" s="32" t="s">
        <v>4034</v>
      </c>
      <c r="O3" s="99" t="s">
        <v>4031</v>
      </c>
      <c r="P3" s="99" t="s">
        <v>4033</v>
      </c>
    </row>
    <row r="4" spans="1:16" ht="18.75" x14ac:dyDescent="0.3">
      <c r="A4" s="215">
        <v>3</v>
      </c>
      <c r="B4" s="227" t="s">
        <v>4044</v>
      </c>
      <c r="C4" s="246">
        <v>46283</v>
      </c>
      <c r="D4" s="219" t="s">
        <v>4045</v>
      </c>
      <c r="E4" s="246">
        <v>46283</v>
      </c>
      <c r="F4" s="219" t="s">
        <v>4046</v>
      </c>
      <c r="G4" s="219" t="s">
        <v>43</v>
      </c>
      <c r="H4" s="224">
        <v>14050</v>
      </c>
      <c r="I4" s="224">
        <v>30570</v>
      </c>
      <c r="J4" s="224">
        <v>16520</v>
      </c>
      <c r="K4" s="228" t="s">
        <v>4039</v>
      </c>
      <c r="L4" s="219" t="s">
        <v>4040</v>
      </c>
      <c r="M4" s="225" t="s">
        <v>4334</v>
      </c>
      <c r="N4" s="32" t="s">
        <v>4034</v>
      </c>
      <c r="O4" s="99" t="s">
        <v>4031</v>
      </c>
      <c r="P4" s="99" t="s">
        <v>4033</v>
      </c>
    </row>
    <row r="5" spans="1:16" ht="18.75" x14ac:dyDescent="0.3">
      <c r="A5" s="226">
        <v>4</v>
      </c>
      <c r="B5" s="227" t="s">
        <v>4047</v>
      </c>
      <c r="C5" s="246">
        <v>46283</v>
      </c>
      <c r="D5" s="219" t="s">
        <v>4048</v>
      </c>
      <c r="E5" s="246">
        <v>46283</v>
      </c>
      <c r="F5" s="219" t="s">
        <v>4049</v>
      </c>
      <c r="G5" s="219" t="s">
        <v>842</v>
      </c>
      <c r="H5" s="224">
        <v>14080</v>
      </c>
      <c r="I5" s="224">
        <v>31110</v>
      </c>
      <c r="J5" s="224">
        <v>17030</v>
      </c>
      <c r="K5" s="228" t="s">
        <v>4039</v>
      </c>
      <c r="L5" s="219" t="s">
        <v>4040</v>
      </c>
      <c r="M5" s="225" t="s">
        <v>4334</v>
      </c>
      <c r="N5" s="32" t="s">
        <v>4034</v>
      </c>
      <c r="O5" s="99" t="s">
        <v>4031</v>
      </c>
      <c r="P5" s="99" t="s">
        <v>4033</v>
      </c>
    </row>
    <row r="6" spans="1:16" ht="18.75" x14ac:dyDescent="0.3">
      <c r="A6" s="215">
        <v>5</v>
      </c>
      <c r="B6" s="227" t="s">
        <v>4050</v>
      </c>
      <c r="C6" s="246">
        <v>46283</v>
      </c>
      <c r="D6" s="219" t="s">
        <v>4051</v>
      </c>
      <c r="E6" s="246">
        <v>46283</v>
      </c>
      <c r="F6" s="219" t="s">
        <v>4052</v>
      </c>
      <c r="G6" s="219" t="s">
        <v>335</v>
      </c>
      <c r="H6" s="224">
        <v>13840</v>
      </c>
      <c r="I6" s="224">
        <v>31040</v>
      </c>
      <c r="J6" s="224">
        <v>17200</v>
      </c>
      <c r="K6" s="228" t="s">
        <v>4039</v>
      </c>
      <c r="L6" s="219" t="s">
        <v>4040</v>
      </c>
      <c r="M6" s="225" t="s">
        <v>4334</v>
      </c>
      <c r="N6" s="32" t="s">
        <v>4034</v>
      </c>
      <c r="O6" s="99" t="s">
        <v>4031</v>
      </c>
      <c r="P6" s="99" t="s">
        <v>4033</v>
      </c>
    </row>
    <row r="7" spans="1:16" ht="18.75" x14ac:dyDescent="0.3">
      <c r="A7" s="226">
        <v>6</v>
      </c>
      <c r="B7" s="227" t="s">
        <v>4053</v>
      </c>
      <c r="C7" s="246">
        <v>46283</v>
      </c>
      <c r="D7" s="219" t="s">
        <v>4054</v>
      </c>
      <c r="E7" s="246">
        <v>46283</v>
      </c>
      <c r="F7" s="219" t="s">
        <v>4055</v>
      </c>
      <c r="G7" s="219" t="s">
        <v>337</v>
      </c>
      <c r="H7" s="224">
        <v>14070</v>
      </c>
      <c r="I7" s="224">
        <v>30980</v>
      </c>
      <c r="J7" s="224">
        <v>16910</v>
      </c>
      <c r="K7" s="228" t="s">
        <v>4039</v>
      </c>
      <c r="L7" s="219" t="s">
        <v>4040</v>
      </c>
      <c r="M7" s="225" t="s">
        <v>4334</v>
      </c>
      <c r="N7" s="32" t="s">
        <v>4034</v>
      </c>
      <c r="O7" s="99" t="s">
        <v>4031</v>
      </c>
      <c r="P7" s="99" t="s">
        <v>4033</v>
      </c>
    </row>
    <row r="8" spans="1:16" ht="18.75" x14ac:dyDescent="0.3">
      <c r="A8" s="215">
        <v>7</v>
      </c>
      <c r="B8" s="227" t="s">
        <v>4056</v>
      </c>
      <c r="C8" s="246">
        <v>46283</v>
      </c>
      <c r="D8" s="219" t="s">
        <v>4057</v>
      </c>
      <c r="E8" s="246">
        <v>46283</v>
      </c>
      <c r="F8" s="219" t="s">
        <v>4058</v>
      </c>
      <c r="G8" s="219" t="s">
        <v>336</v>
      </c>
      <c r="H8" s="224">
        <v>13780</v>
      </c>
      <c r="I8" s="224">
        <v>30920</v>
      </c>
      <c r="J8" s="224">
        <v>17140</v>
      </c>
      <c r="K8" s="228" t="s">
        <v>4039</v>
      </c>
      <c r="L8" s="219" t="s">
        <v>4040</v>
      </c>
      <c r="M8" s="225" t="s">
        <v>4334</v>
      </c>
      <c r="N8" s="32" t="s">
        <v>4034</v>
      </c>
      <c r="O8" s="99" t="s">
        <v>4031</v>
      </c>
      <c r="P8" s="99" t="s">
        <v>4033</v>
      </c>
    </row>
    <row r="9" spans="1:16" ht="18.75" x14ac:dyDescent="0.3">
      <c r="A9" s="226">
        <v>8</v>
      </c>
      <c r="B9" s="227" t="s">
        <v>4059</v>
      </c>
      <c r="C9" s="246">
        <v>46283</v>
      </c>
      <c r="D9" s="219" t="s">
        <v>179</v>
      </c>
      <c r="E9" s="246">
        <v>46283</v>
      </c>
      <c r="F9" s="219" t="s">
        <v>4060</v>
      </c>
      <c r="G9" s="219" t="s">
        <v>43</v>
      </c>
      <c r="H9" s="224">
        <v>14010</v>
      </c>
      <c r="I9" s="224">
        <v>31060</v>
      </c>
      <c r="J9" s="224">
        <v>17050</v>
      </c>
      <c r="K9" s="228" t="s">
        <v>4039</v>
      </c>
      <c r="L9" s="219" t="s">
        <v>4040</v>
      </c>
      <c r="M9" s="225" t="s">
        <v>4334</v>
      </c>
      <c r="N9" s="32" t="s">
        <v>4034</v>
      </c>
      <c r="O9" s="99" t="s">
        <v>4031</v>
      </c>
      <c r="P9" s="99" t="s">
        <v>4033</v>
      </c>
    </row>
    <row r="10" spans="1:16" ht="18.75" x14ac:dyDescent="0.3">
      <c r="A10" s="215">
        <v>9</v>
      </c>
      <c r="B10" s="227" t="s">
        <v>4061</v>
      </c>
      <c r="C10" s="246">
        <v>46283</v>
      </c>
      <c r="D10" s="219" t="s">
        <v>4062</v>
      </c>
      <c r="E10" s="246">
        <v>46283</v>
      </c>
      <c r="F10" s="219" t="s">
        <v>4063</v>
      </c>
      <c r="G10" s="219" t="s">
        <v>842</v>
      </c>
      <c r="H10" s="224">
        <v>14050</v>
      </c>
      <c r="I10" s="224">
        <v>31100</v>
      </c>
      <c r="J10" s="224">
        <v>17050</v>
      </c>
      <c r="K10" s="228" t="s">
        <v>4039</v>
      </c>
      <c r="L10" s="219" t="s">
        <v>4040</v>
      </c>
      <c r="M10" s="225" t="s">
        <v>4334</v>
      </c>
      <c r="N10" s="32" t="s">
        <v>4034</v>
      </c>
      <c r="O10" s="99" t="s">
        <v>4031</v>
      </c>
      <c r="P10" s="99" t="s">
        <v>4033</v>
      </c>
    </row>
    <row r="11" spans="1:16" ht="18.75" x14ac:dyDescent="0.3">
      <c r="A11" s="226">
        <v>10</v>
      </c>
      <c r="B11" s="227" t="s">
        <v>4064</v>
      </c>
      <c r="C11" s="246">
        <v>46283</v>
      </c>
      <c r="D11" s="219" t="s">
        <v>4065</v>
      </c>
      <c r="E11" s="246">
        <v>46283</v>
      </c>
      <c r="F11" s="219" t="s">
        <v>4066</v>
      </c>
      <c r="G11" s="219" t="s">
        <v>335</v>
      </c>
      <c r="H11" s="224">
        <v>14040</v>
      </c>
      <c r="I11" s="224">
        <v>31010</v>
      </c>
      <c r="J11" s="224">
        <v>16970</v>
      </c>
      <c r="K11" s="228" t="s">
        <v>4039</v>
      </c>
      <c r="L11" s="219" t="s">
        <v>4040</v>
      </c>
      <c r="M11" s="225" t="s">
        <v>4334</v>
      </c>
      <c r="N11" s="32" t="s">
        <v>4034</v>
      </c>
      <c r="O11" s="99" t="s">
        <v>4031</v>
      </c>
      <c r="P11" s="99" t="s">
        <v>4033</v>
      </c>
    </row>
    <row r="12" spans="1:16" ht="18.75" x14ac:dyDescent="0.3">
      <c r="A12" s="215">
        <v>11</v>
      </c>
      <c r="B12" s="227" t="s">
        <v>4067</v>
      </c>
      <c r="C12" s="246">
        <v>46283</v>
      </c>
      <c r="D12" s="219" t="s">
        <v>4068</v>
      </c>
      <c r="E12" s="246">
        <v>46283</v>
      </c>
      <c r="F12" s="219" t="s">
        <v>4069</v>
      </c>
      <c r="G12" s="219" t="s">
        <v>336</v>
      </c>
      <c r="H12" s="224">
        <v>13770</v>
      </c>
      <c r="I12" s="224">
        <v>31390</v>
      </c>
      <c r="J12" s="224">
        <v>17620</v>
      </c>
      <c r="K12" s="228" t="s">
        <v>4039</v>
      </c>
      <c r="L12" s="219" t="s">
        <v>4040</v>
      </c>
      <c r="M12" s="225" t="s">
        <v>4334</v>
      </c>
      <c r="N12" s="32" t="s">
        <v>4034</v>
      </c>
      <c r="O12" s="99" t="s">
        <v>4031</v>
      </c>
      <c r="P12" s="99" t="s">
        <v>4033</v>
      </c>
    </row>
    <row r="13" spans="1:16" ht="18.75" x14ac:dyDescent="0.3">
      <c r="A13" s="226">
        <v>12</v>
      </c>
      <c r="B13" s="227" t="s">
        <v>4070</v>
      </c>
      <c r="C13" s="246">
        <v>46283</v>
      </c>
      <c r="D13" s="219" t="s">
        <v>4071</v>
      </c>
      <c r="E13" s="246">
        <v>46283</v>
      </c>
      <c r="F13" s="219" t="s">
        <v>4072</v>
      </c>
      <c r="G13" s="219" t="s">
        <v>43</v>
      </c>
      <c r="H13" s="224">
        <v>14000</v>
      </c>
      <c r="I13" s="224">
        <v>31460</v>
      </c>
      <c r="J13" s="224">
        <v>17460</v>
      </c>
      <c r="K13" s="228" t="s">
        <v>4039</v>
      </c>
      <c r="L13" s="219" t="s">
        <v>4040</v>
      </c>
      <c r="M13" s="225" t="s">
        <v>4334</v>
      </c>
      <c r="N13" s="32" t="s">
        <v>4034</v>
      </c>
      <c r="O13" s="99" t="s">
        <v>4031</v>
      </c>
      <c r="P13" s="99" t="s">
        <v>4033</v>
      </c>
    </row>
    <row r="14" spans="1:16" ht="18.75" x14ac:dyDescent="0.3">
      <c r="A14" s="215">
        <v>13</v>
      </c>
      <c r="B14" s="227" t="s">
        <v>4073</v>
      </c>
      <c r="C14" s="246">
        <v>46283</v>
      </c>
      <c r="D14" s="219" t="s">
        <v>4074</v>
      </c>
      <c r="E14" s="246">
        <v>46283</v>
      </c>
      <c r="F14" s="219" t="s">
        <v>4075</v>
      </c>
      <c r="G14" s="219" t="s">
        <v>337</v>
      </c>
      <c r="H14" s="224">
        <v>13980</v>
      </c>
      <c r="I14" s="224">
        <v>30910</v>
      </c>
      <c r="J14" s="224">
        <v>16930</v>
      </c>
      <c r="K14" s="228" t="s">
        <v>4039</v>
      </c>
      <c r="L14" s="219" t="s">
        <v>4040</v>
      </c>
      <c r="M14" s="225" t="s">
        <v>4334</v>
      </c>
      <c r="N14" s="32" t="s">
        <v>4034</v>
      </c>
      <c r="O14" s="99" t="s">
        <v>4031</v>
      </c>
      <c r="P14" s="99" t="s">
        <v>4033</v>
      </c>
    </row>
    <row r="15" spans="1:16" ht="18.75" x14ac:dyDescent="0.3">
      <c r="A15" s="226">
        <v>14</v>
      </c>
      <c r="B15" s="227" t="s">
        <v>4076</v>
      </c>
      <c r="C15" s="246">
        <v>46283</v>
      </c>
      <c r="D15" s="219" t="s">
        <v>4077</v>
      </c>
      <c r="E15" s="246">
        <v>46283</v>
      </c>
      <c r="F15" s="219" t="s">
        <v>4078</v>
      </c>
      <c r="G15" s="219" t="s">
        <v>842</v>
      </c>
      <c r="H15" s="224">
        <v>14030</v>
      </c>
      <c r="I15" s="224">
        <v>31190</v>
      </c>
      <c r="J15" s="224">
        <v>17160</v>
      </c>
      <c r="K15" s="228" t="s">
        <v>4039</v>
      </c>
      <c r="L15" s="219" t="s">
        <v>4040</v>
      </c>
      <c r="M15" s="225" t="s">
        <v>4334</v>
      </c>
      <c r="N15" s="32" t="s">
        <v>4034</v>
      </c>
      <c r="O15" s="99" t="s">
        <v>4031</v>
      </c>
      <c r="P15" s="99" t="s">
        <v>4033</v>
      </c>
    </row>
    <row r="16" spans="1:16" ht="18.75" x14ac:dyDescent="0.3">
      <c r="A16" s="215">
        <v>15</v>
      </c>
      <c r="B16" s="227" t="s">
        <v>4079</v>
      </c>
      <c r="C16" s="246">
        <v>46283</v>
      </c>
      <c r="D16" s="219" t="s">
        <v>4080</v>
      </c>
      <c r="E16" s="246">
        <v>46283</v>
      </c>
      <c r="F16" s="219" t="s">
        <v>4081</v>
      </c>
      <c r="G16" s="219" t="s">
        <v>335</v>
      </c>
      <c r="H16" s="224">
        <v>14020</v>
      </c>
      <c r="I16" s="224">
        <v>31560</v>
      </c>
      <c r="J16" s="224">
        <v>17540</v>
      </c>
      <c r="K16" s="228" t="s">
        <v>4039</v>
      </c>
      <c r="L16" s="219" t="s">
        <v>4040</v>
      </c>
      <c r="M16" s="225" t="s">
        <v>4334</v>
      </c>
      <c r="N16" s="32" t="s">
        <v>4034</v>
      </c>
      <c r="O16" s="99" t="s">
        <v>4031</v>
      </c>
      <c r="P16" s="99" t="s">
        <v>4033</v>
      </c>
    </row>
    <row r="17" spans="1:16" ht="18.75" x14ac:dyDescent="0.3">
      <c r="A17" s="226">
        <v>16</v>
      </c>
      <c r="B17" s="227" t="s">
        <v>4082</v>
      </c>
      <c r="C17" s="246">
        <v>46283</v>
      </c>
      <c r="D17" s="219" t="s">
        <v>4083</v>
      </c>
      <c r="E17" s="246">
        <v>46284</v>
      </c>
      <c r="F17" s="219" t="s">
        <v>4084</v>
      </c>
      <c r="G17" s="219" t="s">
        <v>336</v>
      </c>
      <c r="H17" s="224">
        <v>13730</v>
      </c>
      <c r="I17" s="224">
        <v>32300</v>
      </c>
      <c r="J17" s="224">
        <v>18570</v>
      </c>
      <c r="K17" s="228" t="s">
        <v>4039</v>
      </c>
      <c r="L17" s="219" t="s">
        <v>4040</v>
      </c>
      <c r="M17" s="225" t="s">
        <v>4334</v>
      </c>
      <c r="N17" s="32" t="s">
        <v>4034</v>
      </c>
      <c r="O17" s="99" t="s">
        <v>4031</v>
      </c>
      <c r="P17" s="99" t="s">
        <v>4033</v>
      </c>
    </row>
    <row r="18" spans="1:16" ht="18.75" x14ac:dyDescent="0.3">
      <c r="A18" s="215">
        <v>17</v>
      </c>
      <c r="B18" s="227" t="s">
        <v>4085</v>
      </c>
      <c r="C18" s="246">
        <v>46284</v>
      </c>
      <c r="D18" s="219" t="s">
        <v>4086</v>
      </c>
      <c r="E18" s="246">
        <v>46284</v>
      </c>
      <c r="F18" s="219" t="s">
        <v>4087</v>
      </c>
      <c r="G18" s="219" t="s">
        <v>43</v>
      </c>
      <c r="H18" s="224">
        <v>14010</v>
      </c>
      <c r="I18" s="224">
        <v>32360</v>
      </c>
      <c r="J18" s="224">
        <v>18350</v>
      </c>
      <c r="K18" s="228" t="s">
        <v>4039</v>
      </c>
      <c r="L18" s="219" t="s">
        <v>4040</v>
      </c>
      <c r="M18" s="225" t="s">
        <v>4334</v>
      </c>
      <c r="N18" s="32" t="s">
        <v>4034</v>
      </c>
      <c r="O18" s="99" t="s">
        <v>4031</v>
      </c>
      <c r="P18" s="99" t="s">
        <v>4033</v>
      </c>
    </row>
    <row r="19" spans="1:16" ht="18.75" x14ac:dyDescent="0.3">
      <c r="A19" s="226">
        <v>18</v>
      </c>
      <c r="B19" s="227" t="s">
        <v>4088</v>
      </c>
      <c r="C19" s="246">
        <v>46284</v>
      </c>
      <c r="D19" s="219" t="s">
        <v>4089</v>
      </c>
      <c r="E19" s="246">
        <v>46284</v>
      </c>
      <c r="F19" s="219" t="s">
        <v>4090</v>
      </c>
      <c r="G19" s="219" t="s">
        <v>337</v>
      </c>
      <c r="H19" s="224">
        <v>13990</v>
      </c>
      <c r="I19" s="224">
        <v>34470</v>
      </c>
      <c r="J19" s="224">
        <v>20480</v>
      </c>
      <c r="K19" s="228" t="s">
        <v>4039</v>
      </c>
      <c r="L19" s="219" t="s">
        <v>4040</v>
      </c>
      <c r="M19" s="225" t="s">
        <v>4334</v>
      </c>
      <c r="N19" s="32" t="s">
        <v>4034</v>
      </c>
      <c r="O19" s="99" t="s">
        <v>4031</v>
      </c>
      <c r="P19" s="99" t="s">
        <v>4033</v>
      </c>
    </row>
    <row r="20" spans="1:16" ht="18.75" x14ac:dyDescent="0.3">
      <c r="A20" s="215">
        <v>19</v>
      </c>
      <c r="B20" s="227" t="s">
        <v>4091</v>
      </c>
      <c r="C20" s="246">
        <v>46284</v>
      </c>
      <c r="D20" s="219" t="s">
        <v>4092</v>
      </c>
      <c r="E20" s="246">
        <v>46284</v>
      </c>
      <c r="F20" s="219" t="s">
        <v>4093</v>
      </c>
      <c r="G20" s="219" t="s">
        <v>335</v>
      </c>
      <c r="H20" s="224">
        <v>14000</v>
      </c>
      <c r="I20" s="224">
        <v>33660</v>
      </c>
      <c r="J20" s="224">
        <v>19660</v>
      </c>
      <c r="K20" s="228" t="s">
        <v>4039</v>
      </c>
      <c r="L20" s="219" t="s">
        <v>4040</v>
      </c>
      <c r="M20" s="225" t="s">
        <v>4334</v>
      </c>
      <c r="N20" s="32" t="s">
        <v>4034</v>
      </c>
      <c r="O20" s="99" t="s">
        <v>4031</v>
      </c>
      <c r="P20" s="99" t="s">
        <v>4033</v>
      </c>
    </row>
    <row r="21" spans="1:16" ht="18.75" x14ac:dyDescent="0.3">
      <c r="A21" s="226">
        <v>20</v>
      </c>
      <c r="B21" s="227" t="s">
        <v>4094</v>
      </c>
      <c r="C21" s="246">
        <v>46284</v>
      </c>
      <c r="D21" s="219" t="s">
        <v>4095</v>
      </c>
      <c r="E21" s="246">
        <v>46284</v>
      </c>
      <c r="F21" s="219" t="s">
        <v>4096</v>
      </c>
      <c r="G21" s="219" t="s">
        <v>842</v>
      </c>
      <c r="H21" s="224">
        <v>14000</v>
      </c>
      <c r="I21" s="224">
        <v>34380</v>
      </c>
      <c r="J21" s="224">
        <v>20380</v>
      </c>
      <c r="K21" s="228" t="s">
        <v>4039</v>
      </c>
      <c r="L21" s="219" t="s">
        <v>4040</v>
      </c>
      <c r="M21" s="225" t="s">
        <v>4334</v>
      </c>
      <c r="N21" s="32" t="s">
        <v>4034</v>
      </c>
      <c r="O21" s="99" t="s">
        <v>4031</v>
      </c>
      <c r="P21" s="99" t="s">
        <v>4033</v>
      </c>
    </row>
    <row r="22" spans="1:16" ht="18.75" x14ac:dyDescent="0.3">
      <c r="A22" s="215">
        <v>21</v>
      </c>
      <c r="B22" s="227" t="s">
        <v>4097</v>
      </c>
      <c r="C22" s="246">
        <v>46284</v>
      </c>
      <c r="D22" s="219" t="s">
        <v>4098</v>
      </c>
      <c r="E22" s="246">
        <v>46284</v>
      </c>
      <c r="F22" s="219" t="s">
        <v>4099</v>
      </c>
      <c r="G22" s="219" t="s">
        <v>43</v>
      </c>
      <c r="H22" s="224">
        <v>13970</v>
      </c>
      <c r="I22" s="224">
        <v>34650</v>
      </c>
      <c r="J22" s="224">
        <v>20680</v>
      </c>
      <c r="K22" s="228" t="s">
        <v>4039</v>
      </c>
      <c r="L22" s="219" t="s">
        <v>4040</v>
      </c>
      <c r="M22" s="225" t="s">
        <v>4334</v>
      </c>
      <c r="N22" s="32" t="s">
        <v>4034</v>
      </c>
      <c r="O22" s="99" t="s">
        <v>4031</v>
      </c>
      <c r="P22" s="99" t="s">
        <v>4033</v>
      </c>
    </row>
    <row r="23" spans="1:16" ht="18.75" x14ac:dyDescent="0.3">
      <c r="A23" s="226">
        <v>22</v>
      </c>
      <c r="B23" s="227" t="s">
        <v>4100</v>
      </c>
      <c r="C23" s="246">
        <v>46284</v>
      </c>
      <c r="D23" s="219" t="s">
        <v>4101</v>
      </c>
      <c r="E23" s="246">
        <v>46284</v>
      </c>
      <c r="F23" s="219" t="s">
        <v>4102</v>
      </c>
      <c r="G23" s="219" t="s">
        <v>336</v>
      </c>
      <c r="H23" s="224">
        <v>14010</v>
      </c>
      <c r="I23" s="224">
        <v>34840</v>
      </c>
      <c r="J23" s="224">
        <v>20830</v>
      </c>
      <c r="K23" s="228" t="s">
        <v>4039</v>
      </c>
      <c r="L23" s="219" t="s">
        <v>4040</v>
      </c>
      <c r="M23" s="225" t="s">
        <v>4334</v>
      </c>
      <c r="N23" s="32" t="s">
        <v>4034</v>
      </c>
      <c r="O23" s="99" t="s">
        <v>4031</v>
      </c>
      <c r="P23" s="99" t="s">
        <v>4033</v>
      </c>
    </row>
    <row r="24" spans="1:16" ht="18.75" x14ac:dyDescent="0.3">
      <c r="A24" s="215">
        <v>23</v>
      </c>
      <c r="B24" s="227" t="s">
        <v>4103</v>
      </c>
      <c r="C24" s="246">
        <v>46284</v>
      </c>
      <c r="D24" s="219" t="s">
        <v>4104</v>
      </c>
      <c r="E24" s="246">
        <v>46284</v>
      </c>
      <c r="F24" s="219" t="s">
        <v>4105</v>
      </c>
      <c r="G24" s="219" t="s">
        <v>337</v>
      </c>
      <c r="H24" s="224">
        <v>13910</v>
      </c>
      <c r="I24" s="224">
        <v>34150</v>
      </c>
      <c r="J24" s="224">
        <v>20240</v>
      </c>
      <c r="K24" s="228" t="s">
        <v>4039</v>
      </c>
      <c r="L24" s="219" t="s">
        <v>4040</v>
      </c>
      <c r="M24" s="225" t="s">
        <v>4334</v>
      </c>
      <c r="N24" s="32" t="s">
        <v>4034</v>
      </c>
      <c r="O24" s="99" t="s">
        <v>4031</v>
      </c>
      <c r="P24" s="99" t="s">
        <v>4033</v>
      </c>
    </row>
    <row r="25" spans="1:16" ht="18.75" x14ac:dyDescent="0.3">
      <c r="A25" s="226">
        <v>24</v>
      </c>
      <c r="B25" s="227" t="s">
        <v>4106</v>
      </c>
      <c r="C25" s="246">
        <v>46284</v>
      </c>
      <c r="D25" s="219" t="s">
        <v>4107</v>
      </c>
      <c r="E25" s="246">
        <v>46284</v>
      </c>
      <c r="F25" s="219" t="s">
        <v>4108</v>
      </c>
      <c r="G25" s="219" t="s">
        <v>335</v>
      </c>
      <c r="H25" s="224">
        <v>13980</v>
      </c>
      <c r="I25" s="224">
        <v>34790</v>
      </c>
      <c r="J25" s="224">
        <v>20810</v>
      </c>
      <c r="K25" s="228" t="s">
        <v>4039</v>
      </c>
      <c r="L25" s="219" t="s">
        <v>4040</v>
      </c>
      <c r="M25" s="225" t="s">
        <v>4334</v>
      </c>
      <c r="N25" s="32" t="s">
        <v>4034</v>
      </c>
      <c r="O25" s="99" t="s">
        <v>4031</v>
      </c>
      <c r="P25" s="99" t="s">
        <v>4033</v>
      </c>
    </row>
    <row r="26" spans="1:16" ht="18.75" x14ac:dyDescent="0.3">
      <c r="A26" s="215">
        <v>25</v>
      </c>
      <c r="B26" s="227" t="s">
        <v>4109</v>
      </c>
      <c r="C26" s="246">
        <v>46284</v>
      </c>
      <c r="D26" s="219" t="s">
        <v>4110</v>
      </c>
      <c r="E26" s="246">
        <v>46284</v>
      </c>
      <c r="F26" s="219" t="s">
        <v>4111</v>
      </c>
      <c r="G26" s="219" t="s">
        <v>842</v>
      </c>
      <c r="H26" s="224">
        <v>13890</v>
      </c>
      <c r="I26" s="224">
        <v>32350</v>
      </c>
      <c r="J26" s="224">
        <v>18460</v>
      </c>
      <c r="K26" s="228" t="s">
        <v>4039</v>
      </c>
      <c r="L26" s="219" t="s">
        <v>4040</v>
      </c>
      <c r="M26" s="225" t="s">
        <v>4334</v>
      </c>
      <c r="N26" s="32" t="s">
        <v>4034</v>
      </c>
      <c r="O26" s="99" t="s">
        <v>4031</v>
      </c>
      <c r="P26" s="99" t="s">
        <v>4033</v>
      </c>
    </row>
    <row r="27" spans="1:16" ht="18.75" x14ac:dyDescent="0.3">
      <c r="A27" s="226">
        <v>26</v>
      </c>
      <c r="B27" s="227" t="s">
        <v>4112</v>
      </c>
      <c r="C27" s="246">
        <v>46284</v>
      </c>
      <c r="D27" s="219" t="s">
        <v>4113</v>
      </c>
      <c r="E27" s="246">
        <v>46284</v>
      </c>
      <c r="F27" s="219" t="s">
        <v>4114</v>
      </c>
      <c r="G27" s="219" t="s">
        <v>43</v>
      </c>
      <c r="H27" s="224">
        <v>13920</v>
      </c>
      <c r="I27" s="224">
        <v>30890</v>
      </c>
      <c r="J27" s="224">
        <v>16970</v>
      </c>
      <c r="K27" s="228" t="s">
        <v>4039</v>
      </c>
      <c r="L27" s="219" t="s">
        <v>4040</v>
      </c>
      <c r="M27" s="225" t="s">
        <v>4334</v>
      </c>
      <c r="N27" s="32" t="s">
        <v>4034</v>
      </c>
      <c r="O27" s="99" t="s">
        <v>4031</v>
      </c>
      <c r="P27" s="99" t="s">
        <v>4033</v>
      </c>
    </row>
    <row r="28" spans="1:16" ht="18.75" x14ac:dyDescent="0.3">
      <c r="A28" s="215">
        <v>27</v>
      </c>
      <c r="B28" s="227" t="s">
        <v>4115</v>
      </c>
      <c r="C28" s="246">
        <v>46284</v>
      </c>
      <c r="D28" s="219" t="s">
        <v>4116</v>
      </c>
      <c r="E28" s="246">
        <v>46284</v>
      </c>
      <c r="F28" s="219" t="s">
        <v>4117</v>
      </c>
      <c r="G28" s="219" t="s">
        <v>336</v>
      </c>
      <c r="H28" s="224">
        <v>13930</v>
      </c>
      <c r="I28" s="224">
        <v>32580</v>
      </c>
      <c r="J28" s="224">
        <v>18650</v>
      </c>
      <c r="K28" s="228" t="s">
        <v>4039</v>
      </c>
      <c r="L28" s="219" t="s">
        <v>4040</v>
      </c>
      <c r="M28" s="225" t="s">
        <v>4334</v>
      </c>
      <c r="N28" s="32" t="s">
        <v>4034</v>
      </c>
      <c r="O28" s="99" t="s">
        <v>4031</v>
      </c>
      <c r="P28" s="99" t="s">
        <v>4033</v>
      </c>
    </row>
    <row r="29" spans="1:16" ht="18.75" x14ac:dyDescent="0.3">
      <c r="A29" s="226">
        <v>28</v>
      </c>
      <c r="B29" s="227" t="s">
        <v>4118</v>
      </c>
      <c r="C29" s="246">
        <v>46284</v>
      </c>
      <c r="D29" s="219" t="s">
        <v>4119</v>
      </c>
      <c r="E29" s="246">
        <v>46284</v>
      </c>
      <c r="F29" s="219" t="s">
        <v>4120</v>
      </c>
      <c r="G29" s="219" t="s">
        <v>337</v>
      </c>
      <c r="H29" s="224">
        <v>13900</v>
      </c>
      <c r="I29" s="224">
        <v>32560</v>
      </c>
      <c r="J29" s="224">
        <v>18660</v>
      </c>
      <c r="K29" s="228" t="s">
        <v>4039</v>
      </c>
      <c r="L29" s="219" t="s">
        <v>4040</v>
      </c>
      <c r="M29" s="225" t="s">
        <v>4334</v>
      </c>
      <c r="N29" s="32" t="s">
        <v>4034</v>
      </c>
      <c r="O29" s="99" t="s">
        <v>4031</v>
      </c>
      <c r="P29" s="99" t="s">
        <v>4033</v>
      </c>
    </row>
    <row r="30" spans="1:16" ht="18.75" x14ac:dyDescent="0.3">
      <c r="A30" s="215">
        <v>29</v>
      </c>
      <c r="B30" s="227" t="s">
        <v>4121</v>
      </c>
      <c r="C30" s="246">
        <v>46284</v>
      </c>
      <c r="D30" s="219" t="s">
        <v>4122</v>
      </c>
      <c r="E30" s="246">
        <v>46284</v>
      </c>
      <c r="F30" s="219" t="s">
        <v>4123</v>
      </c>
      <c r="G30" s="219" t="s">
        <v>335</v>
      </c>
      <c r="H30" s="224">
        <v>13890</v>
      </c>
      <c r="I30" s="224">
        <v>33300</v>
      </c>
      <c r="J30" s="224">
        <v>19410</v>
      </c>
      <c r="K30" s="228" t="s">
        <v>4039</v>
      </c>
      <c r="L30" s="219" t="s">
        <v>4040</v>
      </c>
      <c r="M30" s="225" t="s">
        <v>4334</v>
      </c>
      <c r="N30" s="32" t="s">
        <v>4034</v>
      </c>
      <c r="O30" s="99" t="s">
        <v>4031</v>
      </c>
      <c r="P30" s="99" t="s">
        <v>4033</v>
      </c>
    </row>
    <row r="31" spans="1:16" ht="18.75" x14ac:dyDescent="0.3">
      <c r="A31" s="226">
        <v>30</v>
      </c>
      <c r="B31" s="227" t="s">
        <v>4124</v>
      </c>
      <c r="C31" s="246">
        <v>46284</v>
      </c>
      <c r="D31" s="219" t="s">
        <v>4125</v>
      </c>
      <c r="E31" s="246">
        <v>46284</v>
      </c>
      <c r="F31" s="219" t="s">
        <v>4126</v>
      </c>
      <c r="G31" s="219" t="s">
        <v>842</v>
      </c>
      <c r="H31" s="224">
        <v>14230</v>
      </c>
      <c r="I31" s="224">
        <v>32780</v>
      </c>
      <c r="J31" s="224">
        <v>18550</v>
      </c>
      <c r="K31" s="228" t="s">
        <v>4039</v>
      </c>
      <c r="L31" s="219" t="s">
        <v>4040</v>
      </c>
      <c r="M31" s="225" t="s">
        <v>4334</v>
      </c>
      <c r="N31" s="32" t="s">
        <v>4034</v>
      </c>
      <c r="O31" s="99" t="s">
        <v>4031</v>
      </c>
      <c r="P31" s="99" t="s">
        <v>4033</v>
      </c>
    </row>
    <row r="32" spans="1:16" ht="18.75" x14ac:dyDescent="0.3">
      <c r="A32" s="215">
        <v>31</v>
      </c>
      <c r="B32" s="227" t="s">
        <v>4127</v>
      </c>
      <c r="C32" s="246">
        <v>46284</v>
      </c>
      <c r="D32" s="219" t="s">
        <v>4128</v>
      </c>
      <c r="E32" s="246">
        <v>46284</v>
      </c>
      <c r="F32" s="219" t="s">
        <v>4129</v>
      </c>
      <c r="G32" s="219" t="s">
        <v>43</v>
      </c>
      <c r="H32" s="224">
        <v>13870</v>
      </c>
      <c r="I32" s="224">
        <v>33040</v>
      </c>
      <c r="J32" s="224">
        <v>19170</v>
      </c>
      <c r="K32" s="228" t="s">
        <v>4039</v>
      </c>
      <c r="L32" s="219" t="s">
        <v>4040</v>
      </c>
      <c r="M32" s="225" t="s">
        <v>4334</v>
      </c>
      <c r="N32" s="32" t="s">
        <v>4034</v>
      </c>
      <c r="O32" s="99" t="s">
        <v>4031</v>
      </c>
      <c r="P32" s="99" t="s">
        <v>4033</v>
      </c>
    </row>
    <row r="33" spans="1:16" ht="18.75" x14ac:dyDescent="0.3">
      <c r="A33" s="226">
        <v>32</v>
      </c>
      <c r="B33" s="227" t="s">
        <v>4130</v>
      </c>
      <c r="C33" s="246">
        <v>46284</v>
      </c>
      <c r="D33" s="219" t="s">
        <v>4131</v>
      </c>
      <c r="E33" s="246">
        <v>46284</v>
      </c>
      <c r="F33" s="219" t="s">
        <v>4132</v>
      </c>
      <c r="G33" s="219" t="s">
        <v>336</v>
      </c>
      <c r="H33" s="224">
        <v>13900</v>
      </c>
      <c r="I33" s="224">
        <v>34030</v>
      </c>
      <c r="J33" s="224">
        <v>20130</v>
      </c>
      <c r="K33" s="228" t="s">
        <v>4039</v>
      </c>
      <c r="L33" s="219" t="s">
        <v>4040</v>
      </c>
      <c r="M33" s="225" t="s">
        <v>4334</v>
      </c>
      <c r="N33" s="32" t="s">
        <v>4034</v>
      </c>
      <c r="O33" s="99" t="s">
        <v>4031</v>
      </c>
      <c r="P33" s="99" t="s">
        <v>4033</v>
      </c>
    </row>
    <row r="34" spans="1:16" ht="18.75" x14ac:dyDescent="0.3">
      <c r="A34" s="215">
        <v>33</v>
      </c>
      <c r="B34" s="227" t="s">
        <v>4133</v>
      </c>
      <c r="C34" s="246">
        <v>46284</v>
      </c>
      <c r="D34" s="219" t="s">
        <v>4134</v>
      </c>
      <c r="E34" s="246">
        <v>46284</v>
      </c>
      <c r="F34" s="219" t="s">
        <v>4135</v>
      </c>
      <c r="G34" s="219" t="s">
        <v>335</v>
      </c>
      <c r="H34" s="224">
        <v>13890</v>
      </c>
      <c r="I34" s="224">
        <v>32980</v>
      </c>
      <c r="J34" s="224">
        <v>19090</v>
      </c>
      <c r="K34" s="228" t="s">
        <v>4039</v>
      </c>
      <c r="L34" s="219" t="s">
        <v>4040</v>
      </c>
      <c r="M34" s="225" t="s">
        <v>4334</v>
      </c>
      <c r="N34" s="32" t="s">
        <v>4034</v>
      </c>
      <c r="O34" s="99" t="s">
        <v>4031</v>
      </c>
      <c r="P34" s="99" t="s">
        <v>4033</v>
      </c>
    </row>
    <row r="35" spans="1:16" ht="18.75" x14ac:dyDescent="0.3">
      <c r="A35" s="226">
        <v>34</v>
      </c>
      <c r="B35" s="227" t="s">
        <v>4136</v>
      </c>
      <c r="C35" s="246">
        <v>46284</v>
      </c>
      <c r="D35" s="219" t="s">
        <v>4137</v>
      </c>
      <c r="E35" s="246">
        <v>46284</v>
      </c>
      <c r="F35" s="219" t="s">
        <v>4138</v>
      </c>
      <c r="G35" s="219" t="s">
        <v>337</v>
      </c>
      <c r="H35" s="224">
        <v>13810</v>
      </c>
      <c r="I35" s="224">
        <v>32020</v>
      </c>
      <c r="J35" s="224">
        <v>18210</v>
      </c>
      <c r="K35" s="228" t="s">
        <v>4039</v>
      </c>
      <c r="L35" s="219" t="s">
        <v>4040</v>
      </c>
      <c r="M35" s="225" t="s">
        <v>4334</v>
      </c>
      <c r="N35" s="32" t="s">
        <v>4034</v>
      </c>
      <c r="O35" s="99" t="s">
        <v>4031</v>
      </c>
      <c r="P35" s="99" t="s">
        <v>4033</v>
      </c>
    </row>
    <row r="36" spans="1:16" ht="18.75" x14ac:dyDescent="0.3">
      <c r="A36" s="215">
        <v>35</v>
      </c>
      <c r="B36" s="227" t="s">
        <v>4139</v>
      </c>
      <c r="C36" s="246">
        <v>46284</v>
      </c>
      <c r="D36" s="219" t="s">
        <v>4140</v>
      </c>
      <c r="E36" s="246">
        <v>46284</v>
      </c>
      <c r="F36" s="219" t="s">
        <v>4141</v>
      </c>
      <c r="G36" s="219" t="s">
        <v>842</v>
      </c>
      <c r="H36" s="224">
        <v>14230</v>
      </c>
      <c r="I36" s="224">
        <v>31790</v>
      </c>
      <c r="J36" s="224">
        <v>17560</v>
      </c>
      <c r="K36" s="228" t="s">
        <v>4039</v>
      </c>
      <c r="L36" s="219" t="s">
        <v>4040</v>
      </c>
      <c r="M36" s="225" t="s">
        <v>4334</v>
      </c>
      <c r="N36" s="32" t="s">
        <v>4034</v>
      </c>
      <c r="O36" s="99" t="s">
        <v>4031</v>
      </c>
      <c r="P36" s="99" t="s">
        <v>4033</v>
      </c>
    </row>
    <row r="37" spans="1:16" ht="18.75" x14ac:dyDescent="0.3">
      <c r="A37" s="226">
        <v>36</v>
      </c>
      <c r="B37" s="227" t="s">
        <v>4142</v>
      </c>
      <c r="C37" s="246">
        <v>46284</v>
      </c>
      <c r="D37" s="219" t="s">
        <v>4143</v>
      </c>
      <c r="E37" s="246">
        <v>46284</v>
      </c>
      <c r="F37" s="219" t="s">
        <v>4144</v>
      </c>
      <c r="G37" s="219" t="s">
        <v>43</v>
      </c>
      <c r="H37" s="224">
        <v>13820</v>
      </c>
      <c r="I37" s="224">
        <v>33680</v>
      </c>
      <c r="J37" s="224">
        <v>19860</v>
      </c>
      <c r="K37" s="228" t="s">
        <v>4039</v>
      </c>
      <c r="L37" s="219" t="s">
        <v>4040</v>
      </c>
      <c r="M37" s="225" t="s">
        <v>4334</v>
      </c>
      <c r="N37" s="32" t="s">
        <v>4034</v>
      </c>
      <c r="O37" s="99" t="s">
        <v>4031</v>
      </c>
      <c r="P37" s="99" t="s">
        <v>4033</v>
      </c>
    </row>
    <row r="38" spans="1:16" ht="18.75" x14ac:dyDescent="0.3">
      <c r="A38" s="215">
        <v>37</v>
      </c>
      <c r="B38" s="227" t="s">
        <v>4145</v>
      </c>
      <c r="C38" s="246">
        <v>46285</v>
      </c>
      <c r="D38" s="219" t="s">
        <v>4146</v>
      </c>
      <c r="E38" s="246">
        <v>46285</v>
      </c>
      <c r="F38" s="219" t="s">
        <v>4147</v>
      </c>
      <c r="G38" s="219" t="s">
        <v>337</v>
      </c>
      <c r="H38" s="224">
        <v>13790</v>
      </c>
      <c r="I38" s="224">
        <v>34930</v>
      </c>
      <c r="J38" s="224">
        <v>21140</v>
      </c>
      <c r="K38" s="228" t="s">
        <v>4039</v>
      </c>
      <c r="L38" s="219" t="s">
        <v>4040</v>
      </c>
      <c r="M38" s="225" t="s">
        <v>4334</v>
      </c>
      <c r="N38" s="32" t="s">
        <v>4034</v>
      </c>
      <c r="O38" s="99" t="s">
        <v>4031</v>
      </c>
      <c r="P38" s="99" t="s">
        <v>4033</v>
      </c>
    </row>
    <row r="39" spans="1:16" ht="18.75" x14ac:dyDescent="0.3">
      <c r="A39" s="226">
        <v>38</v>
      </c>
      <c r="B39" s="227" t="s">
        <v>4148</v>
      </c>
      <c r="C39" s="246">
        <v>46285</v>
      </c>
      <c r="D39" s="219" t="s">
        <v>4149</v>
      </c>
      <c r="E39" s="246">
        <v>46285</v>
      </c>
      <c r="F39" s="219" t="s">
        <v>4150</v>
      </c>
      <c r="G39" s="219" t="s">
        <v>335</v>
      </c>
      <c r="H39" s="224">
        <v>13860</v>
      </c>
      <c r="I39" s="224">
        <v>33470</v>
      </c>
      <c r="J39" s="224">
        <v>19610</v>
      </c>
      <c r="K39" s="228" t="s">
        <v>4039</v>
      </c>
      <c r="L39" s="219" t="s">
        <v>4040</v>
      </c>
      <c r="M39" s="225" t="s">
        <v>4334</v>
      </c>
      <c r="N39" s="32" t="s">
        <v>4034</v>
      </c>
      <c r="O39" s="99" t="s">
        <v>4031</v>
      </c>
      <c r="P39" s="99" t="s">
        <v>4033</v>
      </c>
    </row>
    <row r="40" spans="1:16" ht="18.75" x14ac:dyDescent="0.3">
      <c r="A40" s="215">
        <v>39</v>
      </c>
      <c r="B40" s="227" t="s">
        <v>4151</v>
      </c>
      <c r="C40" s="246">
        <v>46285</v>
      </c>
      <c r="D40" s="219" t="s">
        <v>4152</v>
      </c>
      <c r="E40" s="246">
        <v>46285</v>
      </c>
      <c r="F40" s="219" t="s">
        <v>4153</v>
      </c>
      <c r="G40" s="219" t="s">
        <v>335</v>
      </c>
      <c r="H40" s="224">
        <v>13850</v>
      </c>
      <c r="I40" s="224">
        <v>32820</v>
      </c>
      <c r="J40" s="224">
        <v>18970</v>
      </c>
      <c r="K40" s="228" t="s">
        <v>4039</v>
      </c>
      <c r="L40" s="219" t="s">
        <v>4040</v>
      </c>
      <c r="M40" s="225" t="s">
        <v>4334</v>
      </c>
      <c r="N40" s="32" t="s">
        <v>4034</v>
      </c>
      <c r="O40" s="99" t="s">
        <v>4031</v>
      </c>
      <c r="P40" s="99" t="s">
        <v>4033</v>
      </c>
    </row>
    <row r="41" spans="1:16" ht="18.75" x14ac:dyDescent="0.3">
      <c r="A41" s="226">
        <v>40</v>
      </c>
      <c r="B41" s="227" t="s">
        <v>4154</v>
      </c>
      <c r="C41" s="246">
        <v>46285</v>
      </c>
      <c r="D41" s="219" t="s">
        <v>1675</v>
      </c>
      <c r="E41" s="246">
        <v>46285</v>
      </c>
      <c r="F41" s="219" t="s">
        <v>4155</v>
      </c>
      <c r="G41" s="219" t="s">
        <v>842</v>
      </c>
      <c r="H41" s="224">
        <v>14150</v>
      </c>
      <c r="I41" s="224">
        <v>33290</v>
      </c>
      <c r="J41" s="224">
        <v>19140</v>
      </c>
      <c r="K41" s="228" t="s">
        <v>4039</v>
      </c>
      <c r="L41" s="219" t="s">
        <v>4040</v>
      </c>
      <c r="M41" s="225" t="s">
        <v>4334</v>
      </c>
      <c r="N41" s="32" t="s">
        <v>4034</v>
      </c>
      <c r="O41" s="99" t="s">
        <v>4031</v>
      </c>
      <c r="P41" s="99" t="s">
        <v>4033</v>
      </c>
    </row>
    <row r="42" spans="1:16" ht="18.75" x14ac:dyDescent="0.3">
      <c r="A42" s="215">
        <v>41</v>
      </c>
      <c r="B42" s="227" t="s">
        <v>4156</v>
      </c>
      <c r="C42" s="246">
        <v>46285</v>
      </c>
      <c r="D42" s="219" t="s">
        <v>4157</v>
      </c>
      <c r="E42" s="246">
        <v>46285</v>
      </c>
      <c r="F42" s="219" t="s">
        <v>4158</v>
      </c>
      <c r="G42" s="219" t="s">
        <v>43</v>
      </c>
      <c r="H42" s="224">
        <v>13800</v>
      </c>
      <c r="I42" s="224">
        <v>33260</v>
      </c>
      <c r="J42" s="224">
        <v>19460</v>
      </c>
      <c r="K42" s="228" t="s">
        <v>4039</v>
      </c>
      <c r="L42" s="219" t="s">
        <v>4040</v>
      </c>
      <c r="M42" s="225" t="s">
        <v>4334</v>
      </c>
      <c r="N42" s="32" t="s">
        <v>4034</v>
      </c>
      <c r="O42" s="99" t="s">
        <v>4031</v>
      </c>
      <c r="P42" s="99" t="s">
        <v>4033</v>
      </c>
    </row>
    <row r="43" spans="1:16" ht="18.75" x14ac:dyDescent="0.3">
      <c r="A43" s="226">
        <v>42</v>
      </c>
      <c r="B43" s="227" t="s">
        <v>4159</v>
      </c>
      <c r="C43" s="246">
        <v>46285</v>
      </c>
      <c r="D43" s="219" t="s">
        <v>4160</v>
      </c>
      <c r="E43" s="246">
        <v>46285</v>
      </c>
      <c r="F43" s="219" t="s">
        <v>4161</v>
      </c>
      <c r="G43" s="219" t="s">
        <v>336</v>
      </c>
      <c r="H43" s="224">
        <v>13800</v>
      </c>
      <c r="I43" s="224">
        <v>34090</v>
      </c>
      <c r="J43" s="224">
        <v>20290</v>
      </c>
      <c r="K43" s="228" t="s">
        <v>4039</v>
      </c>
      <c r="L43" s="219" t="s">
        <v>4040</v>
      </c>
      <c r="M43" s="225" t="s">
        <v>4334</v>
      </c>
      <c r="N43" s="32" t="s">
        <v>4034</v>
      </c>
      <c r="O43" s="99" t="s">
        <v>4031</v>
      </c>
      <c r="P43" s="99" t="s">
        <v>4033</v>
      </c>
    </row>
    <row r="44" spans="1:16" ht="18.75" x14ac:dyDescent="0.3">
      <c r="A44" s="215">
        <v>43</v>
      </c>
      <c r="B44" s="227" t="s">
        <v>4162</v>
      </c>
      <c r="C44" s="246">
        <v>46285</v>
      </c>
      <c r="D44" s="219" t="s">
        <v>4163</v>
      </c>
      <c r="E44" s="246">
        <v>46285</v>
      </c>
      <c r="F44" s="219" t="s">
        <v>2754</v>
      </c>
      <c r="G44" s="219" t="s">
        <v>337</v>
      </c>
      <c r="H44" s="224">
        <v>13780</v>
      </c>
      <c r="I44" s="224">
        <v>33170</v>
      </c>
      <c r="J44" s="224">
        <v>19390</v>
      </c>
      <c r="K44" s="228" t="s">
        <v>4039</v>
      </c>
      <c r="L44" s="219" t="s">
        <v>4040</v>
      </c>
      <c r="M44" s="225" t="s">
        <v>4334</v>
      </c>
      <c r="N44" s="32" t="s">
        <v>4034</v>
      </c>
      <c r="O44" s="99" t="s">
        <v>4031</v>
      </c>
      <c r="P44" s="99" t="s">
        <v>4033</v>
      </c>
    </row>
    <row r="45" spans="1:16" ht="18.75" x14ac:dyDescent="0.3">
      <c r="A45" s="226">
        <v>44</v>
      </c>
      <c r="B45" s="227" t="s">
        <v>4164</v>
      </c>
      <c r="C45" s="246">
        <v>46285</v>
      </c>
      <c r="D45" s="219" t="s">
        <v>4165</v>
      </c>
      <c r="E45" s="246">
        <v>46285</v>
      </c>
      <c r="F45" s="219" t="s">
        <v>4166</v>
      </c>
      <c r="G45" s="219" t="s">
        <v>335</v>
      </c>
      <c r="H45" s="224">
        <v>14070</v>
      </c>
      <c r="I45" s="224">
        <v>33040</v>
      </c>
      <c r="J45" s="224">
        <v>18970</v>
      </c>
      <c r="K45" s="228" t="s">
        <v>4039</v>
      </c>
      <c r="L45" s="219" t="s">
        <v>4040</v>
      </c>
      <c r="M45" s="225" t="s">
        <v>4334</v>
      </c>
      <c r="N45" s="32" t="s">
        <v>4034</v>
      </c>
      <c r="O45" s="99" t="s">
        <v>4031</v>
      </c>
      <c r="P45" s="99" t="s">
        <v>4033</v>
      </c>
    </row>
    <row r="46" spans="1:16" ht="18.75" x14ac:dyDescent="0.3">
      <c r="A46" s="215">
        <v>45</v>
      </c>
      <c r="B46" s="227" t="s">
        <v>4167</v>
      </c>
      <c r="C46" s="246">
        <v>46285</v>
      </c>
      <c r="D46" s="219" t="s">
        <v>4168</v>
      </c>
      <c r="E46" s="246">
        <v>46285</v>
      </c>
      <c r="F46" s="219" t="s">
        <v>4169</v>
      </c>
      <c r="G46" s="219" t="s">
        <v>842</v>
      </c>
      <c r="H46" s="224">
        <v>14080</v>
      </c>
      <c r="I46" s="224">
        <v>33840</v>
      </c>
      <c r="J46" s="224">
        <v>19760</v>
      </c>
      <c r="K46" s="228" t="s">
        <v>4039</v>
      </c>
      <c r="L46" s="219" t="s">
        <v>4040</v>
      </c>
      <c r="M46" s="225" t="s">
        <v>4334</v>
      </c>
      <c r="N46" s="32" t="s">
        <v>4034</v>
      </c>
      <c r="O46" s="99" t="s">
        <v>4031</v>
      </c>
      <c r="P46" s="99" t="s">
        <v>4033</v>
      </c>
    </row>
    <row r="47" spans="1:16" ht="18.75" x14ac:dyDescent="0.3">
      <c r="A47" s="226">
        <v>46</v>
      </c>
      <c r="B47" s="227" t="s">
        <v>4170</v>
      </c>
      <c r="C47" s="246">
        <v>46285</v>
      </c>
      <c r="D47" s="219" t="s">
        <v>4171</v>
      </c>
      <c r="E47" s="246">
        <v>46285</v>
      </c>
      <c r="F47" s="219" t="s">
        <v>4172</v>
      </c>
      <c r="G47" s="219" t="s">
        <v>43</v>
      </c>
      <c r="H47" s="224">
        <v>14070</v>
      </c>
      <c r="I47" s="224">
        <v>33850</v>
      </c>
      <c r="J47" s="224">
        <v>19780</v>
      </c>
      <c r="K47" s="228" t="s">
        <v>4039</v>
      </c>
      <c r="L47" s="219" t="s">
        <v>4040</v>
      </c>
      <c r="M47" s="225" t="s">
        <v>4334</v>
      </c>
      <c r="N47" s="32" t="s">
        <v>4034</v>
      </c>
      <c r="O47" s="99" t="s">
        <v>4031</v>
      </c>
      <c r="P47" s="99" t="s">
        <v>4033</v>
      </c>
    </row>
    <row r="48" spans="1:16" ht="18.75" x14ac:dyDescent="0.3">
      <c r="A48" s="215">
        <v>47</v>
      </c>
      <c r="B48" s="227" t="s">
        <v>4173</v>
      </c>
      <c r="C48" s="246">
        <v>46285</v>
      </c>
      <c r="D48" s="219" t="s">
        <v>4174</v>
      </c>
      <c r="E48" s="246">
        <v>46285</v>
      </c>
      <c r="F48" s="219" t="s">
        <v>4175</v>
      </c>
      <c r="G48" s="219" t="s">
        <v>336</v>
      </c>
      <c r="H48" s="224">
        <v>13780</v>
      </c>
      <c r="I48" s="224">
        <v>33620</v>
      </c>
      <c r="J48" s="224">
        <v>19840</v>
      </c>
      <c r="K48" s="228" t="s">
        <v>4039</v>
      </c>
      <c r="L48" s="219" t="s">
        <v>4040</v>
      </c>
      <c r="M48" s="225" t="s">
        <v>4334</v>
      </c>
      <c r="N48" s="32" t="s">
        <v>4034</v>
      </c>
      <c r="O48" s="99" t="s">
        <v>4031</v>
      </c>
      <c r="P48" s="99" t="s">
        <v>4033</v>
      </c>
    </row>
    <row r="49" spans="1:16" ht="18.75" x14ac:dyDescent="0.3">
      <c r="A49" s="226">
        <v>48</v>
      </c>
      <c r="B49" s="227" t="s">
        <v>4176</v>
      </c>
      <c r="C49" s="246">
        <v>46285</v>
      </c>
      <c r="D49" s="219" t="s">
        <v>4177</v>
      </c>
      <c r="E49" s="246">
        <v>46285</v>
      </c>
      <c r="F49" s="219" t="s">
        <v>4178</v>
      </c>
      <c r="G49" s="219" t="s">
        <v>337</v>
      </c>
      <c r="H49" s="224">
        <v>13730</v>
      </c>
      <c r="I49" s="224">
        <v>35050</v>
      </c>
      <c r="J49" s="224">
        <v>21320</v>
      </c>
      <c r="K49" s="228" t="s">
        <v>4039</v>
      </c>
      <c r="L49" s="219" t="s">
        <v>4040</v>
      </c>
      <c r="M49" s="225" t="s">
        <v>4334</v>
      </c>
      <c r="N49" s="32" t="s">
        <v>4034</v>
      </c>
      <c r="O49" s="99" t="s">
        <v>4031</v>
      </c>
      <c r="P49" s="99" t="s">
        <v>4033</v>
      </c>
    </row>
    <row r="50" spans="1:16" ht="18.75" x14ac:dyDescent="0.3">
      <c r="A50" s="215">
        <v>49</v>
      </c>
      <c r="B50" s="227" t="s">
        <v>4179</v>
      </c>
      <c r="C50" s="246">
        <v>46285</v>
      </c>
      <c r="D50" s="219" t="s">
        <v>4180</v>
      </c>
      <c r="E50" s="246">
        <v>46285</v>
      </c>
      <c r="F50" s="219" t="s">
        <v>4181</v>
      </c>
      <c r="G50" s="219" t="s">
        <v>335</v>
      </c>
      <c r="H50" s="224">
        <v>14040</v>
      </c>
      <c r="I50" s="224">
        <v>34480</v>
      </c>
      <c r="J50" s="224">
        <v>20440</v>
      </c>
      <c r="K50" s="228" t="s">
        <v>4039</v>
      </c>
      <c r="L50" s="219" t="s">
        <v>4040</v>
      </c>
      <c r="M50" s="225" t="s">
        <v>4334</v>
      </c>
      <c r="N50" s="32" t="s">
        <v>4034</v>
      </c>
      <c r="O50" s="99" t="s">
        <v>4031</v>
      </c>
      <c r="P50" s="99" t="s">
        <v>4033</v>
      </c>
    </row>
    <row r="51" spans="1:16" ht="18.75" x14ac:dyDescent="0.3">
      <c r="A51" s="226">
        <v>50</v>
      </c>
      <c r="B51" s="227" t="s">
        <v>4182</v>
      </c>
      <c r="C51" s="246">
        <v>46285</v>
      </c>
      <c r="D51" s="219" t="s">
        <v>4183</v>
      </c>
      <c r="E51" s="246">
        <v>46285</v>
      </c>
      <c r="F51" s="219" t="s">
        <v>4184</v>
      </c>
      <c r="G51" s="219" t="s">
        <v>842</v>
      </c>
      <c r="H51" s="224">
        <v>14110</v>
      </c>
      <c r="I51" s="224">
        <v>35900</v>
      </c>
      <c r="J51" s="224">
        <v>21790</v>
      </c>
      <c r="K51" s="228" t="s">
        <v>4039</v>
      </c>
      <c r="L51" s="219" t="s">
        <v>4040</v>
      </c>
      <c r="M51" s="225" t="s">
        <v>4334</v>
      </c>
      <c r="N51" s="32" t="s">
        <v>4034</v>
      </c>
      <c r="O51" s="99" t="s">
        <v>4031</v>
      </c>
      <c r="P51" s="99" t="s">
        <v>4033</v>
      </c>
    </row>
    <row r="52" spans="1:16" ht="18.75" x14ac:dyDescent="0.3">
      <c r="A52" s="215">
        <v>51</v>
      </c>
      <c r="B52" s="227" t="s">
        <v>4185</v>
      </c>
      <c r="C52" s="246">
        <v>46285</v>
      </c>
      <c r="D52" s="219" t="s">
        <v>4186</v>
      </c>
      <c r="E52" s="246">
        <v>46285</v>
      </c>
      <c r="F52" s="219" t="s">
        <v>4187</v>
      </c>
      <c r="G52" s="219" t="s">
        <v>43</v>
      </c>
      <c r="H52" s="224">
        <v>14060</v>
      </c>
      <c r="I52" s="224">
        <v>34670</v>
      </c>
      <c r="J52" s="224">
        <v>20610</v>
      </c>
      <c r="K52" s="228" t="s">
        <v>4039</v>
      </c>
      <c r="L52" s="219" t="s">
        <v>4040</v>
      </c>
      <c r="M52" s="225" t="s">
        <v>4334</v>
      </c>
      <c r="N52" s="32" t="s">
        <v>4034</v>
      </c>
      <c r="O52" s="99" t="s">
        <v>4031</v>
      </c>
      <c r="P52" s="99" t="s">
        <v>4033</v>
      </c>
    </row>
    <row r="53" spans="1:16" ht="18.75" x14ac:dyDescent="0.3">
      <c r="A53" s="226">
        <v>52</v>
      </c>
      <c r="B53" s="227" t="s">
        <v>4188</v>
      </c>
      <c r="C53" s="246">
        <v>46285</v>
      </c>
      <c r="D53" s="219" t="s">
        <v>4189</v>
      </c>
      <c r="E53" s="246">
        <v>46285</v>
      </c>
      <c r="F53" s="219" t="s">
        <v>4190</v>
      </c>
      <c r="G53" s="219" t="s">
        <v>336</v>
      </c>
      <c r="H53" s="224">
        <v>13760</v>
      </c>
      <c r="I53" s="224">
        <v>34620</v>
      </c>
      <c r="J53" s="224">
        <v>20860</v>
      </c>
      <c r="K53" s="228" t="s">
        <v>4039</v>
      </c>
      <c r="L53" s="219" t="s">
        <v>4040</v>
      </c>
      <c r="M53" s="225" t="s">
        <v>4334</v>
      </c>
      <c r="N53" s="32" t="s">
        <v>4034</v>
      </c>
      <c r="O53" s="99" t="s">
        <v>4031</v>
      </c>
      <c r="P53" s="99" t="s">
        <v>4033</v>
      </c>
    </row>
    <row r="54" spans="1:16" ht="18.75" x14ac:dyDescent="0.3">
      <c r="A54" s="215">
        <v>53</v>
      </c>
      <c r="B54" s="227" t="s">
        <v>4191</v>
      </c>
      <c r="C54" s="246">
        <v>46285</v>
      </c>
      <c r="D54" s="219" t="s">
        <v>4192</v>
      </c>
      <c r="E54" s="246">
        <v>46285</v>
      </c>
      <c r="F54" s="219" t="s">
        <v>4193</v>
      </c>
      <c r="G54" s="219" t="s">
        <v>335</v>
      </c>
      <c r="H54" s="224">
        <v>14010</v>
      </c>
      <c r="I54" s="224">
        <v>33840</v>
      </c>
      <c r="J54" s="224">
        <v>19830</v>
      </c>
      <c r="K54" s="228" t="s">
        <v>4039</v>
      </c>
      <c r="L54" s="219" t="s">
        <v>4040</v>
      </c>
      <c r="M54" s="225" t="s">
        <v>4334</v>
      </c>
      <c r="N54" s="32" t="s">
        <v>4034</v>
      </c>
      <c r="O54" s="99" t="s">
        <v>4031</v>
      </c>
      <c r="P54" s="99" t="s">
        <v>4033</v>
      </c>
    </row>
    <row r="55" spans="1:16" ht="18.75" x14ac:dyDescent="0.3">
      <c r="A55" s="226">
        <v>54</v>
      </c>
      <c r="B55" s="227" t="s">
        <v>4194</v>
      </c>
      <c r="C55" s="246">
        <v>46285</v>
      </c>
      <c r="D55" s="219" t="s">
        <v>4195</v>
      </c>
      <c r="E55" s="246">
        <v>46285</v>
      </c>
      <c r="F55" s="219" t="s">
        <v>4196</v>
      </c>
      <c r="G55" s="219" t="s">
        <v>337</v>
      </c>
      <c r="H55" s="224">
        <v>14030</v>
      </c>
      <c r="I55" s="224">
        <v>33740</v>
      </c>
      <c r="J55" s="224">
        <v>19710</v>
      </c>
      <c r="K55" s="228" t="s">
        <v>4039</v>
      </c>
      <c r="L55" s="219" t="s">
        <v>4040</v>
      </c>
      <c r="M55" s="225" t="s">
        <v>4334</v>
      </c>
      <c r="N55" s="32" t="s">
        <v>4034</v>
      </c>
      <c r="O55" s="99" t="s">
        <v>4031</v>
      </c>
      <c r="P55" s="99" t="s">
        <v>4033</v>
      </c>
    </row>
    <row r="56" spans="1:16" ht="18.75" x14ac:dyDescent="0.3">
      <c r="A56" s="215">
        <v>55</v>
      </c>
      <c r="B56" s="227" t="s">
        <v>4197</v>
      </c>
      <c r="C56" s="246">
        <v>46285</v>
      </c>
      <c r="D56" s="219" t="s">
        <v>4198</v>
      </c>
      <c r="E56" s="246">
        <v>46285</v>
      </c>
      <c r="F56" s="219" t="s">
        <v>4199</v>
      </c>
      <c r="G56" s="219" t="s">
        <v>43</v>
      </c>
      <c r="H56" s="224">
        <v>14010</v>
      </c>
      <c r="I56" s="224">
        <v>32220</v>
      </c>
      <c r="J56" s="224">
        <v>18210</v>
      </c>
      <c r="K56" s="228" t="s">
        <v>4039</v>
      </c>
      <c r="L56" s="219" t="s">
        <v>4040</v>
      </c>
      <c r="M56" s="225" t="s">
        <v>4334</v>
      </c>
      <c r="N56" s="32" t="s">
        <v>4034</v>
      </c>
      <c r="O56" s="99" t="s">
        <v>4031</v>
      </c>
      <c r="P56" s="99" t="s">
        <v>4033</v>
      </c>
    </row>
    <row r="57" spans="1:16" ht="18.75" x14ac:dyDescent="0.3">
      <c r="A57" s="226">
        <v>56</v>
      </c>
      <c r="B57" s="227" t="s">
        <v>4200</v>
      </c>
      <c r="C57" s="246">
        <v>46285</v>
      </c>
      <c r="D57" s="219" t="s">
        <v>4201</v>
      </c>
      <c r="E57" s="246">
        <v>46285</v>
      </c>
      <c r="F57" s="219" t="s">
        <v>4202</v>
      </c>
      <c r="G57" s="219" t="s">
        <v>336</v>
      </c>
      <c r="H57" s="224">
        <v>13710</v>
      </c>
      <c r="I57" s="224">
        <v>33080</v>
      </c>
      <c r="J57" s="224">
        <v>19370</v>
      </c>
      <c r="K57" s="228" t="s">
        <v>4039</v>
      </c>
      <c r="L57" s="219" t="s">
        <v>4040</v>
      </c>
      <c r="M57" s="225" t="s">
        <v>4334</v>
      </c>
      <c r="N57" s="32" t="s">
        <v>4034</v>
      </c>
      <c r="O57" s="99" t="s">
        <v>4031</v>
      </c>
      <c r="P57" s="99" t="s">
        <v>4033</v>
      </c>
    </row>
    <row r="58" spans="1:16" ht="18.75" x14ac:dyDescent="0.3">
      <c r="A58" s="215">
        <v>57</v>
      </c>
      <c r="B58" s="227" t="s">
        <v>4203</v>
      </c>
      <c r="C58" s="246">
        <v>46286</v>
      </c>
      <c r="D58" s="219" t="s">
        <v>4204</v>
      </c>
      <c r="E58" s="246">
        <v>46286</v>
      </c>
      <c r="F58" s="219" t="s">
        <v>4205</v>
      </c>
      <c r="G58" s="219" t="s">
        <v>335</v>
      </c>
      <c r="H58" s="224">
        <v>13950</v>
      </c>
      <c r="I58" s="224">
        <v>32680</v>
      </c>
      <c r="J58" s="224">
        <v>18730</v>
      </c>
      <c r="K58" s="228" t="s">
        <v>4039</v>
      </c>
      <c r="L58" s="219" t="s">
        <v>4040</v>
      </c>
      <c r="M58" s="225" t="s">
        <v>4334</v>
      </c>
      <c r="N58" s="32" t="s">
        <v>4034</v>
      </c>
      <c r="O58" s="99" t="s">
        <v>4031</v>
      </c>
      <c r="P58" s="99" t="s">
        <v>4033</v>
      </c>
    </row>
    <row r="59" spans="1:16" ht="18.75" x14ac:dyDescent="0.3">
      <c r="A59" s="226">
        <v>58</v>
      </c>
      <c r="B59" s="227" t="s">
        <v>4206</v>
      </c>
      <c r="C59" s="246">
        <v>46286</v>
      </c>
      <c r="D59" s="219" t="s">
        <v>4207</v>
      </c>
      <c r="E59" s="246">
        <v>46286</v>
      </c>
      <c r="F59" s="219" t="s">
        <v>4208</v>
      </c>
      <c r="G59" s="219" t="s">
        <v>842</v>
      </c>
      <c r="H59" s="224">
        <v>14100</v>
      </c>
      <c r="I59" s="224">
        <v>32680</v>
      </c>
      <c r="J59" s="224">
        <v>18580</v>
      </c>
      <c r="K59" s="228" t="s">
        <v>4039</v>
      </c>
      <c r="L59" s="219" t="s">
        <v>4040</v>
      </c>
      <c r="M59" s="225" t="s">
        <v>4334</v>
      </c>
      <c r="N59" s="32" t="s">
        <v>4034</v>
      </c>
      <c r="O59" s="99" t="s">
        <v>4031</v>
      </c>
      <c r="P59" s="99" t="s">
        <v>4033</v>
      </c>
    </row>
    <row r="60" spans="1:16" ht="18.75" x14ac:dyDescent="0.3">
      <c r="A60" s="215">
        <v>59</v>
      </c>
      <c r="B60" s="227" t="s">
        <v>4209</v>
      </c>
      <c r="C60" s="246">
        <v>46286</v>
      </c>
      <c r="D60" s="219" t="s">
        <v>4210</v>
      </c>
      <c r="E60" s="246">
        <v>46286</v>
      </c>
      <c r="F60" s="219" t="s">
        <v>4211</v>
      </c>
      <c r="G60" s="219" t="s">
        <v>337</v>
      </c>
      <c r="H60" s="224">
        <v>13950</v>
      </c>
      <c r="I60" s="224">
        <v>31220</v>
      </c>
      <c r="J60" s="224">
        <v>17270</v>
      </c>
      <c r="K60" s="228" t="s">
        <v>4039</v>
      </c>
      <c r="L60" s="219" t="s">
        <v>4040</v>
      </c>
      <c r="M60" s="225" t="s">
        <v>4334</v>
      </c>
      <c r="N60" s="32" t="s">
        <v>4034</v>
      </c>
      <c r="O60" s="99" t="s">
        <v>4031</v>
      </c>
      <c r="P60" s="99" t="s">
        <v>4033</v>
      </c>
    </row>
    <row r="61" spans="1:16" ht="18.75" x14ac:dyDescent="0.3">
      <c r="A61" s="226">
        <v>60</v>
      </c>
      <c r="B61" s="227" t="s">
        <v>4212</v>
      </c>
      <c r="C61" s="246">
        <v>46286</v>
      </c>
      <c r="D61" s="219" t="s">
        <v>4213</v>
      </c>
      <c r="E61" s="246">
        <v>46286</v>
      </c>
      <c r="F61" s="219" t="s">
        <v>4214</v>
      </c>
      <c r="G61" s="219" t="s">
        <v>335</v>
      </c>
      <c r="H61" s="224">
        <v>13960</v>
      </c>
      <c r="I61" s="224">
        <v>33270</v>
      </c>
      <c r="J61" s="224">
        <v>19310</v>
      </c>
      <c r="K61" s="228" t="s">
        <v>4039</v>
      </c>
      <c r="L61" s="219" t="s">
        <v>4040</v>
      </c>
      <c r="M61" s="225" t="s">
        <v>4334</v>
      </c>
      <c r="N61" s="32" t="s">
        <v>4034</v>
      </c>
      <c r="O61" s="99" t="s">
        <v>4031</v>
      </c>
      <c r="P61" s="99" t="s">
        <v>4033</v>
      </c>
    </row>
    <row r="62" spans="1:16" ht="18.75" x14ac:dyDescent="0.3">
      <c r="A62" s="215">
        <v>61</v>
      </c>
      <c r="B62" s="227" t="s">
        <v>4215</v>
      </c>
      <c r="C62" s="246">
        <v>46286</v>
      </c>
      <c r="D62" s="219" t="s">
        <v>4216</v>
      </c>
      <c r="E62" s="246">
        <v>46286</v>
      </c>
      <c r="F62" s="219" t="s">
        <v>4217</v>
      </c>
      <c r="G62" s="219" t="s">
        <v>842</v>
      </c>
      <c r="H62" s="224">
        <v>14070</v>
      </c>
      <c r="I62" s="224">
        <v>32700</v>
      </c>
      <c r="J62" s="224">
        <v>18630</v>
      </c>
      <c r="K62" s="228" t="s">
        <v>4039</v>
      </c>
      <c r="L62" s="219" t="s">
        <v>4040</v>
      </c>
      <c r="M62" s="225" t="s">
        <v>4334</v>
      </c>
      <c r="N62" s="32" t="s">
        <v>4034</v>
      </c>
      <c r="O62" s="99" t="s">
        <v>4031</v>
      </c>
      <c r="P62" s="99" t="s">
        <v>4033</v>
      </c>
    </row>
    <row r="63" spans="1:16" ht="18.75" x14ac:dyDescent="0.3">
      <c r="A63" s="226">
        <v>62</v>
      </c>
      <c r="B63" s="227" t="s">
        <v>4218</v>
      </c>
      <c r="C63" s="246">
        <v>46286</v>
      </c>
      <c r="D63" s="219" t="s">
        <v>4219</v>
      </c>
      <c r="E63" s="246">
        <v>46286</v>
      </c>
      <c r="F63" s="219" t="s">
        <v>4220</v>
      </c>
      <c r="G63" s="219" t="s">
        <v>336</v>
      </c>
      <c r="H63" s="224">
        <v>13740</v>
      </c>
      <c r="I63" s="224">
        <v>32740</v>
      </c>
      <c r="J63" s="224">
        <v>19000</v>
      </c>
      <c r="K63" s="228" t="s">
        <v>4039</v>
      </c>
      <c r="L63" s="219" t="s">
        <v>4040</v>
      </c>
      <c r="M63" s="225" t="s">
        <v>4334</v>
      </c>
      <c r="N63" s="32" t="s">
        <v>4034</v>
      </c>
      <c r="O63" s="99" t="s">
        <v>4031</v>
      </c>
      <c r="P63" s="99" t="s">
        <v>4033</v>
      </c>
    </row>
    <row r="64" spans="1:16" ht="18.75" x14ac:dyDescent="0.3">
      <c r="A64" s="215">
        <v>63</v>
      </c>
      <c r="B64" s="227" t="s">
        <v>4221</v>
      </c>
      <c r="C64" s="246">
        <v>46286</v>
      </c>
      <c r="D64" s="219" t="s">
        <v>4222</v>
      </c>
      <c r="E64" s="246">
        <v>46286</v>
      </c>
      <c r="F64" s="219" t="s">
        <v>4223</v>
      </c>
      <c r="G64" s="219" t="s">
        <v>43</v>
      </c>
      <c r="H64" s="224">
        <v>14030</v>
      </c>
      <c r="I64" s="224">
        <v>32630</v>
      </c>
      <c r="J64" s="224">
        <v>18600</v>
      </c>
      <c r="K64" s="228" t="s">
        <v>4039</v>
      </c>
      <c r="L64" s="219" t="s">
        <v>4040</v>
      </c>
      <c r="M64" s="225" t="s">
        <v>4334</v>
      </c>
      <c r="N64" s="32" t="s">
        <v>4034</v>
      </c>
      <c r="O64" s="99" t="s">
        <v>4031</v>
      </c>
      <c r="P64" s="99" t="s">
        <v>4033</v>
      </c>
    </row>
    <row r="65" spans="1:16" ht="18.75" x14ac:dyDescent="0.3">
      <c r="A65" s="226">
        <v>64</v>
      </c>
      <c r="B65" s="227" t="s">
        <v>4224</v>
      </c>
      <c r="C65" s="246">
        <v>46286</v>
      </c>
      <c r="D65" s="219" t="s">
        <v>4225</v>
      </c>
      <c r="E65" s="246">
        <v>46286</v>
      </c>
      <c r="F65" s="219" t="s">
        <v>4226</v>
      </c>
      <c r="G65" s="219" t="s">
        <v>335</v>
      </c>
      <c r="H65" s="224">
        <v>13940</v>
      </c>
      <c r="I65" s="224">
        <v>33780</v>
      </c>
      <c r="J65" s="224">
        <v>19840</v>
      </c>
      <c r="K65" s="228" t="s">
        <v>4039</v>
      </c>
      <c r="L65" s="219" t="s">
        <v>4040</v>
      </c>
      <c r="M65" s="225" t="s">
        <v>4334</v>
      </c>
      <c r="N65" s="32" t="s">
        <v>4034</v>
      </c>
      <c r="O65" s="99" t="s">
        <v>4031</v>
      </c>
      <c r="P65" s="99" t="s">
        <v>4033</v>
      </c>
    </row>
    <row r="66" spans="1:16" ht="18.75" x14ac:dyDescent="0.3">
      <c r="A66" s="215">
        <v>65</v>
      </c>
      <c r="B66" s="227" t="s">
        <v>4227</v>
      </c>
      <c r="C66" s="246">
        <v>46286</v>
      </c>
      <c r="D66" s="219" t="s">
        <v>4228</v>
      </c>
      <c r="E66" s="246">
        <v>46286</v>
      </c>
      <c r="F66" s="219" t="s">
        <v>4229</v>
      </c>
      <c r="G66" s="219" t="s">
        <v>337</v>
      </c>
      <c r="H66" s="224">
        <v>13930</v>
      </c>
      <c r="I66" s="224">
        <v>33850</v>
      </c>
      <c r="J66" s="224">
        <v>19920</v>
      </c>
      <c r="K66" s="228" t="s">
        <v>4039</v>
      </c>
      <c r="L66" s="219" t="s">
        <v>4040</v>
      </c>
      <c r="M66" s="225" t="s">
        <v>4334</v>
      </c>
      <c r="N66" s="32" t="s">
        <v>4034</v>
      </c>
      <c r="O66" s="99" t="s">
        <v>4031</v>
      </c>
      <c r="P66" s="99" t="s">
        <v>4033</v>
      </c>
    </row>
    <row r="67" spans="1:16" ht="18.75" x14ac:dyDescent="0.3">
      <c r="A67" s="226">
        <v>66</v>
      </c>
      <c r="B67" s="227" t="s">
        <v>4230</v>
      </c>
      <c r="C67" s="246">
        <v>46286</v>
      </c>
      <c r="D67" s="219" t="s">
        <v>4231</v>
      </c>
      <c r="E67" s="246">
        <v>46286</v>
      </c>
      <c r="F67" s="219" t="s">
        <v>4232</v>
      </c>
      <c r="G67" s="219" t="s">
        <v>842</v>
      </c>
      <c r="H67" s="224">
        <v>13930</v>
      </c>
      <c r="I67" s="224">
        <v>33670</v>
      </c>
      <c r="J67" s="224">
        <v>19740</v>
      </c>
      <c r="K67" s="228" t="s">
        <v>4039</v>
      </c>
      <c r="L67" s="219" t="s">
        <v>4040</v>
      </c>
      <c r="M67" s="225" t="s">
        <v>4334</v>
      </c>
      <c r="N67" s="32" t="s">
        <v>4034</v>
      </c>
      <c r="O67" s="99" t="s">
        <v>4031</v>
      </c>
      <c r="P67" s="99" t="s">
        <v>4033</v>
      </c>
    </row>
    <row r="68" spans="1:16" ht="18.75" x14ac:dyDescent="0.3">
      <c r="A68" s="215">
        <v>67</v>
      </c>
      <c r="B68" s="227" t="s">
        <v>4233</v>
      </c>
      <c r="C68" s="246">
        <v>46286</v>
      </c>
      <c r="D68" s="219" t="s">
        <v>4234</v>
      </c>
      <c r="E68" s="246">
        <v>46286</v>
      </c>
      <c r="F68" s="219" t="s">
        <v>4235</v>
      </c>
      <c r="G68" s="219" t="s">
        <v>336</v>
      </c>
      <c r="H68" s="224">
        <v>13990</v>
      </c>
      <c r="I68" s="224">
        <v>31960</v>
      </c>
      <c r="J68" s="224">
        <v>17970</v>
      </c>
      <c r="K68" s="228" t="s">
        <v>4039</v>
      </c>
      <c r="L68" s="219" t="s">
        <v>4040</v>
      </c>
      <c r="M68" s="225" t="s">
        <v>4334</v>
      </c>
      <c r="N68" s="32" t="s">
        <v>4034</v>
      </c>
      <c r="O68" s="99" t="s">
        <v>4031</v>
      </c>
      <c r="P68" s="99" t="s">
        <v>4033</v>
      </c>
    </row>
    <row r="69" spans="1:16" ht="18.75" x14ac:dyDescent="0.3">
      <c r="A69" s="226">
        <v>68</v>
      </c>
      <c r="B69" s="227" t="s">
        <v>4236</v>
      </c>
      <c r="C69" s="246">
        <v>46286</v>
      </c>
      <c r="D69" s="219" t="s">
        <v>4237</v>
      </c>
      <c r="E69" s="246">
        <v>46286</v>
      </c>
      <c r="F69" s="219" t="s">
        <v>4238</v>
      </c>
      <c r="G69" s="219" t="s">
        <v>43</v>
      </c>
      <c r="H69" s="224">
        <v>13940</v>
      </c>
      <c r="I69" s="224">
        <v>32410</v>
      </c>
      <c r="J69" s="224">
        <v>18470</v>
      </c>
      <c r="K69" s="228" t="s">
        <v>4039</v>
      </c>
      <c r="L69" s="219" t="s">
        <v>4040</v>
      </c>
      <c r="M69" s="225" t="s">
        <v>4334</v>
      </c>
      <c r="N69" s="32" t="s">
        <v>4034</v>
      </c>
      <c r="O69" s="99" t="s">
        <v>4031</v>
      </c>
      <c r="P69" s="99" t="s">
        <v>4033</v>
      </c>
    </row>
    <row r="70" spans="1:16" ht="18.75" x14ac:dyDescent="0.3">
      <c r="A70" s="215">
        <v>69</v>
      </c>
      <c r="B70" s="227" t="s">
        <v>4239</v>
      </c>
      <c r="C70" s="246">
        <v>46286</v>
      </c>
      <c r="D70" s="219" t="s">
        <v>4240</v>
      </c>
      <c r="E70" s="246">
        <v>46286</v>
      </c>
      <c r="F70" s="219" t="s">
        <v>4241</v>
      </c>
      <c r="G70" s="219" t="s">
        <v>335</v>
      </c>
      <c r="H70" s="224">
        <v>13880</v>
      </c>
      <c r="I70" s="224">
        <v>31680</v>
      </c>
      <c r="J70" s="224">
        <v>17800</v>
      </c>
      <c r="K70" s="228" t="s">
        <v>4039</v>
      </c>
      <c r="L70" s="219" t="s">
        <v>4040</v>
      </c>
      <c r="M70" s="225" t="s">
        <v>4334</v>
      </c>
      <c r="N70" s="32" t="s">
        <v>4034</v>
      </c>
      <c r="O70" s="99" t="s">
        <v>4031</v>
      </c>
      <c r="P70" s="99" t="s">
        <v>4033</v>
      </c>
    </row>
    <row r="71" spans="1:16" ht="18.75" x14ac:dyDescent="0.3">
      <c r="A71" s="226">
        <v>70</v>
      </c>
      <c r="B71" s="227" t="s">
        <v>4242</v>
      </c>
      <c r="C71" s="246">
        <v>46286</v>
      </c>
      <c r="D71" s="219" t="s">
        <v>4243</v>
      </c>
      <c r="E71" s="246">
        <v>46286</v>
      </c>
      <c r="F71" s="219" t="s">
        <v>4244</v>
      </c>
      <c r="G71" s="219" t="s">
        <v>842</v>
      </c>
      <c r="H71" s="224">
        <v>14220</v>
      </c>
      <c r="I71" s="224">
        <v>33210</v>
      </c>
      <c r="J71" s="224">
        <v>18990</v>
      </c>
      <c r="K71" s="228" t="s">
        <v>4039</v>
      </c>
      <c r="L71" s="219" t="s">
        <v>4040</v>
      </c>
      <c r="M71" s="225" t="s">
        <v>4334</v>
      </c>
      <c r="N71" s="32" t="s">
        <v>4034</v>
      </c>
      <c r="O71" s="99" t="s">
        <v>4031</v>
      </c>
      <c r="P71" s="99" t="s">
        <v>4033</v>
      </c>
    </row>
    <row r="72" spans="1:16" ht="18.75" x14ac:dyDescent="0.3">
      <c r="A72" s="215">
        <v>71</v>
      </c>
      <c r="B72" s="227" t="s">
        <v>4245</v>
      </c>
      <c r="C72" s="246">
        <v>46286</v>
      </c>
      <c r="D72" s="219" t="s">
        <v>4246</v>
      </c>
      <c r="E72" s="246">
        <v>46286</v>
      </c>
      <c r="F72" s="219" t="s">
        <v>4247</v>
      </c>
      <c r="G72" s="219" t="s">
        <v>337</v>
      </c>
      <c r="H72" s="224">
        <v>13860</v>
      </c>
      <c r="I72" s="224">
        <v>32950</v>
      </c>
      <c r="J72" s="224">
        <v>19090</v>
      </c>
      <c r="K72" s="228" t="s">
        <v>4039</v>
      </c>
      <c r="L72" s="219" t="s">
        <v>4040</v>
      </c>
      <c r="M72" s="225" t="s">
        <v>4334</v>
      </c>
      <c r="N72" s="32" t="s">
        <v>4034</v>
      </c>
      <c r="O72" s="99" t="s">
        <v>4031</v>
      </c>
      <c r="P72" s="99" t="s">
        <v>4033</v>
      </c>
    </row>
    <row r="73" spans="1:16" ht="18.75" x14ac:dyDescent="0.3">
      <c r="A73" s="226">
        <v>72</v>
      </c>
      <c r="B73" s="227" t="s">
        <v>4248</v>
      </c>
      <c r="C73" s="246">
        <v>46286</v>
      </c>
      <c r="D73" s="219" t="s">
        <v>4249</v>
      </c>
      <c r="E73" s="246">
        <v>46286</v>
      </c>
      <c r="F73" s="219" t="s">
        <v>4250</v>
      </c>
      <c r="G73" s="219" t="s">
        <v>43</v>
      </c>
      <c r="H73" s="224">
        <v>13870</v>
      </c>
      <c r="I73" s="224">
        <v>32500</v>
      </c>
      <c r="J73" s="224">
        <v>18630</v>
      </c>
      <c r="K73" s="228" t="s">
        <v>4039</v>
      </c>
      <c r="L73" s="219" t="s">
        <v>4040</v>
      </c>
      <c r="M73" s="225" t="s">
        <v>4334</v>
      </c>
      <c r="N73" s="32" t="s">
        <v>4034</v>
      </c>
      <c r="O73" s="99" t="s">
        <v>4031</v>
      </c>
      <c r="P73" s="99" t="s">
        <v>4033</v>
      </c>
    </row>
    <row r="74" spans="1:16" ht="18.75" x14ac:dyDescent="0.3">
      <c r="A74" s="215">
        <v>73</v>
      </c>
      <c r="B74" s="227" t="s">
        <v>4251</v>
      </c>
      <c r="C74" s="246">
        <v>46286</v>
      </c>
      <c r="D74" s="219" t="s">
        <v>4252</v>
      </c>
      <c r="E74" s="246">
        <v>46286</v>
      </c>
      <c r="F74" s="219" t="s">
        <v>4035</v>
      </c>
      <c r="G74" s="219" t="s">
        <v>335</v>
      </c>
      <c r="H74" s="224">
        <v>13810</v>
      </c>
      <c r="I74" s="224">
        <v>32790</v>
      </c>
      <c r="J74" s="224">
        <v>18980</v>
      </c>
      <c r="K74" s="228" t="s">
        <v>4039</v>
      </c>
      <c r="L74" s="219" t="s">
        <v>4040</v>
      </c>
      <c r="M74" s="225" t="s">
        <v>4334</v>
      </c>
      <c r="N74" s="32" t="s">
        <v>4034</v>
      </c>
      <c r="O74" s="99" t="s">
        <v>4031</v>
      </c>
      <c r="P74" s="99" t="s">
        <v>4033</v>
      </c>
    </row>
    <row r="75" spans="1:16" ht="18.75" x14ac:dyDescent="0.3">
      <c r="A75" s="226">
        <v>74</v>
      </c>
      <c r="B75" s="227" t="s">
        <v>4253</v>
      </c>
      <c r="C75" s="246">
        <v>46286</v>
      </c>
      <c r="D75" s="219" t="s">
        <v>4254</v>
      </c>
      <c r="E75" s="246">
        <v>46286</v>
      </c>
      <c r="F75" s="219" t="s">
        <v>4255</v>
      </c>
      <c r="G75" s="219" t="s">
        <v>336</v>
      </c>
      <c r="H75" s="224">
        <v>13920</v>
      </c>
      <c r="I75" s="224">
        <v>32820</v>
      </c>
      <c r="J75" s="224">
        <v>18900</v>
      </c>
      <c r="K75" s="228" t="s">
        <v>4039</v>
      </c>
      <c r="L75" s="219" t="s">
        <v>4040</v>
      </c>
      <c r="M75" s="225" t="s">
        <v>4334</v>
      </c>
      <c r="N75" s="32" t="s">
        <v>4034</v>
      </c>
      <c r="O75" s="99" t="s">
        <v>4031</v>
      </c>
      <c r="P75" s="99" t="s">
        <v>4033</v>
      </c>
    </row>
    <row r="76" spans="1:16" ht="18.75" x14ac:dyDescent="0.3">
      <c r="A76" s="215">
        <v>75</v>
      </c>
      <c r="B76" s="227" t="s">
        <v>4256</v>
      </c>
      <c r="C76" s="246">
        <v>46287</v>
      </c>
      <c r="D76" s="219" t="s">
        <v>4257</v>
      </c>
      <c r="E76" s="246">
        <v>46287</v>
      </c>
      <c r="F76" s="219" t="s">
        <v>4258</v>
      </c>
      <c r="G76" s="219" t="s">
        <v>336</v>
      </c>
      <c r="H76" s="224">
        <v>13870</v>
      </c>
      <c r="I76" s="224">
        <v>32010</v>
      </c>
      <c r="J76" s="224">
        <v>18140</v>
      </c>
      <c r="K76" s="228" t="s">
        <v>4039</v>
      </c>
      <c r="L76" s="219" t="s">
        <v>4040</v>
      </c>
      <c r="M76" s="225" t="s">
        <v>4334</v>
      </c>
      <c r="N76" s="32" t="s">
        <v>4034</v>
      </c>
      <c r="O76" s="99" t="s">
        <v>4031</v>
      </c>
      <c r="P76" s="99" t="s">
        <v>4033</v>
      </c>
    </row>
    <row r="77" spans="1:16" ht="18.75" x14ac:dyDescent="0.3">
      <c r="A77" s="226">
        <v>76</v>
      </c>
      <c r="B77" s="227" t="s">
        <v>4259</v>
      </c>
      <c r="C77" s="246">
        <v>46287</v>
      </c>
      <c r="D77" s="219" t="s">
        <v>4260</v>
      </c>
      <c r="E77" s="246">
        <v>46287</v>
      </c>
      <c r="F77" s="219" t="s">
        <v>4261</v>
      </c>
      <c r="G77" s="219" t="s">
        <v>337</v>
      </c>
      <c r="H77" s="224">
        <v>13850</v>
      </c>
      <c r="I77" s="224">
        <v>32800</v>
      </c>
      <c r="J77" s="224">
        <v>18950</v>
      </c>
      <c r="K77" s="228" t="s">
        <v>4039</v>
      </c>
      <c r="L77" s="219" t="s">
        <v>4040</v>
      </c>
      <c r="M77" s="225" t="s">
        <v>4334</v>
      </c>
      <c r="N77" s="32" t="s">
        <v>4034</v>
      </c>
      <c r="O77" s="99" t="s">
        <v>4031</v>
      </c>
      <c r="P77" s="99" t="s">
        <v>4033</v>
      </c>
    </row>
    <row r="78" spans="1:16" ht="18.75" x14ac:dyDescent="0.3">
      <c r="A78" s="215">
        <v>77</v>
      </c>
      <c r="B78" s="227" t="s">
        <v>4262</v>
      </c>
      <c r="C78" s="246">
        <v>46287</v>
      </c>
      <c r="D78" s="219" t="s">
        <v>4263</v>
      </c>
      <c r="E78" s="246">
        <v>46287</v>
      </c>
      <c r="F78" s="219" t="s">
        <v>4264</v>
      </c>
      <c r="G78" s="219" t="s">
        <v>842</v>
      </c>
      <c r="H78" s="224">
        <v>14240</v>
      </c>
      <c r="I78" s="224">
        <v>32230</v>
      </c>
      <c r="J78" s="224">
        <v>17990</v>
      </c>
      <c r="K78" s="228" t="s">
        <v>4039</v>
      </c>
      <c r="L78" s="219" t="s">
        <v>4040</v>
      </c>
      <c r="M78" s="225" t="s">
        <v>4334</v>
      </c>
      <c r="N78" s="32" t="s">
        <v>4034</v>
      </c>
      <c r="O78" s="99" t="s">
        <v>4031</v>
      </c>
      <c r="P78" s="99" t="s">
        <v>4033</v>
      </c>
    </row>
    <row r="79" spans="1:16" ht="18.75" x14ac:dyDescent="0.3">
      <c r="A79" s="226">
        <v>78</v>
      </c>
      <c r="B79" s="227" t="s">
        <v>4265</v>
      </c>
      <c r="C79" s="246">
        <v>46287</v>
      </c>
      <c r="D79" s="219" t="s">
        <v>4266</v>
      </c>
      <c r="E79" s="246">
        <v>46287</v>
      </c>
      <c r="F79" s="219" t="s">
        <v>4267</v>
      </c>
      <c r="G79" s="219" t="s">
        <v>335</v>
      </c>
      <c r="H79" s="224">
        <v>13930</v>
      </c>
      <c r="I79" s="224">
        <v>31940</v>
      </c>
      <c r="J79" s="224">
        <v>18010</v>
      </c>
      <c r="K79" s="228" t="s">
        <v>4039</v>
      </c>
      <c r="L79" s="219" t="s">
        <v>4040</v>
      </c>
      <c r="M79" s="225" t="s">
        <v>4334</v>
      </c>
      <c r="N79" s="32" t="s">
        <v>4034</v>
      </c>
      <c r="O79" s="99" t="s">
        <v>4031</v>
      </c>
      <c r="P79" s="99" t="s">
        <v>4033</v>
      </c>
    </row>
    <row r="80" spans="1:16" ht="18.75" x14ac:dyDescent="0.3">
      <c r="A80" s="215">
        <v>79</v>
      </c>
      <c r="B80" s="227" t="s">
        <v>4268</v>
      </c>
      <c r="C80" s="246">
        <v>46287</v>
      </c>
      <c r="D80" s="219" t="s">
        <v>4269</v>
      </c>
      <c r="E80" s="246">
        <v>46287</v>
      </c>
      <c r="F80" s="219" t="s">
        <v>4270</v>
      </c>
      <c r="G80" s="219" t="s">
        <v>43</v>
      </c>
      <c r="H80" s="224">
        <v>13860</v>
      </c>
      <c r="I80" s="224">
        <v>31530</v>
      </c>
      <c r="J80" s="224">
        <v>17670</v>
      </c>
      <c r="K80" s="228" t="s">
        <v>4039</v>
      </c>
      <c r="L80" s="219" t="s">
        <v>4040</v>
      </c>
      <c r="M80" s="225" t="s">
        <v>4334</v>
      </c>
      <c r="N80" s="32" t="s">
        <v>4034</v>
      </c>
      <c r="O80" s="99" t="s">
        <v>4031</v>
      </c>
      <c r="P80" s="99" t="s">
        <v>4033</v>
      </c>
    </row>
    <row r="81" spans="1:16" ht="18.75" x14ac:dyDescent="0.3">
      <c r="A81" s="226">
        <v>80</v>
      </c>
      <c r="B81" s="227" t="s">
        <v>4271</v>
      </c>
      <c r="C81" s="246">
        <v>46287</v>
      </c>
      <c r="D81" s="219" t="s">
        <v>4272</v>
      </c>
      <c r="E81" s="246">
        <v>46287</v>
      </c>
      <c r="F81" s="219" t="s">
        <v>4273</v>
      </c>
      <c r="G81" s="219" t="s">
        <v>336</v>
      </c>
      <c r="H81" s="224">
        <v>13910</v>
      </c>
      <c r="I81" s="224">
        <v>31880</v>
      </c>
      <c r="J81" s="224">
        <v>17970</v>
      </c>
      <c r="K81" s="228" t="s">
        <v>4039</v>
      </c>
      <c r="L81" s="219" t="s">
        <v>4040</v>
      </c>
      <c r="M81" s="225" t="s">
        <v>4334</v>
      </c>
      <c r="N81" s="32" t="s">
        <v>4034</v>
      </c>
      <c r="O81" s="99" t="s">
        <v>4031</v>
      </c>
      <c r="P81" s="99" t="s">
        <v>4033</v>
      </c>
    </row>
    <row r="82" spans="1:16" ht="18.75" x14ac:dyDescent="0.3">
      <c r="A82" s="215">
        <v>81</v>
      </c>
      <c r="B82" s="227" t="s">
        <v>4274</v>
      </c>
      <c r="C82" s="246">
        <v>46287</v>
      </c>
      <c r="D82" s="219" t="s">
        <v>4275</v>
      </c>
      <c r="E82" s="246">
        <v>46287</v>
      </c>
      <c r="F82" s="219" t="s">
        <v>4276</v>
      </c>
      <c r="G82" s="219" t="s">
        <v>337</v>
      </c>
      <c r="H82" s="224">
        <v>13870</v>
      </c>
      <c r="I82" s="224">
        <v>33780</v>
      </c>
      <c r="J82" s="224">
        <v>19910</v>
      </c>
      <c r="K82" s="228" t="s">
        <v>4039</v>
      </c>
      <c r="L82" s="219" t="s">
        <v>4040</v>
      </c>
      <c r="M82" s="225" t="s">
        <v>4334</v>
      </c>
      <c r="N82" s="32" t="s">
        <v>4034</v>
      </c>
      <c r="O82" s="99" t="s">
        <v>4031</v>
      </c>
      <c r="P82" s="99" t="s">
        <v>4033</v>
      </c>
    </row>
    <row r="83" spans="1:16" ht="18.75" x14ac:dyDescent="0.3">
      <c r="A83" s="226">
        <v>82</v>
      </c>
      <c r="B83" s="227" t="s">
        <v>4277</v>
      </c>
      <c r="C83" s="246">
        <v>46287</v>
      </c>
      <c r="D83" s="219" t="s">
        <v>4278</v>
      </c>
      <c r="E83" s="246">
        <v>46287</v>
      </c>
      <c r="F83" s="219" t="s">
        <v>4279</v>
      </c>
      <c r="G83" s="219" t="s">
        <v>842</v>
      </c>
      <c r="H83" s="224">
        <v>14190</v>
      </c>
      <c r="I83" s="224">
        <v>33520</v>
      </c>
      <c r="J83" s="224">
        <v>19330</v>
      </c>
      <c r="K83" s="228" t="s">
        <v>4039</v>
      </c>
      <c r="L83" s="219" t="s">
        <v>4040</v>
      </c>
      <c r="M83" s="225" t="s">
        <v>4334</v>
      </c>
      <c r="N83" s="32" t="s">
        <v>4034</v>
      </c>
      <c r="O83" s="99" t="s">
        <v>4031</v>
      </c>
      <c r="P83" s="99" t="s">
        <v>4033</v>
      </c>
    </row>
    <row r="84" spans="1:16" ht="18.75" x14ac:dyDescent="0.3">
      <c r="A84" s="215">
        <v>83</v>
      </c>
      <c r="B84" s="227" t="s">
        <v>4280</v>
      </c>
      <c r="C84" s="246">
        <v>46287</v>
      </c>
      <c r="D84" s="219" t="s">
        <v>4281</v>
      </c>
      <c r="E84" s="246">
        <v>46287</v>
      </c>
      <c r="F84" s="219" t="s">
        <v>4282</v>
      </c>
      <c r="G84" s="219" t="s">
        <v>335</v>
      </c>
      <c r="H84" s="224">
        <v>14180</v>
      </c>
      <c r="I84" s="224">
        <v>32600</v>
      </c>
      <c r="J84" s="224">
        <v>18420</v>
      </c>
      <c r="K84" s="228" t="s">
        <v>4039</v>
      </c>
      <c r="L84" s="219" t="s">
        <v>4040</v>
      </c>
      <c r="M84" s="225" t="s">
        <v>4334</v>
      </c>
      <c r="N84" s="32" t="s">
        <v>4034</v>
      </c>
      <c r="O84" s="99" t="s">
        <v>4031</v>
      </c>
      <c r="P84" s="99" t="s">
        <v>4033</v>
      </c>
    </row>
    <row r="85" spans="1:16" ht="18.75" x14ac:dyDescent="0.3">
      <c r="A85" s="226">
        <v>84</v>
      </c>
      <c r="B85" s="227" t="s">
        <v>4283</v>
      </c>
      <c r="C85" s="246">
        <v>46287</v>
      </c>
      <c r="D85" s="219" t="s">
        <v>4284</v>
      </c>
      <c r="E85" s="246">
        <v>46287</v>
      </c>
      <c r="F85" s="219" t="s">
        <v>4285</v>
      </c>
      <c r="G85" s="219" t="s">
        <v>43</v>
      </c>
      <c r="H85" s="224">
        <v>13890</v>
      </c>
      <c r="I85" s="224">
        <v>32470</v>
      </c>
      <c r="J85" s="224">
        <v>18580</v>
      </c>
      <c r="K85" s="228" t="s">
        <v>4039</v>
      </c>
      <c r="L85" s="219" t="s">
        <v>4040</v>
      </c>
      <c r="M85" s="225" t="s">
        <v>4334</v>
      </c>
      <c r="N85" s="32" t="s">
        <v>4034</v>
      </c>
      <c r="O85" s="99" t="s">
        <v>4031</v>
      </c>
      <c r="P85" s="99" t="s">
        <v>4033</v>
      </c>
    </row>
    <row r="86" spans="1:16" ht="18.75" x14ac:dyDescent="0.3">
      <c r="A86" s="215">
        <v>85</v>
      </c>
      <c r="B86" s="227" t="s">
        <v>4286</v>
      </c>
      <c r="C86" s="246">
        <v>46287</v>
      </c>
      <c r="D86" s="219" t="s">
        <v>4287</v>
      </c>
      <c r="E86" s="246">
        <v>46287</v>
      </c>
      <c r="F86" s="219" t="s">
        <v>4288</v>
      </c>
      <c r="G86" s="219" t="s">
        <v>336</v>
      </c>
      <c r="H86" s="224">
        <v>13960</v>
      </c>
      <c r="I86" s="224">
        <v>31420</v>
      </c>
      <c r="J86" s="224">
        <v>17460</v>
      </c>
      <c r="K86" s="228" t="s">
        <v>4039</v>
      </c>
      <c r="L86" s="219" t="s">
        <v>4040</v>
      </c>
      <c r="M86" s="225" t="s">
        <v>4334</v>
      </c>
      <c r="N86" s="32" t="s">
        <v>4034</v>
      </c>
      <c r="O86" s="99" t="s">
        <v>4031</v>
      </c>
      <c r="P86" s="99" t="s">
        <v>4033</v>
      </c>
    </row>
    <row r="87" spans="1:16" ht="18.75" x14ac:dyDescent="0.3">
      <c r="A87" s="226">
        <v>86</v>
      </c>
      <c r="B87" s="227" t="s">
        <v>4289</v>
      </c>
      <c r="C87" s="246">
        <v>46287</v>
      </c>
      <c r="D87" s="219" t="s">
        <v>4290</v>
      </c>
      <c r="E87" s="246">
        <v>46287</v>
      </c>
      <c r="F87" s="219" t="s">
        <v>4291</v>
      </c>
      <c r="G87" s="219" t="s">
        <v>337</v>
      </c>
      <c r="H87" s="224">
        <v>14030</v>
      </c>
      <c r="I87" s="224">
        <v>31620</v>
      </c>
      <c r="J87" s="224">
        <v>17590</v>
      </c>
      <c r="K87" s="228" t="s">
        <v>4039</v>
      </c>
      <c r="L87" s="219" t="s">
        <v>4040</v>
      </c>
      <c r="M87" s="225" t="s">
        <v>4334</v>
      </c>
      <c r="N87" s="32" t="s">
        <v>4034</v>
      </c>
      <c r="O87" s="99" t="s">
        <v>4031</v>
      </c>
      <c r="P87" s="99" t="s">
        <v>4033</v>
      </c>
    </row>
    <row r="88" spans="1:16" ht="18.75" x14ac:dyDescent="0.3">
      <c r="A88" s="215">
        <v>87</v>
      </c>
      <c r="B88" s="227" t="s">
        <v>4292</v>
      </c>
      <c r="C88" s="246">
        <v>46287</v>
      </c>
      <c r="D88" s="219" t="s">
        <v>4293</v>
      </c>
      <c r="E88" s="246">
        <v>46287</v>
      </c>
      <c r="F88" s="219" t="s">
        <v>4294</v>
      </c>
      <c r="G88" s="219" t="s">
        <v>335</v>
      </c>
      <c r="H88" s="224">
        <v>14050</v>
      </c>
      <c r="I88" s="224">
        <v>31380</v>
      </c>
      <c r="J88" s="224">
        <v>17330</v>
      </c>
      <c r="K88" s="228" t="s">
        <v>4039</v>
      </c>
      <c r="L88" s="219" t="s">
        <v>4040</v>
      </c>
      <c r="M88" s="225" t="s">
        <v>4334</v>
      </c>
      <c r="N88" s="32" t="s">
        <v>4034</v>
      </c>
      <c r="O88" s="99" t="s">
        <v>4031</v>
      </c>
      <c r="P88" s="99" t="s">
        <v>4033</v>
      </c>
    </row>
    <row r="89" spans="1:16" ht="18.75" x14ac:dyDescent="0.3">
      <c r="A89" s="226">
        <v>88</v>
      </c>
      <c r="B89" s="227" t="s">
        <v>4295</v>
      </c>
      <c r="C89" s="246">
        <v>46287</v>
      </c>
      <c r="D89" s="219" t="s">
        <v>4296</v>
      </c>
      <c r="E89" s="246">
        <v>46287</v>
      </c>
      <c r="F89" s="219" t="s">
        <v>4297</v>
      </c>
      <c r="G89" s="219" t="s">
        <v>43</v>
      </c>
      <c r="H89" s="224">
        <v>14070</v>
      </c>
      <c r="I89" s="224">
        <v>31050</v>
      </c>
      <c r="J89" s="224">
        <v>16980</v>
      </c>
      <c r="K89" s="228" t="s">
        <v>4039</v>
      </c>
      <c r="L89" s="219" t="s">
        <v>4040</v>
      </c>
      <c r="M89" s="225" t="s">
        <v>4334</v>
      </c>
      <c r="N89" s="32" t="s">
        <v>4034</v>
      </c>
      <c r="O89" s="99" t="s">
        <v>4031</v>
      </c>
      <c r="P89" s="99" t="s">
        <v>4033</v>
      </c>
    </row>
    <row r="90" spans="1:16" ht="18.75" x14ac:dyDescent="0.3">
      <c r="A90" s="215">
        <v>89</v>
      </c>
      <c r="B90" s="227" t="s">
        <v>4298</v>
      </c>
      <c r="C90" s="246">
        <v>46287</v>
      </c>
      <c r="D90" s="219" t="s">
        <v>4299</v>
      </c>
      <c r="E90" s="246">
        <v>46287</v>
      </c>
      <c r="F90" s="219" t="s">
        <v>4300</v>
      </c>
      <c r="G90" s="219" t="s">
        <v>842</v>
      </c>
      <c r="H90" s="224">
        <v>14160</v>
      </c>
      <c r="I90" s="224">
        <v>31780</v>
      </c>
      <c r="J90" s="224">
        <v>17620</v>
      </c>
      <c r="K90" s="228" t="s">
        <v>4039</v>
      </c>
      <c r="L90" s="219" t="s">
        <v>4040</v>
      </c>
      <c r="M90" s="225" t="s">
        <v>4334</v>
      </c>
      <c r="N90" s="32" t="s">
        <v>4034</v>
      </c>
      <c r="O90" s="99" t="s">
        <v>4031</v>
      </c>
      <c r="P90" s="99" t="s">
        <v>4033</v>
      </c>
    </row>
    <row r="91" spans="1:16" ht="18.75" x14ac:dyDescent="0.3">
      <c r="A91" s="226">
        <v>90</v>
      </c>
      <c r="B91" s="227" t="s">
        <v>4301</v>
      </c>
      <c r="C91" s="246">
        <v>46287</v>
      </c>
      <c r="D91" s="219" t="s">
        <v>4302</v>
      </c>
      <c r="E91" s="246">
        <v>46287</v>
      </c>
      <c r="F91" s="219" t="s">
        <v>4303</v>
      </c>
      <c r="G91" s="219" t="s">
        <v>336</v>
      </c>
      <c r="H91" s="224">
        <v>13760</v>
      </c>
      <c r="I91" s="224">
        <v>30910</v>
      </c>
      <c r="J91" s="224">
        <v>17150</v>
      </c>
      <c r="K91" s="228" t="s">
        <v>4039</v>
      </c>
      <c r="L91" s="219" t="s">
        <v>4040</v>
      </c>
      <c r="M91" s="225" t="s">
        <v>4334</v>
      </c>
      <c r="N91" s="32" t="s">
        <v>4034</v>
      </c>
      <c r="O91" s="99" t="s">
        <v>4031</v>
      </c>
      <c r="P91" s="99" t="s">
        <v>4033</v>
      </c>
    </row>
    <row r="92" spans="1:16" ht="18.75" x14ac:dyDescent="0.3">
      <c r="A92" s="215">
        <v>91</v>
      </c>
      <c r="B92" s="227" t="s">
        <v>4304</v>
      </c>
      <c r="C92" s="246">
        <v>46287</v>
      </c>
      <c r="D92" s="219" t="s">
        <v>4305</v>
      </c>
      <c r="E92" s="246">
        <v>46287</v>
      </c>
      <c r="F92" s="219" t="s">
        <v>4306</v>
      </c>
      <c r="G92" s="219" t="s">
        <v>337</v>
      </c>
      <c r="H92" s="224">
        <v>13960</v>
      </c>
      <c r="I92" s="224">
        <v>32660</v>
      </c>
      <c r="J92" s="224">
        <v>18700</v>
      </c>
      <c r="K92" s="228" t="s">
        <v>4039</v>
      </c>
      <c r="L92" s="219" t="s">
        <v>4040</v>
      </c>
      <c r="M92" s="225" t="s">
        <v>4334</v>
      </c>
      <c r="N92" s="32" t="s">
        <v>4034</v>
      </c>
      <c r="O92" s="99" t="s">
        <v>4031</v>
      </c>
      <c r="P92" s="99" t="s">
        <v>4033</v>
      </c>
    </row>
    <row r="93" spans="1:16" ht="18.75" x14ac:dyDescent="0.3">
      <c r="A93" s="226">
        <v>92</v>
      </c>
      <c r="B93" s="227" t="s">
        <v>4307</v>
      </c>
      <c r="C93" s="246">
        <v>46287</v>
      </c>
      <c r="D93" s="219" t="s">
        <v>4308</v>
      </c>
      <c r="E93" s="246">
        <v>46287</v>
      </c>
      <c r="F93" s="219" t="s">
        <v>4309</v>
      </c>
      <c r="G93" s="219" t="s">
        <v>335</v>
      </c>
      <c r="H93" s="224">
        <v>13980</v>
      </c>
      <c r="I93" s="224">
        <v>33330</v>
      </c>
      <c r="J93" s="224">
        <v>19350</v>
      </c>
      <c r="K93" s="228" t="s">
        <v>4039</v>
      </c>
      <c r="L93" s="219" t="s">
        <v>4040</v>
      </c>
      <c r="M93" s="225" t="s">
        <v>4334</v>
      </c>
      <c r="N93" s="32" t="s">
        <v>4034</v>
      </c>
      <c r="O93" s="99" t="s">
        <v>4031</v>
      </c>
      <c r="P93" s="99" t="s">
        <v>4033</v>
      </c>
    </row>
    <row r="94" spans="1:16" ht="18.75" x14ac:dyDescent="0.3">
      <c r="A94" s="215">
        <v>93</v>
      </c>
      <c r="B94" s="227" t="s">
        <v>4310</v>
      </c>
      <c r="C94" s="246">
        <v>46287</v>
      </c>
      <c r="D94" s="219" t="s">
        <v>4311</v>
      </c>
      <c r="E94" s="246">
        <v>46287</v>
      </c>
      <c r="F94" s="219" t="s">
        <v>4312</v>
      </c>
      <c r="G94" s="219" t="s">
        <v>43</v>
      </c>
      <c r="H94" s="224">
        <v>13990</v>
      </c>
      <c r="I94" s="224">
        <v>31740</v>
      </c>
      <c r="J94" s="224">
        <v>17750</v>
      </c>
      <c r="K94" s="228" t="s">
        <v>4039</v>
      </c>
      <c r="L94" s="219" t="s">
        <v>4040</v>
      </c>
      <c r="M94" s="225" t="s">
        <v>4334</v>
      </c>
      <c r="N94" s="32" t="s">
        <v>4034</v>
      </c>
      <c r="O94" s="99" t="s">
        <v>4031</v>
      </c>
      <c r="P94" s="99" t="s">
        <v>4033</v>
      </c>
    </row>
    <row r="95" spans="1:16" ht="18.75" x14ac:dyDescent="0.3">
      <c r="A95" s="226">
        <v>94</v>
      </c>
      <c r="B95" s="227" t="s">
        <v>4313</v>
      </c>
      <c r="C95" s="246">
        <v>46287</v>
      </c>
      <c r="D95" s="219" t="s">
        <v>4314</v>
      </c>
      <c r="E95" s="246">
        <v>46287</v>
      </c>
      <c r="F95" s="219" t="s">
        <v>4315</v>
      </c>
      <c r="G95" s="219" t="s">
        <v>842</v>
      </c>
      <c r="H95" s="224">
        <v>14070</v>
      </c>
      <c r="I95" s="224">
        <v>31400</v>
      </c>
      <c r="J95" s="224">
        <v>17330</v>
      </c>
      <c r="K95" s="228" t="s">
        <v>4039</v>
      </c>
      <c r="L95" s="219" t="s">
        <v>4040</v>
      </c>
      <c r="M95" s="225" t="s">
        <v>4334</v>
      </c>
      <c r="N95" s="32" t="s">
        <v>4034</v>
      </c>
      <c r="O95" s="99" t="s">
        <v>4031</v>
      </c>
      <c r="P95" s="99" t="s">
        <v>4033</v>
      </c>
    </row>
    <row r="96" spans="1:16" ht="18.75" x14ac:dyDescent="0.3">
      <c r="A96" s="215">
        <v>95</v>
      </c>
      <c r="B96" s="219" t="s">
        <v>4316</v>
      </c>
      <c r="C96" s="247">
        <v>46288</v>
      </c>
      <c r="D96" s="219" t="s">
        <v>4317</v>
      </c>
      <c r="E96" s="247">
        <v>46288</v>
      </c>
      <c r="F96" s="219" t="s">
        <v>4318</v>
      </c>
      <c r="G96" s="219" t="s">
        <v>43</v>
      </c>
      <c r="H96" s="224">
        <v>14040</v>
      </c>
      <c r="I96" s="224">
        <v>30910</v>
      </c>
      <c r="J96" s="224">
        <v>16870</v>
      </c>
      <c r="K96" s="228" t="s">
        <v>4039</v>
      </c>
      <c r="L96" s="219" t="s">
        <v>4040</v>
      </c>
      <c r="M96" s="225" t="s">
        <v>4334</v>
      </c>
      <c r="N96" s="32" t="s">
        <v>4034</v>
      </c>
      <c r="O96" s="99" t="s">
        <v>4031</v>
      </c>
      <c r="P96" s="99" t="s">
        <v>4033</v>
      </c>
    </row>
    <row r="97" spans="1:16" ht="18.75" x14ac:dyDescent="0.3">
      <c r="A97" s="226">
        <v>96</v>
      </c>
      <c r="B97" s="219" t="s">
        <v>4319</v>
      </c>
      <c r="C97" s="247">
        <v>46288</v>
      </c>
      <c r="D97" s="219" t="s">
        <v>4320</v>
      </c>
      <c r="E97" s="247">
        <v>46288</v>
      </c>
      <c r="F97" s="219" t="s">
        <v>4321</v>
      </c>
      <c r="G97" s="219" t="s">
        <v>335</v>
      </c>
      <c r="H97" s="224">
        <v>13980</v>
      </c>
      <c r="I97" s="224">
        <v>31100</v>
      </c>
      <c r="J97" s="224">
        <v>17120</v>
      </c>
      <c r="K97" s="228" t="s">
        <v>4039</v>
      </c>
      <c r="L97" s="219" t="s">
        <v>4040</v>
      </c>
      <c r="M97" s="225" t="s">
        <v>4334</v>
      </c>
      <c r="N97" s="32" t="s">
        <v>4034</v>
      </c>
      <c r="O97" s="99" t="s">
        <v>4031</v>
      </c>
      <c r="P97" s="99" t="s">
        <v>4033</v>
      </c>
    </row>
    <row r="98" spans="1:16" ht="18.75" x14ac:dyDescent="0.3">
      <c r="A98" s="215">
        <v>97</v>
      </c>
      <c r="B98" s="219" t="s">
        <v>4322</v>
      </c>
      <c r="C98" s="247">
        <v>46288</v>
      </c>
      <c r="D98" s="219" t="s">
        <v>4323</v>
      </c>
      <c r="E98" s="247">
        <v>46288</v>
      </c>
      <c r="F98" s="219" t="s">
        <v>4324</v>
      </c>
      <c r="G98" s="219" t="s">
        <v>43</v>
      </c>
      <c r="H98" s="224">
        <v>14030</v>
      </c>
      <c r="I98" s="224">
        <v>33590</v>
      </c>
      <c r="J98" s="224">
        <v>19560</v>
      </c>
      <c r="K98" s="228" t="s">
        <v>4039</v>
      </c>
      <c r="L98" s="219" t="s">
        <v>4040</v>
      </c>
      <c r="M98" s="225" t="s">
        <v>4334</v>
      </c>
      <c r="N98" s="32" t="s">
        <v>4034</v>
      </c>
      <c r="O98" s="99" t="s">
        <v>4031</v>
      </c>
      <c r="P98" s="99" t="s">
        <v>4033</v>
      </c>
    </row>
    <row r="99" spans="1:16" ht="18.75" x14ac:dyDescent="0.3">
      <c r="A99" s="226">
        <v>98</v>
      </c>
      <c r="B99" s="219" t="s">
        <v>4325</v>
      </c>
      <c r="C99" s="247">
        <v>46288</v>
      </c>
      <c r="D99" s="219" t="s">
        <v>4326</v>
      </c>
      <c r="E99" s="247">
        <v>46288</v>
      </c>
      <c r="F99" s="219" t="s">
        <v>4327</v>
      </c>
      <c r="G99" s="219" t="s">
        <v>337</v>
      </c>
      <c r="H99" s="224">
        <v>13980</v>
      </c>
      <c r="I99" s="224">
        <v>32860</v>
      </c>
      <c r="J99" s="224">
        <v>18880</v>
      </c>
      <c r="K99" s="228" t="s">
        <v>4039</v>
      </c>
      <c r="L99" s="219" t="s">
        <v>4040</v>
      </c>
      <c r="M99" s="225" t="s">
        <v>4334</v>
      </c>
      <c r="N99" s="32" t="s">
        <v>4034</v>
      </c>
      <c r="O99" s="99" t="s">
        <v>4031</v>
      </c>
      <c r="P99" s="99" t="s">
        <v>4033</v>
      </c>
    </row>
    <row r="100" spans="1:16" ht="18.75" x14ac:dyDescent="0.3">
      <c r="A100" s="215">
        <v>99</v>
      </c>
      <c r="B100" s="219" t="s">
        <v>4328</v>
      </c>
      <c r="C100" s="247">
        <v>46288</v>
      </c>
      <c r="D100" s="219" t="s">
        <v>4329</v>
      </c>
      <c r="E100" s="247">
        <v>46288</v>
      </c>
      <c r="F100" s="219" t="s">
        <v>4330</v>
      </c>
      <c r="G100" s="219" t="s">
        <v>842</v>
      </c>
      <c r="H100" s="224">
        <v>14000</v>
      </c>
      <c r="I100" s="224">
        <v>32680</v>
      </c>
      <c r="J100" s="224">
        <v>18680</v>
      </c>
      <c r="K100" s="228" t="s">
        <v>4039</v>
      </c>
      <c r="L100" s="219" t="s">
        <v>4040</v>
      </c>
      <c r="M100" s="225" t="s">
        <v>4334</v>
      </c>
      <c r="N100" s="32" t="s">
        <v>4034</v>
      </c>
      <c r="O100" s="99" t="s">
        <v>4031</v>
      </c>
      <c r="P100" s="99" t="s">
        <v>4033</v>
      </c>
    </row>
    <row r="101" spans="1:16" ht="18.75" x14ac:dyDescent="0.3">
      <c r="A101" s="226">
        <v>100</v>
      </c>
      <c r="B101" s="219" t="s">
        <v>4331</v>
      </c>
      <c r="C101" s="247">
        <v>46288</v>
      </c>
      <c r="D101" s="219" t="s">
        <v>4332</v>
      </c>
      <c r="E101" s="247">
        <v>46288</v>
      </c>
      <c r="F101" s="219" t="s">
        <v>4333</v>
      </c>
      <c r="G101" s="219" t="s">
        <v>335</v>
      </c>
      <c r="H101" s="224">
        <v>14050</v>
      </c>
      <c r="I101" s="224">
        <v>32670</v>
      </c>
      <c r="J101" s="224">
        <v>18620</v>
      </c>
      <c r="K101" s="228" t="s">
        <v>4039</v>
      </c>
      <c r="L101" s="219" t="s">
        <v>4040</v>
      </c>
      <c r="M101" s="225" t="s">
        <v>4334</v>
      </c>
      <c r="N101" s="32" t="s">
        <v>4034</v>
      </c>
      <c r="O101" s="99" t="s">
        <v>4031</v>
      </c>
      <c r="P101" s="99" t="s">
        <v>4033</v>
      </c>
    </row>
    <row r="102" spans="1:16" ht="18.75" x14ac:dyDescent="0.3">
      <c r="A102" s="215"/>
      <c r="B102" s="220"/>
      <c r="C102" s="211"/>
      <c r="D102" s="220"/>
      <c r="E102" s="211"/>
      <c r="F102" s="221"/>
      <c r="G102" s="221"/>
      <c r="H102" s="222"/>
      <c r="I102" s="222"/>
      <c r="J102" s="222"/>
      <c r="K102" s="105"/>
      <c r="L102" s="221"/>
      <c r="M102" s="223"/>
      <c r="N102"/>
    </row>
    <row r="103" spans="1:16" ht="18.75" x14ac:dyDescent="0.3">
      <c r="A103" s="215"/>
      <c r="B103" s="220"/>
      <c r="C103" s="211"/>
      <c r="D103" s="220"/>
      <c r="E103" s="211"/>
      <c r="F103" s="221"/>
      <c r="G103" s="221"/>
      <c r="H103" s="222"/>
      <c r="I103" s="222"/>
      <c r="J103" s="222"/>
      <c r="K103" s="105"/>
      <c r="L103" s="221"/>
      <c r="M103" s="223"/>
      <c r="N103"/>
    </row>
    <row r="104" spans="1:16" ht="18.75" x14ac:dyDescent="0.3">
      <c r="A104" s="215"/>
      <c r="B104" s="220"/>
      <c r="C104" s="211"/>
      <c r="D104" s="220"/>
      <c r="E104" s="211"/>
      <c r="F104" s="221"/>
      <c r="G104" s="221"/>
      <c r="H104" s="222"/>
      <c r="I104" s="222"/>
      <c r="J104" s="222"/>
      <c r="K104" s="105"/>
      <c r="L104" s="221"/>
      <c r="M104" s="223"/>
      <c r="N104"/>
    </row>
    <row r="105" spans="1:16" ht="18.75" x14ac:dyDescent="0.3">
      <c r="J105"/>
      <c r="K105"/>
      <c r="L105"/>
      <c r="M105"/>
      <c r="N105"/>
      <c r="O105"/>
      <c r="P105"/>
    </row>
    <row r="106" spans="1:16" ht="18.75" x14ac:dyDescent="0.3">
      <c r="J106"/>
      <c r="K106"/>
      <c r="L106"/>
      <c r="M106"/>
      <c r="N106"/>
      <c r="O106"/>
      <c r="P106"/>
    </row>
    <row r="107" spans="1:16" ht="18.75" x14ac:dyDescent="0.3">
      <c r="J107"/>
      <c r="K107"/>
      <c r="L107"/>
      <c r="M107"/>
      <c r="N107"/>
      <c r="O107"/>
      <c r="P107"/>
    </row>
    <row r="108" spans="1:16" ht="18.75" x14ac:dyDescent="0.3">
      <c r="J108"/>
      <c r="K108"/>
      <c r="L108"/>
      <c r="M108"/>
      <c r="N108"/>
      <c r="O108"/>
      <c r="P108"/>
    </row>
    <row r="109" spans="1:16" ht="18.75" x14ac:dyDescent="0.3">
      <c r="J109"/>
      <c r="K109"/>
      <c r="L109"/>
      <c r="M109"/>
      <c r="N109"/>
      <c r="O109"/>
      <c r="P109"/>
    </row>
    <row r="110" spans="1:16" ht="18.75" x14ac:dyDescent="0.3">
      <c r="J110"/>
      <c r="K110"/>
      <c r="L110"/>
      <c r="M110"/>
      <c r="N110"/>
      <c r="O110"/>
      <c r="P110"/>
    </row>
    <row r="111" spans="1:16" ht="18.75" x14ac:dyDescent="0.3">
      <c r="J111"/>
      <c r="K111"/>
      <c r="L111"/>
      <c r="M111"/>
      <c r="N111"/>
      <c r="O111"/>
      <c r="P111"/>
    </row>
    <row r="112" spans="1:16" ht="18.75" x14ac:dyDescent="0.3">
      <c r="J112"/>
      <c r="K112"/>
      <c r="L112"/>
    </row>
    <row r="113" spans="10:12" ht="18.75" x14ac:dyDescent="0.3">
      <c r="J113"/>
      <c r="K113"/>
      <c r="L113"/>
    </row>
    <row r="114" spans="10:12" ht="18.75" x14ac:dyDescent="0.3">
      <c r="J114"/>
      <c r="K114"/>
      <c r="L114"/>
    </row>
    <row r="115" spans="10:12" ht="18.75" x14ac:dyDescent="0.3">
      <c r="J115"/>
      <c r="K115"/>
      <c r="L115"/>
    </row>
    <row r="116" spans="10:12" ht="18.75" x14ac:dyDescent="0.3">
      <c r="J116"/>
      <c r="K116"/>
      <c r="L116"/>
    </row>
    <row r="117" spans="10:12" ht="18.75" x14ac:dyDescent="0.3">
      <c r="J117"/>
      <c r="K117"/>
      <c r="L117"/>
    </row>
    <row r="118" spans="10:12" ht="18.75" x14ac:dyDescent="0.3">
      <c r="J118"/>
      <c r="K118"/>
      <c r="L118"/>
    </row>
    <row r="119" spans="10:12" ht="18.75" x14ac:dyDescent="0.3">
      <c r="J119"/>
      <c r="K119"/>
      <c r="L119"/>
    </row>
    <row r="120" spans="10:12" ht="18.75" x14ac:dyDescent="0.3">
      <c r="J120"/>
      <c r="K120"/>
      <c r="L120"/>
    </row>
    <row r="121" spans="10:12" ht="18.75" x14ac:dyDescent="0.3">
      <c r="J121"/>
      <c r="K121"/>
      <c r="L121"/>
    </row>
    <row r="122" spans="10:12" ht="18.75" x14ac:dyDescent="0.3">
      <c r="J122"/>
      <c r="K122"/>
      <c r="L122"/>
    </row>
    <row r="123" spans="10:12" ht="18.75" x14ac:dyDescent="0.3">
      <c r="J123"/>
      <c r="K123"/>
      <c r="L123"/>
    </row>
    <row r="124" spans="10:12" ht="18.75" x14ac:dyDescent="0.3">
      <c r="J124"/>
      <c r="K124"/>
      <c r="L124"/>
    </row>
    <row r="125" spans="10:12" ht="18.75" x14ac:dyDescent="0.3">
      <c r="J125"/>
      <c r="K125"/>
      <c r="L125"/>
    </row>
    <row r="126" spans="10:12" ht="18.75" x14ac:dyDescent="0.3">
      <c r="J126"/>
      <c r="K126"/>
      <c r="L126"/>
    </row>
    <row r="127" spans="10:12" ht="18.75" x14ac:dyDescent="0.3">
      <c r="J127"/>
      <c r="K127"/>
      <c r="L127"/>
    </row>
    <row r="128" spans="10:12" ht="18.75" x14ac:dyDescent="0.3">
      <c r="J128"/>
      <c r="K128"/>
      <c r="L128"/>
    </row>
    <row r="129" spans="10:12" ht="18.75" x14ac:dyDescent="0.3">
      <c r="J129"/>
      <c r="K129"/>
      <c r="L129"/>
    </row>
    <row r="130" spans="10:12" ht="18.75" x14ac:dyDescent="0.3">
      <c r="J130"/>
      <c r="K130"/>
      <c r="L130"/>
    </row>
    <row r="131" spans="10:12" ht="18.75" x14ac:dyDescent="0.3">
      <c r="J131"/>
      <c r="K131"/>
      <c r="L131"/>
    </row>
    <row r="132" spans="10:12" ht="18.75" x14ac:dyDescent="0.3">
      <c r="J132"/>
      <c r="K132"/>
      <c r="L132"/>
    </row>
    <row r="133" spans="10:12" ht="18.75" x14ac:dyDescent="0.3">
      <c r="J133"/>
      <c r="K133"/>
      <c r="L133"/>
    </row>
    <row r="134" spans="10:12" ht="18.75" x14ac:dyDescent="0.3">
      <c r="J134"/>
      <c r="K134"/>
      <c r="L134"/>
    </row>
    <row r="135" spans="10:12" ht="18.75" x14ac:dyDescent="0.3">
      <c r="J135"/>
      <c r="K135"/>
      <c r="L135"/>
    </row>
    <row r="136" spans="10:12" ht="18.75" x14ac:dyDescent="0.3">
      <c r="J136"/>
      <c r="K136"/>
      <c r="L136"/>
    </row>
    <row r="137" spans="10:12" ht="18.75" x14ac:dyDescent="0.3">
      <c r="J137"/>
      <c r="K137"/>
      <c r="L137"/>
    </row>
    <row r="138" spans="10:12" ht="18.75" x14ac:dyDescent="0.3">
      <c r="J138"/>
      <c r="K138"/>
      <c r="L138"/>
    </row>
  </sheetData>
  <phoneticPr fontId="13" type="noConversion"/>
  <conditionalFormatting sqref="K2:K101">
    <cfRule type="expression" dxfId="27" priority="1">
      <formula>AND(#REF!&gt;0,#REF!="QC")</formula>
    </cfRule>
  </conditionalFormatting>
  <conditionalFormatting sqref="K102:K104">
    <cfRule type="expression" dxfId="26" priority="3">
      <formula>AND(#REF!&gt;0,#REF!="QC")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"/>
  <sheetViews>
    <sheetView workbookViewId="0">
      <selection activeCell="D15" sqref="D15"/>
    </sheetView>
  </sheetViews>
  <sheetFormatPr defaultColWidth="8.88671875" defaultRowHeight="15" x14ac:dyDescent="0.25"/>
  <cols>
    <col min="1" max="1" width="4.21875" style="11" customWidth="1"/>
    <col min="2" max="2" width="6.44140625" style="11" customWidth="1"/>
    <col min="3" max="3" width="9.109375" style="40" customWidth="1"/>
    <col min="4" max="4" width="8.21875" style="11" customWidth="1"/>
    <col min="5" max="5" width="9.109375" style="11" customWidth="1"/>
    <col min="6" max="6" width="8.21875" style="11" customWidth="1"/>
    <col min="7" max="7" width="8.109375" style="11" customWidth="1"/>
    <col min="8" max="9" width="8.21875" style="11" customWidth="1"/>
    <col min="10" max="10" width="10.88671875" style="11" customWidth="1"/>
    <col min="11" max="11" width="8.88671875" style="41" customWidth="1"/>
    <col min="12" max="12" width="17.33203125" style="11" bestFit="1" customWidth="1"/>
    <col min="13" max="13" width="12.21875" style="11" customWidth="1"/>
    <col min="14" max="14" width="9.44140625" style="11" bestFit="1" customWidth="1"/>
    <col min="15" max="15" width="31.5546875" style="11" bestFit="1" customWidth="1"/>
    <col min="16" max="16" width="23.109375" style="11" customWidth="1"/>
    <col min="17" max="17" width="11.6640625" style="12" customWidth="1"/>
    <col min="18" max="16384" width="8.88671875" style="11"/>
  </cols>
  <sheetData>
    <row r="1" spans="1:17" ht="15.75" x14ac:dyDescent="0.25">
      <c r="A1" s="276" t="s">
        <v>45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10"/>
    </row>
    <row r="2" spans="1:17" ht="15.75" x14ac:dyDescent="0.25">
      <c r="A2" s="9" t="s">
        <v>46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7" ht="20.25" customHeight="1" x14ac:dyDescent="0.3">
      <c r="A3" s="13" t="s">
        <v>47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5"/>
      <c r="P3" s="15"/>
      <c r="Q3" s="16"/>
    </row>
    <row r="4" spans="1:17" ht="15.7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2"/>
      <c r="P4" s="12"/>
    </row>
    <row r="5" spans="1:17" x14ac:dyDescent="0.25">
      <c r="A5" s="17"/>
      <c r="B5" s="17"/>
      <c r="C5" s="18"/>
      <c r="D5" s="17"/>
      <c r="E5" s="17"/>
      <c r="F5" s="17"/>
      <c r="G5" s="17">
        <f>SUBTOTAL(3,G7:G8744)</f>
        <v>63</v>
      </c>
      <c r="H5" s="17"/>
      <c r="I5" s="17"/>
      <c r="J5" s="19">
        <f>SUBTOTAL(9,$J$7:$J$8744)</f>
        <v>1146690</v>
      </c>
      <c r="K5" s="20"/>
      <c r="L5" s="17"/>
      <c r="M5" s="17"/>
      <c r="N5" s="17"/>
      <c r="O5" s="21"/>
      <c r="P5" s="21"/>
      <c r="Q5" s="12">
        <f>SUBTOTAL(9,$Q$7:$Q$8744)</f>
        <v>1146.69</v>
      </c>
    </row>
    <row r="6" spans="1:17" s="15" customFormat="1" ht="30" customHeight="1" x14ac:dyDescent="0.25">
      <c r="A6" s="22" t="s">
        <v>0</v>
      </c>
      <c r="B6" s="23" t="s">
        <v>1</v>
      </c>
      <c r="C6" s="24" t="s">
        <v>2</v>
      </c>
      <c r="D6" s="25" t="s">
        <v>3</v>
      </c>
      <c r="E6" s="26" t="s">
        <v>4</v>
      </c>
      <c r="F6" s="26" t="s">
        <v>5</v>
      </c>
      <c r="G6" s="26" t="s">
        <v>6</v>
      </c>
      <c r="H6" s="26" t="s">
        <v>7</v>
      </c>
      <c r="I6" s="26" t="s">
        <v>8</v>
      </c>
      <c r="J6" s="26" t="s">
        <v>9</v>
      </c>
      <c r="K6" s="26" t="s">
        <v>10</v>
      </c>
      <c r="L6" s="26" t="s">
        <v>11</v>
      </c>
      <c r="M6" s="27" t="s">
        <v>48</v>
      </c>
      <c r="N6" s="28" t="s">
        <v>13</v>
      </c>
      <c r="O6" s="29" t="s">
        <v>49</v>
      </c>
      <c r="P6" s="29" t="s">
        <v>50</v>
      </c>
      <c r="Q6" s="30" t="s">
        <v>44</v>
      </c>
    </row>
    <row r="7" spans="1:17" x14ac:dyDescent="0.25">
      <c r="A7" s="31" t="s">
        <v>51</v>
      </c>
      <c r="B7" s="32">
        <v>4442</v>
      </c>
      <c r="C7" s="33" t="s">
        <v>52</v>
      </c>
      <c r="D7" s="34" t="s">
        <v>53</v>
      </c>
      <c r="E7" s="33" t="s">
        <v>52</v>
      </c>
      <c r="F7" s="34" t="s">
        <v>54</v>
      </c>
      <c r="G7" s="35" t="s">
        <v>55</v>
      </c>
      <c r="H7" s="36">
        <v>14020</v>
      </c>
      <c r="I7" s="36">
        <v>30870</v>
      </c>
      <c r="J7" s="36">
        <v>16850</v>
      </c>
      <c r="K7" s="35" t="s">
        <v>14</v>
      </c>
      <c r="L7" s="35" t="s">
        <v>56</v>
      </c>
      <c r="M7" s="37" t="s">
        <v>57</v>
      </c>
      <c r="N7" s="32" t="s">
        <v>58</v>
      </c>
      <c r="O7" s="38" t="s">
        <v>59</v>
      </c>
      <c r="P7" s="38" t="s">
        <v>60</v>
      </c>
      <c r="Q7" s="39">
        <f t="shared" ref="Q7:Q69" si="0">+J7/1000</f>
        <v>16.850000000000001</v>
      </c>
    </row>
    <row r="8" spans="1:17" x14ac:dyDescent="0.25">
      <c r="A8" s="31" t="s">
        <v>61</v>
      </c>
      <c r="B8" s="32">
        <f>+B7+1</f>
        <v>4443</v>
      </c>
      <c r="C8" s="33" t="s">
        <v>52</v>
      </c>
      <c r="D8" s="34" t="s">
        <v>62</v>
      </c>
      <c r="E8" s="33" t="s">
        <v>52</v>
      </c>
      <c r="F8" s="34" t="s">
        <v>63</v>
      </c>
      <c r="G8" s="35" t="s">
        <v>64</v>
      </c>
      <c r="H8" s="36">
        <v>14180</v>
      </c>
      <c r="I8" s="36">
        <v>32310</v>
      </c>
      <c r="J8" s="36">
        <v>18130</v>
      </c>
      <c r="K8" s="35" t="s">
        <v>14</v>
      </c>
      <c r="L8" s="35" t="s">
        <v>65</v>
      </c>
      <c r="M8" s="37" t="s">
        <v>57</v>
      </c>
      <c r="N8" s="32" t="s">
        <v>58</v>
      </c>
      <c r="O8" s="38" t="s">
        <v>66</v>
      </c>
      <c r="P8" s="38" t="s">
        <v>67</v>
      </c>
      <c r="Q8" s="39">
        <f t="shared" si="0"/>
        <v>18.13</v>
      </c>
    </row>
    <row r="9" spans="1:17" x14ac:dyDescent="0.25">
      <c r="A9" s="31" t="s">
        <v>68</v>
      </c>
      <c r="B9" s="32">
        <f t="shared" ref="B9:B69" si="1">+B8+1</f>
        <v>4444</v>
      </c>
      <c r="C9" s="33" t="s">
        <v>52</v>
      </c>
      <c r="D9" s="34" t="s">
        <v>69</v>
      </c>
      <c r="E9" s="33" t="s">
        <v>52</v>
      </c>
      <c r="F9" s="34" t="s">
        <v>70</v>
      </c>
      <c r="G9" s="35" t="s">
        <v>71</v>
      </c>
      <c r="H9" s="36">
        <v>13780</v>
      </c>
      <c r="I9" s="36">
        <v>32520</v>
      </c>
      <c r="J9" s="36">
        <v>18740</v>
      </c>
      <c r="K9" s="35" t="s">
        <v>14</v>
      </c>
      <c r="L9" s="35" t="s">
        <v>72</v>
      </c>
      <c r="M9" s="37" t="s">
        <v>57</v>
      </c>
      <c r="N9" s="32" t="s">
        <v>58</v>
      </c>
      <c r="O9" s="38" t="s">
        <v>59</v>
      </c>
      <c r="P9" s="38" t="s">
        <v>60</v>
      </c>
      <c r="Q9" s="39">
        <f t="shared" si="0"/>
        <v>18.739999999999998</v>
      </c>
    </row>
    <row r="10" spans="1:17" x14ac:dyDescent="0.25">
      <c r="A10" s="31" t="s">
        <v>73</v>
      </c>
      <c r="B10" s="32">
        <f t="shared" si="1"/>
        <v>4445</v>
      </c>
      <c r="C10" s="33" t="s">
        <v>52</v>
      </c>
      <c r="D10" s="34" t="s">
        <v>74</v>
      </c>
      <c r="E10" s="33" t="s">
        <v>52</v>
      </c>
      <c r="F10" s="34" t="s">
        <v>75</v>
      </c>
      <c r="G10" s="35" t="s">
        <v>76</v>
      </c>
      <c r="H10" s="36">
        <v>14110</v>
      </c>
      <c r="I10" s="36">
        <v>31450</v>
      </c>
      <c r="J10" s="36">
        <v>17340</v>
      </c>
      <c r="K10" s="35" t="s">
        <v>14</v>
      </c>
      <c r="L10" s="35" t="s">
        <v>77</v>
      </c>
      <c r="M10" s="37" t="s">
        <v>57</v>
      </c>
      <c r="N10" s="32" t="s">
        <v>58</v>
      </c>
      <c r="O10" s="38" t="s">
        <v>66</v>
      </c>
      <c r="P10" s="38" t="s">
        <v>67</v>
      </c>
      <c r="Q10" s="39">
        <f t="shared" si="0"/>
        <v>17.34</v>
      </c>
    </row>
    <row r="11" spans="1:17" x14ac:dyDescent="0.25">
      <c r="A11" s="31" t="s">
        <v>42</v>
      </c>
      <c r="B11" s="32">
        <f t="shared" si="1"/>
        <v>4446</v>
      </c>
      <c r="C11" s="33" t="s">
        <v>52</v>
      </c>
      <c r="D11" s="34" t="s">
        <v>78</v>
      </c>
      <c r="E11" s="33" t="s">
        <v>52</v>
      </c>
      <c r="F11" s="34" t="s">
        <v>79</v>
      </c>
      <c r="G11" s="35" t="s">
        <v>80</v>
      </c>
      <c r="H11" s="36">
        <v>14260</v>
      </c>
      <c r="I11" s="36">
        <v>32120</v>
      </c>
      <c r="J11" s="36">
        <v>17860</v>
      </c>
      <c r="K11" s="35" t="s">
        <v>14</v>
      </c>
      <c r="L11" s="35" t="s">
        <v>81</v>
      </c>
      <c r="M11" s="37" t="s">
        <v>57</v>
      </c>
      <c r="N11" s="32" t="s">
        <v>58</v>
      </c>
      <c r="O11" s="38" t="s">
        <v>66</v>
      </c>
      <c r="P11" s="38" t="s">
        <v>67</v>
      </c>
      <c r="Q11" s="39">
        <f t="shared" si="0"/>
        <v>17.86</v>
      </c>
    </row>
    <row r="12" spans="1:17" x14ac:dyDescent="0.25">
      <c r="A12" s="31" t="s">
        <v>82</v>
      </c>
      <c r="B12" s="32">
        <f t="shared" si="1"/>
        <v>4447</v>
      </c>
      <c r="C12" s="33" t="s">
        <v>52</v>
      </c>
      <c r="D12" s="34" t="s">
        <v>83</v>
      </c>
      <c r="E12" s="33" t="s">
        <v>52</v>
      </c>
      <c r="F12" s="34" t="s">
        <v>84</v>
      </c>
      <c r="G12" s="35" t="s">
        <v>85</v>
      </c>
      <c r="H12" s="36">
        <v>31800</v>
      </c>
      <c r="I12" s="36">
        <v>13740</v>
      </c>
      <c r="J12" s="36">
        <v>18060</v>
      </c>
      <c r="K12" s="35" t="s">
        <v>14</v>
      </c>
      <c r="L12" s="35" t="s">
        <v>86</v>
      </c>
      <c r="M12" s="37" t="s">
        <v>57</v>
      </c>
      <c r="N12" s="32" t="s">
        <v>58</v>
      </c>
      <c r="O12" s="38" t="s">
        <v>66</v>
      </c>
      <c r="P12" s="38" t="s">
        <v>67</v>
      </c>
      <c r="Q12" s="39">
        <f t="shared" si="0"/>
        <v>18.059999999999999</v>
      </c>
    </row>
    <row r="13" spans="1:17" x14ac:dyDescent="0.25">
      <c r="A13" s="31" t="s">
        <v>87</v>
      </c>
      <c r="B13" s="32">
        <f t="shared" si="1"/>
        <v>4448</v>
      </c>
      <c r="C13" s="33" t="s">
        <v>52</v>
      </c>
      <c r="D13" s="34" t="s">
        <v>88</v>
      </c>
      <c r="E13" s="33" t="s">
        <v>52</v>
      </c>
      <c r="F13" s="34" t="s">
        <v>89</v>
      </c>
      <c r="G13" s="35" t="s">
        <v>90</v>
      </c>
      <c r="H13" s="36">
        <v>13910</v>
      </c>
      <c r="I13" s="36">
        <v>31150</v>
      </c>
      <c r="J13" s="36">
        <v>17240</v>
      </c>
      <c r="K13" s="35" t="s">
        <v>14</v>
      </c>
      <c r="L13" s="35" t="s">
        <v>91</v>
      </c>
      <c r="M13" s="37" t="s">
        <v>57</v>
      </c>
      <c r="N13" s="32" t="s">
        <v>58</v>
      </c>
      <c r="O13" s="38" t="s">
        <v>66</v>
      </c>
      <c r="P13" s="38" t="s">
        <v>67</v>
      </c>
      <c r="Q13" s="39">
        <f t="shared" si="0"/>
        <v>17.239999999999998</v>
      </c>
    </row>
    <row r="14" spans="1:17" x14ac:dyDescent="0.25">
      <c r="A14" s="31" t="s">
        <v>92</v>
      </c>
      <c r="B14" s="32">
        <f t="shared" si="1"/>
        <v>4449</v>
      </c>
      <c r="C14" s="33" t="s">
        <v>52</v>
      </c>
      <c r="D14" s="34" t="s">
        <v>93</v>
      </c>
      <c r="E14" s="33" t="s">
        <v>52</v>
      </c>
      <c r="F14" s="34" t="s">
        <v>94</v>
      </c>
      <c r="G14" s="35" t="s">
        <v>55</v>
      </c>
      <c r="H14" s="36">
        <v>13990</v>
      </c>
      <c r="I14" s="36">
        <v>32120</v>
      </c>
      <c r="J14" s="36">
        <v>18130</v>
      </c>
      <c r="K14" s="35" t="s">
        <v>14</v>
      </c>
      <c r="L14" s="35" t="s">
        <v>56</v>
      </c>
      <c r="M14" s="37" t="s">
        <v>57</v>
      </c>
      <c r="N14" s="32" t="s">
        <v>58</v>
      </c>
      <c r="O14" s="38" t="s">
        <v>59</v>
      </c>
      <c r="P14" s="38" t="s">
        <v>60</v>
      </c>
      <c r="Q14" s="39">
        <f t="shared" si="0"/>
        <v>18.13</v>
      </c>
    </row>
    <row r="15" spans="1:17" x14ac:dyDescent="0.25">
      <c r="A15" s="31" t="s">
        <v>95</v>
      </c>
      <c r="B15" s="32">
        <f t="shared" si="1"/>
        <v>4450</v>
      </c>
      <c r="C15" s="33" t="s">
        <v>52</v>
      </c>
      <c r="D15" s="34" t="s">
        <v>96</v>
      </c>
      <c r="E15" s="33" t="s">
        <v>52</v>
      </c>
      <c r="F15" s="34" t="s">
        <v>97</v>
      </c>
      <c r="G15" s="35" t="s">
        <v>85</v>
      </c>
      <c r="H15" s="36">
        <v>13790</v>
      </c>
      <c r="I15" s="36">
        <v>31720</v>
      </c>
      <c r="J15" s="36">
        <v>17930</v>
      </c>
      <c r="K15" s="35" t="s">
        <v>14</v>
      </c>
      <c r="L15" s="35" t="s">
        <v>86</v>
      </c>
      <c r="M15" s="37" t="s">
        <v>57</v>
      </c>
      <c r="N15" s="32" t="s">
        <v>58</v>
      </c>
      <c r="O15" s="38" t="s">
        <v>66</v>
      </c>
      <c r="P15" s="38" t="s">
        <v>67</v>
      </c>
      <c r="Q15" s="39">
        <f t="shared" si="0"/>
        <v>17.93</v>
      </c>
    </row>
    <row r="16" spans="1:17" x14ac:dyDescent="0.25">
      <c r="A16" s="31" t="s">
        <v>98</v>
      </c>
      <c r="B16" s="32">
        <f t="shared" si="1"/>
        <v>4451</v>
      </c>
      <c r="C16" s="33" t="s">
        <v>52</v>
      </c>
      <c r="D16" s="34" t="s">
        <v>99</v>
      </c>
      <c r="E16" s="33" t="s">
        <v>52</v>
      </c>
      <c r="F16" s="34" t="s">
        <v>100</v>
      </c>
      <c r="G16" s="35" t="s">
        <v>71</v>
      </c>
      <c r="H16" s="36">
        <v>13150</v>
      </c>
      <c r="I16" s="36">
        <v>32330</v>
      </c>
      <c r="J16" s="36">
        <v>19180</v>
      </c>
      <c r="K16" s="35" t="s">
        <v>14</v>
      </c>
      <c r="L16" s="35" t="s">
        <v>72</v>
      </c>
      <c r="M16" s="37" t="s">
        <v>57</v>
      </c>
      <c r="N16" s="32" t="s">
        <v>58</v>
      </c>
      <c r="O16" s="38" t="s">
        <v>59</v>
      </c>
      <c r="P16" s="38" t="s">
        <v>60</v>
      </c>
      <c r="Q16" s="39">
        <f t="shared" si="0"/>
        <v>19.18</v>
      </c>
    </row>
    <row r="17" spans="1:17" x14ac:dyDescent="0.25">
      <c r="A17" s="31" t="s">
        <v>101</v>
      </c>
      <c r="B17" s="32">
        <f t="shared" si="1"/>
        <v>4452</v>
      </c>
      <c r="C17" s="33" t="s">
        <v>52</v>
      </c>
      <c r="D17" s="34" t="s">
        <v>102</v>
      </c>
      <c r="E17" s="33" t="s">
        <v>52</v>
      </c>
      <c r="F17" s="34" t="s">
        <v>103</v>
      </c>
      <c r="G17" s="35" t="s">
        <v>64</v>
      </c>
      <c r="H17" s="36">
        <v>14120</v>
      </c>
      <c r="I17" s="36">
        <v>32720</v>
      </c>
      <c r="J17" s="36">
        <v>18600</v>
      </c>
      <c r="K17" s="35" t="s">
        <v>14</v>
      </c>
      <c r="L17" s="35" t="s">
        <v>65</v>
      </c>
      <c r="M17" s="37" t="s">
        <v>57</v>
      </c>
      <c r="N17" s="32" t="s">
        <v>58</v>
      </c>
      <c r="O17" s="38" t="s">
        <v>66</v>
      </c>
      <c r="P17" s="38" t="s">
        <v>67</v>
      </c>
      <c r="Q17" s="39">
        <f t="shared" si="0"/>
        <v>18.600000000000001</v>
      </c>
    </row>
    <row r="18" spans="1:17" x14ac:dyDescent="0.25">
      <c r="A18" s="31" t="s">
        <v>104</v>
      </c>
      <c r="B18" s="32">
        <f t="shared" si="1"/>
        <v>4453</v>
      </c>
      <c r="C18" s="33" t="s">
        <v>52</v>
      </c>
      <c r="D18" s="34" t="s">
        <v>105</v>
      </c>
      <c r="E18" s="33" t="s">
        <v>52</v>
      </c>
      <c r="F18" s="34" t="s">
        <v>106</v>
      </c>
      <c r="G18" s="35" t="s">
        <v>76</v>
      </c>
      <c r="H18" s="36">
        <v>14080</v>
      </c>
      <c r="I18" s="36">
        <v>32170</v>
      </c>
      <c r="J18" s="36">
        <v>18090</v>
      </c>
      <c r="K18" s="35" t="s">
        <v>14</v>
      </c>
      <c r="L18" s="35" t="s">
        <v>77</v>
      </c>
      <c r="M18" s="37" t="s">
        <v>57</v>
      </c>
      <c r="N18" s="32" t="s">
        <v>58</v>
      </c>
      <c r="O18" s="38" t="s">
        <v>66</v>
      </c>
      <c r="P18" s="38" t="s">
        <v>67</v>
      </c>
      <c r="Q18" s="39">
        <f t="shared" si="0"/>
        <v>18.09</v>
      </c>
    </row>
    <row r="19" spans="1:17" x14ac:dyDescent="0.25">
      <c r="A19" s="31" t="s">
        <v>107</v>
      </c>
      <c r="B19" s="32">
        <f t="shared" si="1"/>
        <v>4454</v>
      </c>
      <c r="C19" s="33" t="s">
        <v>52</v>
      </c>
      <c r="D19" s="34" t="s">
        <v>108</v>
      </c>
      <c r="E19" s="33" t="s">
        <v>52</v>
      </c>
      <c r="F19" s="34" t="s">
        <v>109</v>
      </c>
      <c r="G19" s="35" t="s">
        <v>43</v>
      </c>
      <c r="H19" s="36">
        <v>32180</v>
      </c>
      <c r="I19" s="36">
        <v>14180</v>
      </c>
      <c r="J19" s="36">
        <v>18000</v>
      </c>
      <c r="K19" s="35" t="s">
        <v>14</v>
      </c>
      <c r="L19" s="35" t="s">
        <v>110</v>
      </c>
      <c r="M19" s="37" t="s">
        <v>57</v>
      </c>
      <c r="N19" s="32" t="s">
        <v>58</v>
      </c>
      <c r="O19" s="38" t="s">
        <v>111</v>
      </c>
      <c r="P19" s="38" t="s">
        <v>112</v>
      </c>
      <c r="Q19" s="39">
        <f t="shared" si="0"/>
        <v>18</v>
      </c>
    </row>
    <row r="20" spans="1:17" x14ac:dyDescent="0.25">
      <c r="A20" s="31" t="s">
        <v>113</v>
      </c>
      <c r="B20" s="32">
        <f t="shared" si="1"/>
        <v>4455</v>
      </c>
      <c r="C20" s="33" t="s">
        <v>52</v>
      </c>
      <c r="D20" s="34" t="s">
        <v>114</v>
      </c>
      <c r="E20" s="33" t="s">
        <v>52</v>
      </c>
      <c r="F20" s="34" t="s">
        <v>115</v>
      </c>
      <c r="G20" s="35" t="s">
        <v>80</v>
      </c>
      <c r="H20" s="36">
        <v>14220</v>
      </c>
      <c r="I20" s="36">
        <v>32380</v>
      </c>
      <c r="J20" s="36">
        <v>18160</v>
      </c>
      <c r="K20" s="35" t="s">
        <v>14</v>
      </c>
      <c r="L20" s="35" t="s">
        <v>81</v>
      </c>
      <c r="M20" s="37" t="s">
        <v>57</v>
      </c>
      <c r="N20" s="32" t="s">
        <v>58</v>
      </c>
      <c r="O20" s="38" t="s">
        <v>66</v>
      </c>
      <c r="P20" s="38" t="s">
        <v>67</v>
      </c>
      <c r="Q20" s="39">
        <f t="shared" si="0"/>
        <v>18.16</v>
      </c>
    </row>
    <row r="21" spans="1:17" x14ac:dyDescent="0.25">
      <c r="A21" s="31" t="s">
        <v>116</v>
      </c>
      <c r="B21" s="32">
        <f t="shared" si="1"/>
        <v>4456</v>
      </c>
      <c r="C21" s="33" t="s">
        <v>52</v>
      </c>
      <c r="D21" s="34" t="s">
        <v>117</v>
      </c>
      <c r="E21" s="33" t="s">
        <v>52</v>
      </c>
      <c r="F21" s="34" t="s">
        <v>118</v>
      </c>
      <c r="G21" s="35" t="s">
        <v>90</v>
      </c>
      <c r="H21" s="36">
        <v>13890</v>
      </c>
      <c r="I21" s="36">
        <v>32280</v>
      </c>
      <c r="J21" s="36">
        <v>18390</v>
      </c>
      <c r="K21" s="35" t="s">
        <v>14</v>
      </c>
      <c r="L21" s="35" t="s">
        <v>91</v>
      </c>
      <c r="M21" s="37" t="s">
        <v>57</v>
      </c>
      <c r="N21" s="32" t="s">
        <v>58</v>
      </c>
      <c r="O21" s="38" t="s">
        <v>66</v>
      </c>
      <c r="P21" s="38" t="s">
        <v>67</v>
      </c>
      <c r="Q21" s="39">
        <f t="shared" si="0"/>
        <v>18.39</v>
      </c>
    </row>
    <row r="22" spans="1:17" x14ac:dyDescent="0.25">
      <c r="A22" s="31" t="s">
        <v>119</v>
      </c>
      <c r="B22" s="32">
        <f t="shared" si="1"/>
        <v>4457</v>
      </c>
      <c r="C22" s="33" t="s">
        <v>52</v>
      </c>
      <c r="D22" s="34" t="s">
        <v>120</v>
      </c>
      <c r="E22" s="33" t="s">
        <v>52</v>
      </c>
      <c r="F22" s="34" t="s">
        <v>121</v>
      </c>
      <c r="G22" s="35" t="s">
        <v>55</v>
      </c>
      <c r="H22" s="36">
        <v>13960</v>
      </c>
      <c r="I22" s="36">
        <v>32470</v>
      </c>
      <c r="J22" s="36">
        <v>18510</v>
      </c>
      <c r="K22" s="35" t="s">
        <v>14</v>
      </c>
      <c r="L22" s="35" t="s">
        <v>56</v>
      </c>
      <c r="M22" s="37" t="s">
        <v>57</v>
      </c>
      <c r="N22" s="32" t="s">
        <v>58</v>
      </c>
      <c r="O22" s="38" t="s">
        <v>59</v>
      </c>
      <c r="P22" s="38" t="s">
        <v>60</v>
      </c>
      <c r="Q22" s="39">
        <f t="shared" si="0"/>
        <v>18.510000000000002</v>
      </c>
    </row>
    <row r="23" spans="1:17" x14ac:dyDescent="0.25">
      <c r="A23" s="31" t="s">
        <v>122</v>
      </c>
      <c r="B23" s="32">
        <f t="shared" si="1"/>
        <v>4458</v>
      </c>
      <c r="C23" s="33" t="s">
        <v>52</v>
      </c>
      <c r="D23" s="34" t="s">
        <v>123</v>
      </c>
      <c r="E23" s="33" t="s">
        <v>52</v>
      </c>
      <c r="F23" s="34" t="s">
        <v>124</v>
      </c>
      <c r="G23" s="35" t="s">
        <v>64</v>
      </c>
      <c r="H23" s="36">
        <v>14120</v>
      </c>
      <c r="I23" s="36">
        <v>32460</v>
      </c>
      <c r="J23" s="36">
        <v>18340</v>
      </c>
      <c r="K23" s="35" t="s">
        <v>14</v>
      </c>
      <c r="L23" s="35" t="s">
        <v>65</v>
      </c>
      <c r="M23" s="37" t="s">
        <v>57</v>
      </c>
      <c r="N23" s="32" t="s">
        <v>58</v>
      </c>
      <c r="O23" s="38" t="s">
        <v>66</v>
      </c>
      <c r="P23" s="38" t="s">
        <v>67</v>
      </c>
      <c r="Q23" s="39">
        <f t="shared" si="0"/>
        <v>18.34</v>
      </c>
    </row>
    <row r="24" spans="1:17" x14ac:dyDescent="0.25">
      <c r="A24" s="31" t="s">
        <v>125</v>
      </c>
      <c r="B24" s="32">
        <f t="shared" si="1"/>
        <v>4459</v>
      </c>
      <c r="C24" s="33" t="s">
        <v>52</v>
      </c>
      <c r="D24" s="34" t="s">
        <v>126</v>
      </c>
      <c r="E24" s="33" t="s">
        <v>52</v>
      </c>
      <c r="F24" s="34" t="s">
        <v>127</v>
      </c>
      <c r="G24" s="35" t="s">
        <v>71</v>
      </c>
      <c r="H24" s="36">
        <v>13720</v>
      </c>
      <c r="I24" s="36">
        <v>33200</v>
      </c>
      <c r="J24" s="36">
        <v>19480</v>
      </c>
      <c r="K24" s="35" t="s">
        <v>14</v>
      </c>
      <c r="L24" s="35" t="s">
        <v>72</v>
      </c>
      <c r="M24" s="37" t="s">
        <v>57</v>
      </c>
      <c r="N24" s="32" t="s">
        <v>58</v>
      </c>
      <c r="O24" s="38" t="s">
        <v>59</v>
      </c>
      <c r="P24" s="38" t="s">
        <v>60</v>
      </c>
      <c r="Q24" s="39">
        <f t="shared" si="0"/>
        <v>19.48</v>
      </c>
    </row>
    <row r="25" spans="1:17" x14ac:dyDescent="0.25">
      <c r="A25" s="31" t="s">
        <v>128</v>
      </c>
      <c r="B25" s="32">
        <f t="shared" si="1"/>
        <v>4460</v>
      </c>
      <c r="C25" s="33" t="s">
        <v>52</v>
      </c>
      <c r="D25" s="34" t="s">
        <v>129</v>
      </c>
      <c r="E25" s="33" t="s">
        <v>52</v>
      </c>
      <c r="F25" s="34" t="s">
        <v>130</v>
      </c>
      <c r="G25" s="35" t="s">
        <v>85</v>
      </c>
      <c r="H25" s="36">
        <v>14090</v>
      </c>
      <c r="I25" s="36">
        <v>32950</v>
      </c>
      <c r="J25" s="36">
        <v>18860</v>
      </c>
      <c r="K25" s="35" t="s">
        <v>14</v>
      </c>
      <c r="L25" s="35" t="s">
        <v>86</v>
      </c>
      <c r="M25" s="37" t="s">
        <v>57</v>
      </c>
      <c r="N25" s="32" t="s">
        <v>58</v>
      </c>
      <c r="O25" s="38" t="s">
        <v>66</v>
      </c>
      <c r="P25" s="38" t="s">
        <v>67</v>
      </c>
      <c r="Q25" s="39">
        <f t="shared" si="0"/>
        <v>18.86</v>
      </c>
    </row>
    <row r="26" spans="1:17" x14ac:dyDescent="0.25">
      <c r="A26" s="31" t="s">
        <v>131</v>
      </c>
      <c r="B26" s="32">
        <f t="shared" si="1"/>
        <v>4461</v>
      </c>
      <c r="C26" s="33" t="s">
        <v>52</v>
      </c>
      <c r="D26" s="34" t="s">
        <v>132</v>
      </c>
      <c r="E26" s="33" t="s">
        <v>52</v>
      </c>
      <c r="F26" s="34" t="s">
        <v>133</v>
      </c>
      <c r="G26" s="35" t="s">
        <v>76</v>
      </c>
      <c r="H26" s="36">
        <v>14040</v>
      </c>
      <c r="I26" s="36">
        <v>32530</v>
      </c>
      <c r="J26" s="36">
        <v>18490</v>
      </c>
      <c r="K26" s="35" t="s">
        <v>14</v>
      </c>
      <c r="L26" s="35" t="s">
        <v>77</v>
      </c>
      <c r="M26" s="37" t="s">
        <v>57</v>
      </c>
      <c r="N26" s="32" t="s">
        <v>58</v>
      </c>
      <c r="O26" s="38" t="s">
        <v>66</v>
      </c>
      <c r="P26" s="38" t="s">
        <v>67</v>
      </c>
      <c r="Q26" s="39">
        <f t="shared" si="0"/>
        <v>18.489999999999998</v>
      </c>
    </row>
    <row r="27" spans="1:17" x14ac:dyDescent="0.25">
      <c r="A27" s="31" t="s">
        <v>134</v>
      </c>
      <c r="B27" s="32">
        <f t="shared" si="1"/>
        <v>4462</v>
      </c>
      <c r="C27" s="33" t="s">
        <v>52</v>
      </c>
      <c r="D27" s="34" t="s">
        <v>135</v>
      </c>
      <c r="E27" s="33" t="s">
        <v>52</v>
      </c>
      <c r="F27" s="34" t="s">
        <v>136</v>
      </c>
      <c r="G27" s="35" t="s">
        <v>80</v>
      </c>
      <c r="H27" s="36">
        <v>14200</v>
      </c>
      <c r="I27" s="36">
        <v>33540</v>
      </c>
      <c r="J27" s="36">
        <v>19340</v>
      </c>
      <c r="K27" s="35" t="s">
        <v>14</v>
      </c>
      <c r="L27" s="35" t="s">
        <v>81</v>
      </c>
      <c r="M27" s="37" t="s">
        <v>57</v>
      </c>
      <c r="N27" s="32" t="s">
        <v>58</v>
      </c>
      <c r="O27" s="38" t="s">
        <v>66</v>
      </c>
      <c r="P27" s="38" t="s">
        <v>67</v>
      </c>
      <c r="Q27" s="39">
        <f t="shared" si="0"/>
        <v>19.34</v>
      </c>
    </row>
    <row r="28" spans="1:17" x14ac:dyDescent="0.25">
      <c r="A28" s="31" t="s">
        <v>137</v>
      </c>
      <c r="B28" s="32">
        <f t="shared" si="1"/>
        <v>4463</v>
      </c>
      <c r="C28" s="33" t="s">
        <v>52</v>
      </c>
      <c r="D28" s="34" t="s">
        <v>138</v>
      </c>
      <c r="E28" s="33" t="s">
        <v>52</v>
      </c>
      <c r="F28" s="34" t="s">
        <v>139</v>
      </c>
      <c r="G28" s="35" t="s">
        <v>90</v>
      </c>
      <c r="H28" s="36">
        <v>14110</v>
      </c>
      <c r="I28" s="36">
        <v>32270</v>
      </c>
      <c r="J28" s="36">
        <v>18160</v>
      </c>
      <c r="K28" s="35" t="s">
        <v>14</v>
      </c>
      <c r="L28" s="35" t="s">
        <v>91</v>
      </c>
      <c r="M28" s="37" t="s">
        <v>57</v>
      </c>
      <c r="N28" s="32" t="s">
        <v>58</v>
      </c>
      <c r="O28" s="38" t="s">
        <v>66</v>
      </c>
      <c r="P28" s="38" t="s">
        <v>67</v>
      </c>
      <c r="Q28" s="39">
        <f t="shared" si="0"/>
        <v>18.16</v>
      </c>
    </row>
    <row r="29" spans="1:17" x14ac:dyDescent="0.25">
      <c r="A29" s="31" t="s">
        <v>140</v>
      </c>
      <c r="B29" s="32">
        <f t="shared" si="1"/>
        <v>4464</v>
      </c>
      <c r="C29" s="33" t="s">
        <v>52</v>
      </c>
      <c r="D29" s="34" t="s">
        <v>141</v>
      </c>
      <c r="E29" s="33" t="s">
        <v>52</v>
      </c>
      <c r="F29" s="34" t="s">
        <v>142</v>
      </c>
      <c r="G29" s="35" t="s">
        <v>143</v>
      </c>
      <c r="H29" s="36">
        <v>32110</v>
      </c>
      <c r="I29" s="36">
        <v>14070</v>
      </c>
      <c r="J29" s="36">
        <v>18040</v>
      </c>
      <c r="K29" s="35" t="s">
        <v>14</v>
      </c>
      <c r="L29" s="35" t="s">
        <v>144</v>
      </c>
      <c r="M29" s="37" t="s">
        <v>57</v>
      </c>
      <c r="N29" s="32" t="s">
        <v>58</v>
      </c>
      <c r="O29" s="38" t="s">
        <v>59</v>
      </c>
      <c r="P29" s="38" t="s">
        <v>60</v>
      </c>
      <c r="Q29" s="39">
        <f t="shared" si="0"/>
        <v>18.04</v>
      </c>
    </row>
    <row r="30" spans="1:17" x14ac:dyDescent="0.25">
      <c r="A30" s="31" t="s">
        <v>145</v>
      </c>
      <c r="B30" s="32">
        <f t="shared" si="1"/>
        <v>4465</v>
      </c>
      <c r="C30" s="33" t="s">
        <v>52</v>
      </c>
      <c r="D30" s="34" t="s">
        <v>146</v>
      </c>
      <c r="E30" s="33" t="s">
        <v>52</v>
      </c>
      <c r="F30" s="34" t="s">
        <v>147</v>
      </c>
      <c r="G30" s="35" t="s">
        <v>55</v>
      </c>
      <c r="H30" s="36">
        <v>13930</v>
      </c>
      <c r="I30" s="36">
        <v>31350</v>
      </c>
      <c r="J30" s="36">
        <v>17420</v>
      </c>
      <c r="K30" s="35" t="s">
        <v>14</v>
      </c>
      <c r="L30" s="35" t="s">
        <v>56</v>
      </c>
      <c r="M30" s="37" t="s">
        <v>57</v>
      </c>
      <c r="N30" s="32" t="s">
        <v>58</v>
      </c>
      <c r="O30" s="38" t="s">
        <v>59</v>
      </c>
      <c r="P30" s="38" t="s">
        <v>60</v>
      </c>
      <c r="Q30" s="39">
        <f t="shared" si="0"/>
        <v>17.420000000000002</v>
      </c>
    </row>
    <row r="31" spans="1:17" x14ac:dyDescent="0.25">
      <c r="A31" s="31" t="s">
        <v>148</v>
      </c>
      <c r="B31" s="32">
        <f t="shared" si="1"/>
        <v>4466</v>
      </c>
      <c r="C31" s="33" t="s">
        <v>52</v>
      </c>
      <c r="D31" s="34" t="s">
        <v>149</v>
      </c>
      <c r="E31" s="33" t="s">
        <v>52</v>
      </c>
      <c r="F31" s="34" t="s">
        <v>150</v>
      </c>
      <c r="G31" s="35" t="s">
        <v>64</v>
      </c>
      <c r="H31" s="36">
        <v>14070</v>
      </c>
      <c r="I31" s="36">
        <v>32820</v>
      </c>
      <c r="J31" s="36">
        <v>18750</v>
      </c>
      <c r="K31" s="35" t="s">
        <v>14</v>
      </c>
      <c r="L31" s="35" t="s">
        <v>65</v>
      </c>
      <c r="M31" s="37" t="s">
        <v>57</v>
      </c>
      <c r="N31" s="32" t="s">
        <v>58</v>
      </c>
      <c r="O31" s="38" t="s">
        <v>66</v>
      </c>
      <c r="P31" s="38" t="s">
        <v>67</v>
      </c>
      <c r="Q31" s="39">
        <f t="shared" si="0"/>
        <v>18.75</v>
      </c>
    </row>
    <row r="32" spans="1:17" x14ac:dyDescent="0.25">
      <c r="A32" s="31" t="s">
        <v>151</v>
      </c>
      <c r="B32" s="32">
        <f t="shared" si="1"/>
        <v>4467</v>
      </c>
      <c r="C32" s="33" t="s">
        <v>52</v>
      </c>
      <c r="D32" s="34" t="s">
        <v>152</v>
      </c>
      <c r="E32" s="33" t="s">
        <v>52</v>
      </c>
      <c r="F32" s="34" t="s">
        <v>153</v>
      </c>
      <c r="G32" s="35" t="s">
        <v>85</v>
      </c>
      <c r="H32" s="36">
        <v>14070</v>
      </c>
      <c r="I32" s="36">
        <v>32430</v>
      </c>
      <c r="J32" s="36">
        <v>18360</v>
      </c>
      <c r="K32" s="35" t="s">
        <v>14</v>
      </c>
      <c r="L32" s="35" t="s">
        <v>86</v>
      </c>
      <c r="M32" s="37" t="s">
        <v>57</v>
      </c>
      <c r="N32" s="32" t="s">
        <v>58</v>
      </c>
      <c r="O32" s="38" t="s">
        <v>66</v>
      </c>
      <c r="P32" s="38" t="s">
        <v>67</v>
      </c>
      <c r="Q32" s="39">
        <f t="shared" si="0"/>
        <v>18.36</v>
      </c>
    </row>
    <row r="33" spans="1:17" x14ac:dyDescent="0.25">
      <c r="A33" s="31" t="s">
        <v>154</v>
      </c>
      <c r="B33" s="32">
        <f t="shared" si="1"/>
        <v>4468</v>
      </c>
      <c r="C33" s="33" t="s">
        <v>52</v>
      </c>
      <c r="D33" s="34" t="s">
        <v>155</v>
      </c>
      <c r="E33" s="33" t="s">
        <v>52</v>
      </c>
      <c r="F33" s="34" t="s">
        <v>156</v>
      </c>
      <c r="G33" s="35" t="s">
        <v>76</v>
      </c>
      <c r="H33" s="36">
        <v>14000</v>
      </c>
      <c r="I33" s="36">
        <v>32850</v>
      </c>
      <c r="J33" s="36">
        <v>18850</v>
      </c>
      <c r="K33" s="35" t="s">
        <v>14</v>
      </c>
      <c r="L33" s="35" t="s">
        <v>77</v>
      </c>
      <c r="M33" s="37" t="s">
        <v>57</v>
      </c>
      <c r="N33" s="32" t="s">
        <v>58</v>
      </c>
      <c r="O33" s="38" t="s">
        <v>66</v>
      </c>
      <c r="P33" s="38" t="s">
        <v>67</v>
      </c>
      <c r="Q33" s="39">
        <f t="shared" si="0"/>
        <v>18.850000000000001</v>
      </c>
    </row>
    <row r="34" spans="1:17" x14ac:dyDescent="0.25">
      <c r="A34" s="31" t="s">
        <v>157</v>
      </c>
      <c r="B34" s="32">
        <f t="shared" si="1"/>
        <v>4469</v>
      </c>
      <c r="C34" s="33" t="s">
        <v>52</v>
      </c>
      <c r="D34" s="34" t="s">
        <v>158</v>
      </c>
      <c r="E34" s="33" t="s">
        <v>52</v>
      </c>
      <c r="F34" s="34" t="s">
        <v>159</v>
      </c>
      <c r="G34" s="35" t="s">
        <v>80</v>
      </c>
      <c r="H34" s="36">
        <v>14180</v>
      </c>
      <c r="I34" s="36">
        <v>32690</v>
      </c>
      <c r="J34" s="36">
        <v>18510</v>
      </c>
      <c r="K34" s="35" t="s">
        <v>14</v>
      </c>
      <c r="L34" s="35" t="s">
        <v>81</v>
      </c>
      <c r="M34" s="37" t="s">
        <v>57</v>
      </c>
      <c r="N34" s="32" t="s">
        <v>58</v>
      </c>
      <c r="O34" s="38" t="s">
        <v>66</v>
      </c>
      <c r="P34" s="38" t="s">
        <v>67</v>
      </c>
      <c r="Q34" s="39">
        <f t="shared" si="0"/>
        <v>18.510000000000002</v>
      </c>
    </row>
    <row r="35" spans="1:17" x14ac:dyDescent="0.25">
      <c r="A35" s="31" t="s">
        <v>160</v>
      </c>
      <c r="B35" s="32">
        <f t="shared" si="1"/>
        <v>4470</v>
      </c>
      <c r="C35" s="33" t="s">
        <v>52</v>
      </c>
      <c r="D35" s="34" t="s">
        <v>161</v>
      </c>
      <c r="E35" s="33" t="s">
        <v>52</v>
      </c>
      <c r="F35" s="34" t="s">
        <v>162</v>
      </c>
      <c r="G35" s="35" t="s">
        <v>90</v>
      </c>
      <c r="H35" s="36">
        <v>14050</v>
      </c>
      <c r="I35" s="36">
        <v>32370</v>
      </c>
      <c r="J35" s="36">
        <v>18320</v>
      </c>
      <c r="K35" s="35" t="s">
        <v>14</v>
      </c>
      <c r="L35" s="35" t="s">
        <v>91</v>
      </c>
      <c r="M35" s="37" t="s">
        <v>57</v>
      </c>
      <c r="N35" s="32" t="s">
        <v>58</v>
      </c>
      <c r="O35" s="38" t="s">
        <v>66</v>
      </c>
      <c r="P35" s="38" t="s">
        <v>67</v>
      </c>
      <c r="Q35" s="39">
        <f t="shared" si="0"/>
        <v>18.32</v>
      </c>
    </row>
    <row r="36" spans="1:17" x14ac:dyDescent="0.25">
      <c r="A36" s="31" t="s">
        <v>163</v>
      </c>
      <c r="B36" s="32">
        <f t="shared" si="1"/>
        <v>4471</v>
      </c>
      <c r="C36" s="33" t="s">
        <v>52</v>
      </c>
      <c r="D36" s="34" t="s">
        <v>164</v>
      </c>
      <c r="E36" s="33" t="s">
        <v>52</v>
      </c>
      <c r="F36" s="34" t="s">
        <v>165</v>
      </c>
      <c r="G36" s="35" t="s">
        <v>55</v>
      </c>
      <c r="H36" s="36">
        <v>13900</v>
      </c>
      <c r="I36" s="36">
        <v>30900</v>
      </c>
      <c r="J36" s="36">
        <v>17000</v>
      </c>
      <c r="K36" s="35" t="s">
        <v>14</v>
      </c>
      <c r="L36" s="35" t="s">
        <v>56</v>
      </c>
      <c r="M36" s="37" t="s">
        <v>57</v>
      </c>
      <c r="N36" s="32" t="s">
        <v>58</v>
      </c>
      <c r="O36" s="38" t="s">
        <v>59</v>
      </c>
      <c r="P36" s="38" t="s">
        <v>60</v>
      </c>
      <c r="Q36" s="39">
        <f t="shared" si="0"/>
        <v>17</v>
      </c>
    </row>
    <row r="37" spans="1:17" x14ac:dyDescent="0.25">
      <c r="A37" s="31" t="s">
        <v>166</v>
      </c>
      <c r="B37" s="32">
        <f t="shared" si="1"/>
        <v>4472</v>
      </c>
      <c r="C37" s="33" t="s">
        <v>52</v>
      </c>
      <c r="D37" s="34" t="s">
        <v>167</v>
      </c>
      <c r="E37" s="33" t="s">
        <v>52</v>
      </c>
      <c r="F37" s="34" t="s">
        <v>168</v>
      </c>
      <c r="G37" s="35" t="s">
        <v>71</v>
      </c>
      <c r="H37" s="36">
        <v>14040</v>
      </c>
      <c r="I37" s="36">
        <v>32670</v>
      </c>
      <c r="J37" s="36">
        <v>18630</v>
      </c>
      <c r="K37" s="35" t="s">
        <v>14</v>
      </c>
      <c r="L37" s="35" t="s">
        <v>72</v>
      </c>
      <c r="M37" s="37" t="s">
        <v>57</v>
      </c>
      <c r="N37" s="32" t="s">
        <v>58</v>
      </c>
      <c r="O37" s="38" t="s">
        <v>59</v>
      </c>
      <c r="P37" s="38" t="s">
        <v>60</v>
      </c>
      <c r="Q37" s="39">
        <f t="shared" si="0"/>
        <v>18.63</v>
      </c>
    </row>
    <row r="38" spans="1:17" x14ac:dyDescent="0.25">
      <c r="A38" s="31" t="s">
        <v>169</v>
      </c>
      <c r="B38" s="32">
        <f t="shared" si="1"/>
        <v>4473</v>
      </c>
      <c r="C38" s="33" t="s">
        <v>52</v>
      </c>
      <c r="D38" s="34" t="s">
        <v>170</v>
      </c>
      <c r="E38" s="33" t="s">
        <v>52</v>
      </c>
      <c r="F38" s="34" t="s">
        <v>171</v>
      </c>
      <c r="G38" s="35" t="s">
        <v>64</v>
      </c>
      <c r="H38" s="36">
        <v>14050</v>
      </c>
      <c r="I38" s="36">
        <v>32130</v>
      </c>
      <c r="J38" s="36">
        <v>18080</v>
      </c>
      <c r="K38" s="35" t="s">
        <v>14</v>
      </c>
      <c r="L38" s="35" t="s">
        <v>65</v>
      </c>
      <c r="M38" s="37" t="s">
        <v>57</v>
      </c>
      <c r="N38" s="32" t="s">
        <v>58</v>
      </c>
      <c r="O38" s="38" t="s">
        <v>66</v>
      </c>
      <c r="P38" s="38" t="s">
        <v>67</v>
      </c>
      <c r="Q38" s="39">
        <f t="shared" si="0"/>
        <v>18.079999999999998</v>
      </c>
    </row>
    <row r="39" spans="1:17" x14ac:dyDescent="0.25">
      <c r="A39" s="31" t="s">
        <v>172</v>
      </c>
      <c r="B39" s="32">
        <f t="shared" si="1"/>
        <v>4474</v>
      </c>
      <c r="C39" s="33" t="s">
        <v>52</v>
      </c>
      <c r="D39" s="34" t="s">
        <v>173</v>
      </c>
      <c r="E39" s="33" t="s">
        <v>52</v>
      </c>
      <c r="F39" s="34" t="s">
        <v>174</v>
      </c>
      <c r="G39" s="35" t="s">
        <v>76</v>
      </c>
      <c r="H39" s="36">
        <v>13980</v>
      </c>
      <c r="I39" s="36">
        <v>32660</v>
      </c>
      <c r="J39" s="36">
        <v>18680</v>
      </c>
      <c r="K39" s="35" t="s">
        <v>14</v>
      </c>
      <c r="L39" s="35" t="s">
        <v>77</v>
      </c>
      <c r="M39" s="37" t="s">
        <v>57</v>
      </c>
      <c r="N39" s="32" t="s">
        <v>58</v>
      </c>
      <c r="O39" s="38" t="s">
        <v>66</v>
      </c>
      <c r="P39" s="38" t="s">
        <v>67</v>
      </c>
      <c r="Q39" s="39">
        <f t="shared" si="0"/>
        <v>18.68</v>
      </c>
    </row>
    <row r="40" spans="1:17" x14ac:dyDescent="0.25">
      <c r="A40" s="31" t="s">
        <v>175</v>
      </c>
      <c r="B40" s="32">
        <f t="shared" si="1"/>
        <v>4475</v>
      </c>
      <c r="C40" s="33" t="s">
        <v>52</v>
      </c>
      <c r="D40" s="34" t="s">
        <v>176</v>
      </c>
      <c r="E40" s="33" t="s">
        <v>52</v>
      </c>
      <c r="F40" s="34" t="s">
        <v>177</v>
      </c>
      <c r="G40" s="35" t="s">
        <v>85</v>
      </c>
      <c r="H40" s="36">
        <v>14030</v>
      </c>
      <c r="I40" s="36">
        <v>32360</v>
      </c>
      <c r="J40" s="36">
        <v>18330</v>
      </c>
      <c r="K40" s="35" t="s">
        <v>14</v>
      </c>
      <c r="L40" s="35" t="s">
        <v>86</v>
      </c>
      <c r="M40" s="37" t="s">
        <v>57</v>
      </c>
      <c r="N40" s="32" t="s">
        <v>58</v>
      </c>
      <c r="O40" s="38" t="s">
        <v>66</v>
      </c>
      <c r="P40" s="38" t="s">
        <v>67</v>
      </c>
      <c r="Q40" s="39">
        <f t="shared" si="0"/>
        <v>18.329999999999998</v>
      </c>
    </row>
    <row r="41" spans="1:17" x14ac:dyDescent="0.25">
      <c r="A41" s="31" t="s">
        <v>178</v>
      </c>
      <c r="B41" s="32">
        <f t="shared" si="1"/>
        <v>4476</v>
      </c>
      <c r="C41" s="33" t="s">
        <v>52</v>
      </c>
      <c r="D41" s="34" t="s">
        <v>179</v>
      </c>
      <c r="E41" s="33" t="s">
        <v>52</v>
      </c>
      <c r="F41" s="34" t="s">
        <v>180</v>
      </c>
      <c r="G41" s="35" t="s">
        <v>80</v>
      </c>
      <c r="H41" s="36">
        <v>14130</v>
      </c>
      <c r="I41" s="36">
        <v>32330</v>
      </c>
      <c r="J41" s="36">
        <v>18200</v>
      </c>
      <c r="K41" s="35" t="s">
        <v>14</v>
      </c>
      <c r="L41" s="35" t="s">
        <v>81</v>
      </c>
      <c r="M41" s="37" t="s">
        <v>57</v>
      </c>
      <c r="N41" s="32" t="s">
        <v>58</v>
      </c>
      <c r="O41" s="38" t="s">
        <v>66</v>
      </c>
      <c r="P41" s="38" t="s">
        <v>67</v>
      </c>
      <c r="Q41" s="39">
        <f t="shared" si="0"/>
        <v>18.2</v>
      </c>
    </row>
    <row r="42" spans="1:17" x14ac:dyDescent="0.25">
      <c r="A42" s="31" t="s">
        <v>181</v>
      </c>
      <c r="B42" s="32">
        <f t="shared" si="1"/>
        <v>4477</v>
      </c>
      <c r="C42" s="33" t="s">
        <v>52</v>
      </c>
      <c r="D42" s="34" t="s">
        <v>182</v>
      </c>
      <c r="E42" s="33" t="s">
        <v>52</v>
      </c>
      <c r="F42" s="34" t="s">
        <v>183</v>
      </c>
      <c r="G42" s="35" t="s">
        <v>90</v>
      </c>
      <c r="H42" s="36">
        <v>14100</v>
      </c>
      <c r="I42" s="36">
        <v>31700</v>
      </c>
      <c r="J42" s="36">
        <v>17600</v>
      </c>
      <c r="K42" s="35" t="s">
        <v>14</v>
      </c>
      <c r="L42" s="35" t="s">
        <v>91</v>
      </c>
      <c r="M42" s="37" t="s">
        <v>57</v>
      </c>
      <c r="N42" s="32" t="s">
        <v>58</v>
      </c>
      <c r="O42" s="38" t="s">
        <v>66</v>
      </c>
      <c r="P42" s="38" t="s">
        <v>67</v>
      </c>
      <c r="Q42" s="39">
        <f t="shared" si="0"/>
        <v>17.600000000000001</v>
      </c>
    </row>
    <row r="43" spans="1:17" x14ac:dyDescent="0.25">
      <c r="A43" s="31" t="s">
        <v>184</v>
      </c>
      <c r="B43" s="32">
        <f t="shared" si="1"/>
        <v>4478</v>
      </c>
      <c r="C43" s="33" t="s">
        <v>52</v>
      </c>
      <c r="D43" s="34" t="s">
        <v>185</v>
      </c>
      <c r="E43" s="33" t="s">
        <v>52</v>
      </c>
      <c r="F43" s="34" t="s">
        <v>186</v>
      </c>
      <c r="G43" s="35" t="s">
        <v>55</v>
      </c>
      <c r="H43" s="36">
        <v>13830</v>
      </c>
      <c r="I43" s="36">
        <v>30240</v>
      </c>
      <c r="J43" s="36">
        <v>16410</v>
      </c>
      <c r="K43" s="35" t="s">
        <v>14</v>
      </c>
      <c r="L43" s="35" t="s">
        <v>56</v>
      </c>
      <c r="M43" s="37" t="s">
        <v>57</v>
      </c>
      <c r="N43" s="32" t="s">
        <v>58</v>
      </c>
      <c r="O43" s="38" t="s">
        <v>59</v>
      </c>
      <c r="P43" s="38" t="s">
        <v>60</v>
      </c>
      <c r="Q43" s="39">
        <f t="shared" si="0"/>
        <v>16.41</v>
      </c>
    </row>
    <row r="44" spans="1:17" x14ac:dyDescent="0.25">
      <c r="A44" s="31" t="s">
        <v>187</v>
      </c>
      <c r="B44" s="32">
        <f t="shared" si="1"/>
        <v>4479</v>
      </c>
      <c r="C44" s="33" t="s">
        <v>52</v>
      </c>
      <c r="D44" s="34" t="s">
        <v>188</v>
      </c>
      <c r="E44" s="33" t="s">
        <v>52</v>
      </c>
      <c r="F44" s="34" t="s">
        <v>189</v>
      </c>
      <c r="G44" s="35" t="s">
        <v>71</v>
      </c>
      <c r="H44" s="36">
        <v>14020</v>
      </c>
      <c r="I44" s="36">
        <v>32040</v>
      </c>
      <c r="J44" s="36">
        <v>18020</v>
      </c>
      <c r="K44" s="35" t="s">
        <v>14</v>
      </c>
      <c r="L44" s="35" t="s">
        <v>72</v>
      </c>
      <c r="M44" s="37" t="s">
        <v>57</v>
      </c>
      <c r="N44" s="32" t="s">
        <v>58</v>
      </c>
      <c r="O44" s="38" t="s">
        <v>59</v>
      </c>
      <c r="P44" s="38" t="s">
        <v>60</v>
      </c>
      <c r="Q44" s="39">
        <f t="shared" si="0"/>
        <v>18.02</v>
      </c>
    </row>
    <row r="45" spans="1:17" x14ac:dyDescent="0.25">
      <c r="A45" s="31" t="s">
        <v>190</v>
      </c>
      <c r="B45" s="32">
        <f t="shared" si="1"/>
        <v>4480</v>
      </c>
      <c r="C45" s="33" t="s">
        <v>52</v>
      </c>
      <c r="D45" s="34" t="s">
        <v>191</v>
      </c>
      <c r="E45" s="33" t="s">
        <v>52</v>
      </c>
      <c r="F45" s="34" t="s">
        <v>192</v>
      </c>
      <c r="G45" s="35" t="s">
        <v>64</v>
      </c>
      <c r="H45" s="36">
        <v>14000</v>
      </c>
      <c r="I45" s="36">
        <v>32420</v>
      </c>
      <c r="J45" s="36">
        <v>18420</v>
      </c>
      <c r="K45" s="35" t="s">
        <v>14</v>
      </c>
      <c r="L45" s="35" t="s">
        <v>65</v>
      </c>
      <c r="M45" s="37" t="s">
        <v>57</v>
      </c>
      <c r="N45" s="32" t="s">
        <v>58</v>
      </c>
      <c r="O45" s="38" t="s">
        <v>66</v>
      </c>
      <c r="P45" s="38" t="s">
        <v>67</v>
      </c>
      <c r="Q45" s="39">
        <f t="shared" si="0"/>
        <v>18.420000000000002</v>
      </c>
    </row>
    <row r="46" spans="1:17" x14ac:dyDescent="0.25">
      <c r="A46" s="31" t="s">
        <v>193</v>
      </c>
      <c r="B46" s="32">
        <f t="shared" si="1"/>
        <v>4481</v>
      </c>
      <c r="C46" s="33" t="s">
        <v>52</v>
      </c>
      <c r="D46" s="34" t="s">
        <v>194</v>
      </c>
      <c r="E46" s="33" t="s">
        <v>52</v>
      </c>
      <c r="F46" s="34" t="s">
        <v>195</v>
      </c>
      <c r="G46" s="35" t="s">
        <v>76</v>
      </c>
      <c r="H46" s="36">
        <v>13930</v>
      </c>
      <c r="I46" s="36">
        <v>32150</v>
      </c>
      <c r="J46" s="36">
        <v>18220</v>
      </c>
      <c r="K46" s="35" t="s">
        <v>14</v>
      </c>
      <c r="L46" s="35" t="s">
        <v>77</v>
      </c>
      <c r="M46" s="37" t="s">
        <v>57</v>
      </c>
      <c r="N46" s="32" t="s">
        <v>58</v>
      </c>
      <c r="O46" s="38" t="s">
        <v>66</v>
      </c>
      <c r="P46" s="38" t="s">
        <v>67</v>
      </c>
      <c r="Q46" s="39">
        <f t="shared" si="0"/>
        <v>18.22</v>
      </c>
    </row>
    <row r="47" spans="1:17" x14ac:dyDescent="0.25">
      <c r="A47" s="31" t="s">
        <v>196</v>
      </c>
      <c r="B47" s="32">
        <f t="shared" si="1"/>
        <v>4482</v>
      </c>
      <c r="C47" s="33" t="s">
        <v>52</v>
      </c>
      <c r="D47" s="34" t="s">
        <v>197</v>
      </c>
      <c r="E47" s="33" t="s">
        <v>52</v>
      </c>
      <c r="F47" s="34" t="s">
        <v>198</v>
      </c>
      <c r="G47" s="35" t="s">
        <v>85</v>
      </c>
      <c r="H47" s="36">
        <v>13990</v>
      </c>
      <c r="I47" s="36">
        <v>32200</v>
      </c>
      <c r="J47" s="36">
        <v>18210</v>
      </c>
      <c r="K47" s="35" t="s">
        <v>14</v>
      </c>
      <c r="L47" s="35" t="s">
        <v>86</v>
      </c>
      <c r="M47" s="37" t="s">
        <v>57</v>
      </c>
      <c r="N47" s="32" t="s">
        <v>58</v>
      </c>
      <c r="O47" s="38" t="s">
        <v>66</v>
      </c>
      <c r="P47" s="38" t="s">
        <v>67</v>
      </c>
      <c r="Q47" s="39">
        <f t="shared" si="0"/>
        <v>18.21</v>
      </c>
    </row>
    <row r="48" spans="1:17" x14ac:dyDescent="0.25">
      <c r="A48" s="31" t="s">
        <v>199</v>
      </c>
      <c r="B48" s="32">
        <f t="shared" si="1"/>
        <v>4483</v>
      </c>
      <c r="C48" s="33" t="s">
        <v>52</v>
      </c>
      <c r="D48" s="34" t="s">
        <v>200</v>
      </c>
      <c r="E48" s="33" t="s">
        <v>52</v>
      </c>
      <c r="F48" s="34" t="s">
        <v>201</v>
      </c>
      <c r="G48" s="35" t="s">
        <v>80</v>
      </c>
      <c r="H48" s="36">
        <v>14100</v>
      </c>
      <c r="I48" s="36">
        <v>31730</v>
      </c>
      <c r="J48" s="36">
        <v>17630</v>
      </c>
      <c r="K48" s="35" t="s">
        <v>14</v>
      </c>
      <c r="L48" s="35" t="s">
        <v>81</v>
      </c>
      <c r="M48" s="37" t="s">
        <v>57</v>
      </c>
      <c r="N48" s="32" t="s">
        <v>58</v>
      </c>
      <c r="O48" s="38" t="s">
        <v>66</v>
      </c>
      <c r="P48" s="38" t="s">
        <v>67</v>
      </c>
      <c r="Q48" s="39">
        <f t="shared" si="0"/>
        <v>17.63</v>
      </c>
    </row>
    <row r="49" spans="1:17" x14ac:dyDescent="0.25">
      <c r="A49" s="31" t="s">
        <v>202</v>
      </c>
      <c r="B49" s="32">
        <f t="shared" si="1"/>
        <v>4484</v>
      </c>
      <c r="C49" s="33" t="s">
        <v>52</v>
      </c>
      <c r="D49" s="34" t="s">
        <v>203</v>
      </c>
      <c r="E49" s="33" t="s">
        <v>52</v>
      </c>
      <c r="F49" s="34" t="s">
        <v>204</v>
      </c>
      <c r="G49" s="35" t="s">
        <v>90</v>
      </c>
      <c r="H49" s="36">
        <v>13990</v>
      </c>
      <c r="I49" s="36">
        <v>32110</v>
      </c>
      <c r="J49" s="36">
        <v>18120</v>
      </c>
      <c r="K49" s="35" t="s">
        <v>14</v>
      </c>
      <c r="L49" s="35" t="s">
        <v>91</v>
      </c>
      <c r="M49" s="37" t="s">
        <v>57</v>
      </c>
      <c r="N49" s="32" t="s">
        <v>58</v>
      </c>
      <c r="O49" s="38" t="s">
        <v>66</v>
      </c>
      <c r="P49" s="38" t="s">
        <v>67</v>
      </c>
      <c r="Q49" s="39">
        <f t="shared" si="0"/>
        <v>18.12</v>
      </c>
    </row>
    <row r="50" spans="1:17" x14ac:dyDescent="0.25">
      <c r="A50" s="31" t="s">
        <v>205</v>
      </c>
      <c r="B50" s="32">
        <f t="shared" si="1"/>
        <v>4485</v>
      </c>
      <c r="C50" s="33" t="s">
        <v>206</v>
      </c>
      <c r="D50" s="34" t="s">
        <v>207</v>
      </c>
      <c r="E50" s="33" t="s">
        <v>206</v>
      </c>
      <c r="F50" s="34" t="s">
        <v>208</v>
      </c>
      <c r="G50" s="35" t="s">
        <v>80</v>
      </c>
      <c r="H50" s="36">
        <v>14070</v>
      </c>
      <c r="I50" s="36">
        <v>32360</v>
      </c>
      <c r="J50" s="36">
        <v>18290</v>
      </c>
      <c r="K50" s="35" t="s">
        <v>14</v>
      </c>
      <c r="L50" s="35" t="s">
        <v>209</v>
      </c>
      <c r="M50" s="37" t="s">
        <v>210</v>
      </c>
      <c r="N50" s="32" t="s">
        <v>58</v>
      </c>
      <c r="O50" s="38" t="s">
        <v>66</v>
      </c>
      <c r="P50" s="38" t="s">
        <v>67</v>
      </c>
      <c r="Q50" s="39">
        <f t="shared" si="0"/>
        <v>18.29</v>
      </c>
    </row>
    <row r="51" spans="1:17" x14ac:dyDescent="0.25">
      <c r="A51" s="31" t="s">
        <v>211</v>
      </c>
      <c r="B51" s="32">
        <f t="shared" si="1"/>
        <v>4486</v>
      </c>
      <c r="C51" s="33" t="s">
        <v>206</v>
      </c>
      <c r="D51" s="34" t="s">
        <v>212</v>
      </c>
      <c r="E51" s="33" t="s">
        <v>206</v>
      </c>
      <c r="F51" s="34" t="s">
        <v>213</v>
      </c>
      <c r="G51" s="35" t="s">
        <v>55</v>
      </c>
      <c r="H51" s="36">
        <v>13820</v>
      </c>
      <c r="I51" s="36">
        <v>31600</v>
      </c>
      <c r="J51" s="36">
        <v>17780</v>
      </c>
      <c r="K51" s="35" t="s">
        <v>14</v>
      </c>
      <c r="L51" s="35" t="s">
        <v>214</v>
      </c>
      <c r="M51" s="37" t="s">
        <v>210</v>
      </c>
      <c r="N51" s="32" t="s">
        <v>58</v>
      </c>
      <c r="O51" s="38" t="s">
        <v>59</v>
      </c>
      <c r="P51" s="38" t="s">
        <v>60</v>
      </c>
      <c r="Q51" s="39">
        <f t="shared" si="0"/>
        <v>17.78</v>
      </c>
    </row>
    <row r="52" spans="1:17" x14ac:dyDescent="0.25">
      <c r="A52" s="31" t="s">
        <v>215</v>
      </c>
      <c r="B52" s="32">
        <f t="shared" si="1"/>
        <v>4487</v>
      </c>
      <c r="C52" s="33" t="s">
        <v>206</v>
      </c>
      <c r="D52" s="34" t="s">
        <v>216</v>
      </c>
      <c r="E52" s="33" t="s">
        <v>206</v>
      </c>
      <c r="F52" s="34" t="s">
        <v>217</v>
      </c>
      <c r="G52" s="35" t="s">
        <v>76</v>
      </c>
      <c r="H52" s="36">
        <v>13890</v>
      </c>
      <c r="I52" s="36">
        <v>31180</v>
      </c>
      <c r="J52" s="36">
        <v>17290</v>
      </c>
      <c r="K52" s="35" t="s">
        <v>14</v>
      </c>
      <c r="L52" s="35" t="s">
        <v>218</v>
      </c>
      <c r="M52" s="37" t="s">
        <v>210</v>
      </c>
      <c r="N52" s="32" t="s">
        <v>58</v>
      </c>
      <c r="O52" s="38" t="s">
        <v>66</v>
      </c>
      <c r="P52" s="38" t="s">
        <v>67</v>
      </c>
      <c r="Q52" s="39">
        <f t="shared" si="0"/>
        <v>17.29</v>
      </c>
    </row>
    <row r="53" spans="1:17" x14ac:dyDescent="0.25">
      <c r="A53" s="31" t="s">
        <v>219</v>
      </c>
      <c r="B53" s="32">
        <f t="shared" si="1"/>
        <v>4488</v>
      </c>
      <c r="C53" s="33" t="s">
        <v>206</v>
      </c>
      <c r="D53" s="34" t="s">
        <v>220</v>
      </c>
      <c r="E53" s="33" t="s">
        <v>206</v>
      </c>
      <c r="F53" s="34" t="s">
        <v>221</v>
      </c>
      <c r="G53" s="35" t="s">
        <v>64</v>
      </c>
      <c r="H53" s="36">
        <v>13890</v>
      </c>
      <c r="I53" s="36">
        <v>31680</v>
      </c>
      <c r="J53" s="36">
        <v>17790</v>
      </c>
      <c r="K53" s="35" t="s">
        <v>14</v>
      </c>
      <c r="L53" s="35" t="s">
        <v>222</v>
      </c>
      <c r="M53" s="37" t="s">
        <v>210</v>
      </c>
      <c r="N53" s="32" t="s">
        <v>58</v>
      </c>
      <c r="O53" s="38" t="s">
        <v>66</v>
      </c>
      <c r="P53" s="38" t="s">
        <v>67</v>
      </c>
      <c r="Q53" s="39">
        <f t="shared" si="0"/>
        <v>17.79</v>
      </c>
    </row>
    <row r="54" spans="1:17" x14ac:dyDescent="0.25">
      <c r="A54" s="31" t="s">
        <v>223</v>
      </c>
      <c r="B54" s="32">
        <f t="shared" si="1"/>
        <v>4489</v>
      </c>
      <c r="C54" s="33" t="s">
        <v>206</v>
      </c>
      <c r="D54" s="34" t="s">
        <v>224</v>
      </c>
      <c r="E54" s="33" t="s">
        <v>206</v>
      </c>
      <c r="F54" s="34" t="s">
        <v>225</v>
      </c>
      <c r="G54" s="35" t="s">
        <v>85</v>
      </c>
      <c r="H54" s="36">
        <v>13980</v>
      </c>
      <c r="I54" s="36">
        <v>31630</v>
      </c>
      <c r="J54" s="36">
        <v>17650</v>
      </c>
      <c r="K54" s="35" t="s">
        <v>14</v>
      </c>
      <c r="L54" s="35" t="s">
        <v>226</v>
      </c>
      <c r="M54" s="37" t="s">
        <v>210</v>
      </c>
      <c r="N54" s="32" t="s">
        <v>58</v>
      </c>
      <c r="O54" s="38" t="s">
        <v>66</v>
      </c>
      <c r="P54" s="38" t="s">
        <v>67</v>
      </c>
      <c r="Q54" s="39">
        <f t="shared" si="0"/>
        <v>17.649999999999999</v>
      </c>
    </row>
    <row r="55" spans="1:17" x14ac:dyDescent="0.25">
      <c r="A55" s="31" t="s">
        <v>227</v>
      </c>
      <c r="B55" s="32">
        <f t="shared" si="1"/>
        <v>4490</v>
      </c>
      <c r="C55" s="33" t="s">
        <v>206</v>
      </c>
      <c r="D55" s="34" t="s">
        <v>228</v>
      </c>
      <c r="E55" s="33" t="s">
        <v>206</v>
      </c>
      <c r="F55" s="34" t="s">
        <v>229</v>
      </c>
      <c r="G55" s="35" t="s">
        <v>71</v>
      </c>
      <c r="H55" s="36">
        <v>13960</v>
      </c>
      <c r="I55" s="36">
        <v>32790</v>
      </c>
      <c r="J55" s="36">
        <v>18830</v>
      </c>
      <c r="K55" s="35" t="s">
        <v>14</v>
      </c>
      <c r="L55" s="35" t="s">
        <v>230</v>
      </c>
      <c r="M55" s="37" t="s">
        <v>210</v>
      </c>
      <c r="N55" s="32" t="s">
        <v>58</v>
      </c>
      <c r="O55" s="38" t="s">
        <v>59</v>
      </c>
      <c r="P55" s="38" t="s">
        <v>60</v>
      </c>
      <c r="Q55" s="39">
        <f t="shared" si="0"/>
        <v>18.829999999999998</v>
      </c>
    </row>
    <row r="56" spans="1:17" x14ac:dyDescent="0.25">
      <c r="A56" s="31" t="s">
        <v>231</v>
      </c>
      <c r="B56" s="32">
        <f t="shared" si="1"/>
        <v>4491</v>
      </c>
      <c r="C56" s="33" t="s">
        <v>206</v>
      </c>
      <c r="D56" s="34" t="s">
        <v>232</v>
      </c>
      <c r="E56" s="33" t="s">
        <v>206</v>
      </c>
      <c r="F56" s="34" t="s">
        <v>233</v>
      </c>
      <c r="G56" s="35" t="s">
        <v>90</v>
      </c>
      <c r="H56" s="36">
        <v>13940</v>
      </c>
      <c r="I56" s="36">
        <v>31800</v>
      </c>
      <c r="J56" s="36">
        <v>17860</v>
      </c>
      <c r="K56" s="35" t="s">
        <v>14</v>
      </c>
      <c r="L56" s="35" t="s">
        <v>234</v>
      </c>
      <c r="M56" s="37" t="s">
        <v>210</v>
      </c>
      <c r="N56" s="32" t="s">
        <v>58</v>
      </c>
      <c r="O56" s="38" t="s">
        <v>66</v>
      </c>
      <c r="P56" s="38" t="s">
        <v>67</v>
      </c>
      <c r="Q56" s="39">
        <f t="shared" si="0"/>
        <v>17.86</v>
      </c>
    </row>
    <row r="57" spans="1:17" x14ac:dyDescent="0.25">
      <c r="A57" s="31" t="s">
        <v>235</v>
      </c>
      <c r="B57" s="32">
        <f t="shared" si="1"/>
        <v>4492</v>
      </c>
      <c r="C57" s="33" t="s">
        <v>206</v>
      </c>
      <c r="D57" s="34" t="s">
        <v>236</v>
      </c>
      <c r="E57" s="33" t="s">
        <v>206</v>
      </c>
      <c r="F57" s="34" t="s">
        <v>237</v>
      </c>
      <c r="G57" s="35" t="s">
        <v>80</v>
      </c>
      <c r="H57" s="36">
        <v>14040</v>
      </c>
      <c r="I57" s="36">
        <v>32310</v>
      </c>
      <c r="J57" s="36">
        <v>18270</v>
      </c>
      <c r="K57" s="35" t="s">
        <v>14</v>
      </c>
      <c r="L57" s="35" t="s">
        <v>209</v>
      </c>
      <c r="M57" s="37" t="s">
        <v>210</v>
      </c>
      <c r="N57" s="32" t="s">
        <v>58</v>
      </c>
      <c r="O57" s="38" t="s">
        <v>66</v>
      </c>
      <c r="P57" s="38" t="s">
        <v>67</v>
      </c>
      <c r="Q57" s="39">
        <f t="shared" si="0"/>
        <v>18.27</v>
      </c>
    </row>
    <row r="58" spans="1:17" x14ac:dyDescent="0.25">
      <c r="A58" s="31" t="s">
        <v>238</v>
      </c>
      <c r="B58" s="32">
        <f t="shared" si="1"/>
        <v>4493</v>
      </c>
      <c r="C58" s="33" t="s">
        <v>206</v>
      </c>
      <c r="D58" s="34" t="s">
        <v>239</v>
      </c>
      <c r="E58" s="33" t="s">
        <v>206</v>
      </c>
      <c r="F58" s="34" t="s">
        <v>240</v>
      </c>
      <c r="G58" s="35" t="s">
        <v>64</v>
      </c>
      <c r="H58" s="36">
        <v>13880</v>
      </c>
      <c r="I58" s="36">
        <v>32480</v>
      </c>
      <c r="J58" s="36">
        <v>18600</v>
      </c>
      <c r="K58" s="35" t="s">
        <v>14</v>
      </c>
      <c r="L58" s="35" t="s">
        <v>222</v>
      </c>
      <c r="M58" s="37" t="s">
        <v>210</v>
      </c>
      <c r="N58" s="32" t="s">
        <v>58</v>
      </c>
      <c r="O58" s="38" t="s">
        <v>66</v>
      </c>
      <c r="P58" s="38" t="s">
        <v>67</v>
      </c>
      <c r="Q58" s="39">
        <f t="shared" si="0"/>
        <v>18.600000000000001</v>
      </c>
    </row>
    <row r="59" spans="1:17" x14ac:dyDescent="0.25">
      <c r="A59" s="31" t="s">
        <v>241</v>
      </c>
      <c r="B59" s="32">
        <f t="shared" si="1"/>
        <v>4494</v>
      </c>
      <c r="C59" s="33" t="s">
        <v>206</v>
      </c>
      <c r="D59" s="34" t="s">
        <v>242</v>
      </c>
      <c r="E59" s="33" t="s">
        <v>206</v>
      </c>
      <c r="F59" s="34" t="s">
        <v>243</v>
      </c>
      <c r="G59" s="35" t="s">
        <v>55</v>
      </c>
      <c r="H59" s="36">
        <v>13770</v>
      </c>
      <c r="I59" s="36">
        <v>33130</v>
      </c>
      <c r="J59" s="36">
        <v>19360</v>
      </c>
      <c r="K59" s="35" t="s">
        <v>14</v>
      </c>
      <c r="L59" s="35" t="s">
        <v>214</v>
      </c>
      <c r="M59" s="37" t="s">
        <v>210</v>
      </c>
      <c r="N59" s="32" t="s">
        <v>58</v>
      </c>
      <c r="O59" s="38" t="s">
        <v>59</v>
      </c>
      <c r="P59" s="38" t="s">
        <v>60</v>
      </c>
      <c r="Q59" s="39">
        <f t="shared" si="0"/>
        <v>19.36</v>
      </c>
    </row>
    <row r="60" spans="1:17" x14ac:dyDescent="0.25">
      <c r="A60" s="31" t="s">
        <v>244</v>
      </c>
      <c r="B60" s="32">
        <f t="shared" si="1"/>
        <v>4495</v>
      </c>
      <c r="C60" s="33" t="s">
        <v>206</v>
      </c>
      <c r="D60" s="34" t="s">
        <v>245</v>
      </c>
      <c r="E60" s="33" t="s">
        <v>206</v>
      </c>
      <c r="F60" s="34" t="s">
        <v>246</v>
      </c>
      <c r="G60" s="35" t="s">
        <v>85</v>
      </c>
      <c r="H60" s="36">
        <v>13940</v>
      </c>
      <c r="I60" s="36">
        <v>32290</v>
      </c>
      <c r="J60" s="36">
        <v>18350</v>
      </c>
      <c r="K60" s="35" t="s">
        <v>14</v>
      </c>
      <c r="L60" s="35" t="s">
        <v>226</v>
      </c>
      <c r="M60" s="37" t="s">
        <v>210</v>
      </c>
      <c r="N60" s="32" t="s">
        <v>58</v>
      </c>
      <c r="O60" s="38" t="s">
        <v>66</v>
      </c>
      <c r="P60" s="38" t="s">
        <v>67</v>
      </c>
      <c r="Q60" s="39">
        <f t="shared" si="0"/>
        <v>18.350000000000001</v>
      </c>
    </row>
    <row r="61" spans="1:17" x14ac:dyDescent="0.25">
      <c r="A61" s="31" t="s">
        <v>247</v>
      </c>
      <c r="B61" s="32">
        <f t="shared" si="1"/>
        <v>4496</v>
      </c>
      <c r="C61" s="33" t="s">
        <v>206</v>
      </c>
      <c r="D61" s="34" t="s">
        <v>248</v>
      </c>
      <c r="E61" s="33" t="s">
        <v>206</v>
      </c>
      <c r="F61" s="34" t="s">
        <v>249</v>
      </c>
      <c r="G61" s="35" t="s">
        <v>76</v>
      </c>
      <c r="H61" s="36">
        <v>13870</v>
      </c>
      <c r="I61" s="36">
        <v>32260</v>
      </c>
      <c r="J61" s="36">
        <v>18390</v>
      </c>
      <c r="K61" s="35" t="s">
        <v>14</v>
      </c>
      <c r="L61" s="35" t="s">
        <v>218</v>
      </c>
      <c r="M61" s="37" t="s">
        <v>210</v>
      </c>
      <c r="N61" s="32" t="s">
        <v>58</v>
      </c>
      <c r="O61" s="38" t="s">
        <v>66</v>
      </c>
      <c r="P61" s="38" t="s">
        <v>67</v>
      </c>
      <c r="Q61" s="39">
        <f t="shared" si="0"/>
        <v>18.39</v>
      </c>
    </row>
    <row r="62" spans="1:17" x14ac:dyDescent="0.25">
      <c r="A62" s="31" t="s">
        <v>250</v>
      </c>
      <c r="B62" s="32">
        <f t="shared" si="1"/>
        <v>4497</v>
      </c>
      <c r="C62" s="33" t="s">
        <v>206</v>
      </c>
      <c r="D62" s="34" t="s">
        <v>251</v>
      </c>
      <c r="E62" s="33" t="s">
        <v>206</v>
      </c>
      <c r="F62" s="34" t="s">
        <v>252</v>
      </c>
      <c r="G62" s="35" t="s">
        <v>71</v>
      </c>
      <c r="H62" s="36">
        <v>13940</v>
      </c>
      <c r="I62" s="36">
        <v>33160</v>
      </c>
      <c r="J62" s="36">
        <v>19220</v>
      </c>
      <c r="K62" s="35" t="s">
        <v>14</v>
      </c>
      <c r="L62" s="35" t="s">
        <v>230</v>
      </c>
      <c r="M62" s="37" t="s">
        <v>210</v>
      </c>
      <c r="N62" s="32" t="s">
        <v>58</v>
      </c>
      <c r="O62" s="38" t="s">
        <v>59</v>
      </c>
      <c r="P62" s="38" t="s">
        <v>60</v>
      </c>
      <c r="Q62" s="39">
        <f t="shared" si="0"/>
        <v>19.22</v>
      </c>
    </row>
    <row r="63" spans="1:17" x14ac:dyDescent="0.25">
      <c r="A63" s="31" t="s">
        <v>253</v>
      </c>
      <c r="B63" s="32">
        <f t="shared" si="1"/>
        <v>4498</v>
      </c>
      <c r="C63" s="33" t="s">
        <v>206</v>
      </c>
      <c r="D63" s="34" t="s">
        <v>254</v>
      </c>
      <c r="E63" s="33" t="s">
        <v>206</v>
      </c>
      <c r="F63" s="34" t="s">
        <v>255</v>
      </c>
      <c r="G63" s="35" t="s">
        <v>90</v>
      </c>
      <c r="H63" s="36">
        <v>13830</v>
      </c>
      <c r="I63" s="36">
        <v>32200</v>
      </c>
      <c r="J63" s="36">
        <v>18370</v>
      </c>
      <c r="K63" s="35" t="s">
        <v>14</v>
      </c>
      <c r="L63" s="35" t="s">
        <v>234</v>
      </c>
      <c r="M63" s="37" t="s">
        <v>210</v>
      </c>
      <c r="N63" s="32" t="s">
        <v>58</v>
      </c>
      <c r="O63" s="38" t="s">
        <v>66</v>
      </c>
      <c r="P63" s="38" t="s">
        <v>67</v>
      </c>
      <c r="Q63" s="39">
        <f t="shared" si="0"/>
        <v>18.37</v>
      </c>
    </row>
    <row r="64" spans="1:17" x14ac:dyDescent="0.25">
      <c r="A64" s="31" t="s">
        <v>256</v>
      </c>
      <c r="B64" s="32">
        <f t="shared" si="1"/>
        <v>4499</v>
      </c>
      <c r="C64" s="33" t="s">
        <v>206</v>
      </c>
      <c r="D64" s="34" t="s">
        <v>257</v>
      </c>
      <c r="E64" s="33" t="s">
        <v>206</v>
      </c>
      <c r="F64" s="34" t="s">
        <v>258</v>
      </c>
      <c r="G64" s="35" t="s">
        <v>80</v>
      </c>
      <c r="H64" s="36">
        <v>14010</v>
      </c>
      <c r="I64" s="36">
        <v>31930</v>
      </c>
      <c r="J64" s="36">
        <v>17920</v>
      </c>
      <c r="K64" s="35" t="s">
        <v>14</v>
      </c>
      <c r="L64" s="35" t="s">
        <v>209</v>
      </c>
      <c r="M64" s="37" t="s">
        <v>210</v>
      </c>
      <c r="N64" s="32" t="s">
        <v>58</v>
      </c>
      <c r="O64" s="38" t="s">
        <v>66</v>
      </c>
      <c r="P64" s="38" t="s">
        <v>67</v>
      </c>
      <c r="Q64" s="39">
        <f t="shared" si="0"/>
        <v>17.920000000000002</v>
      </c>
    </row>
    <row r="65" spans="1:17" x14ac:dyDescent="0.25">
      <c r="A65" s="31" t="s">
        <v>259</v>
      </c>
      <c r="B65" s="32">
        <f t="shared" si="1"/>
        <v>4500</v>
      </c>
      <c r="C65" s="33" t="s">
        <v>206</v>
      </c>
      <c r="D65" s="34" t="s">
        <v>260</v>
      </c>
      <c r="E65" s="33" t="s">
        <v>206</v>
      </c>
      <c r="F65" s="34" t="s">
        <v>261</v>
      </c>
      <c r="G65" s="35" t="s">
        <v>64</v>
      </c>
      <c r="H65" s="36">
        <v>13840</v>
      </c>
      <c r="I65" s="36">
        <v>30700</v>
      </c>
      <c r="J65" s="36">
        <v>16860</v>
      </c>
      <c r="K65" s="35" t="s">
        <v>14</v>
      </c>
      <c r="L65" s="35" t="s">
        <v>222</v>
      </c>
      <c r="M65" s="37" t="s">
        <v>210</v>
      </c>
      <c r="N65" s="32" t="s">
        <v>58</v>
      </c>
      <c r="O65" s="38" t="s">
        <v>66</v>
      </c>
      <c r="P65" s="38" t="s">
        <v>67</v>
      </c>
      <c r="Q65" s="39">
        <f t="shared" si="0"/>
        <v>16.86</v>
      </c>
    </row>
    <row r="66" spans="1:17" x14ac:dyDescent="0.25">
      <c r="A66" s="31" t="s">
        <v>262</v>
      </c>
      <c r="B66" s="32">
        <f t="shared" si="1"/>
        <v>4501</v>
      </c>
      <c r="C66" s="33" t="s">
        <v>206</v>
      </c>
      <c r="D66" s="34" t="s">
        <v>263</v>
      </c>
      <c r="E66" s="33" t="s">
        <v>206</v>
      </c>
      <c r="F66" s="34" t="s">
        <v>264</v>
      </c>
      <c r="G66" s="35" t="s">
        <v>85</v>
      </c>
      <c r="H66" s="36">
        <v>13920</v>
      </c>
      <c r="I66" s="36">
        <v>31360</v>
      </c>
      <c r="J66" s="36">
        <v>17440</v>
      </c>
      <c r="K66" s="35" t="s">
        <v>14</v>
      </c>
      <c r="L66" s="35" t="s">
        <v>226</v>
      </c>
      <c r="M66" s="37" t="s">
        <v>210</v>
      </c>
      <c r="N66" s="32" t="s">
        <v>58</v>
      </c>
      <c r="O66" s="38" t="s">
        <v>66</v>
      </c>
      <c r="P66" s="38" t="s">
        <v>67</v>
      </c>
      <c r="Q66" s="39">
        <f t="shared" si="0"/>
        <v>17.440000000000001</v>
      </c>
    </row>
    <row r="67" spans="1:17" x14ac:dyDescent="0.25">
      <c r="A67" s="31" t="s">
        <v>265</v>
      </c>
      <c r="B67" s="32">
        <f t="shared" si="1"/>
        <v>4502</v>
      </c>
      <c r="C67" s="33" t="s">
        <v>206</v>
      </c>
      <c r="D67" s="34" t="s">
        <v>266</v>
      </c>
      <c r="E67" s="33" t="s">
        <v>206</v>
      </c>
      <c r="F67" s="34" t="s">
        <v>267</v>
      </c>
      <c r="G67" s="35" t="s">
        <v>55</v>
      </c>
      <c r="H67" s="36">
        <v>13760</v>
      </c>
      <c r="I67" s="36">
        <v>31020</v>
      </c>
      <c r="J67" s="36">
        <v>17260</v>
      </c>
      <c r="K67" s="35" t="s">
        <v>14</v>
      </c>
      <c r="L67" s="35" t="s">
        <v>214</v>
      </c>
      <c r="M67" s="37" t="s">
        <v>210</v>
      </c>
      <c r="N67" s="32" t="s">
        <v>58</v>
      </c>
      <c r="O67" s="38" t="s">
        <v>59</v>
      </c>
      <c r="P67" s="38" t="s">
        <v>60</v>
      </c>
      <c r="Q67" s="39">
        <f t="shared" si="0"/>
        <v>17.260000000000002</v>
      </c>
    </row>
    <row r="68" spans="1:17" x14ac:dyDescent="0.25">
      <c r="A68" s="31" t="s">
        <v>268</v>
      </c>
      <c r="B68" s="32">
        <f t="shared" si="1"/>
        <v>4503</v>
      </c>
      <c r="C68" s="33" t="s">
        <v>206</v>
      </c>
      <c r="D68" s="34" t="s">
        <v>269</v>
      </c>
      <c r="E68" s="33" t="s">
        <v>206</v>
      </c>
      <c r="F68" s="34" t="s">
        <v>270</v>
      </c>
      <c r="G68" s="35" t="s">
        <v>76</v>
      </c>
      <c r="H68" s="36">
        <v>13880</v>
      </c>
      <c r="I68" s="36">
        <v>34290</v>
      </c>
      <c r="J68" s="36">
        <v>20410</v>
      </c>
      <c r="K68" s="35" t="s">
        <v>14</v>
      </c>
      <c r="L68" s="35" t="s">
        <v>218</v>
      </c>
      <c r="M68" s="37" t="s">
        <v>210</v>
      </c>
      <c r="N68" s="32" t="s">
        <v>58</v>
      </c>
      <c r="O68" s="38" t="s">
        <v>66</v>
      </c>
      <c r="P68" s="38" t="s">
        <v>67</v>
      </c>
      <c r="Q68" s="39">
        <f t="shared" si="0"/>
        <v>20.41</v>
      </c>
    </row>
    <row r="69" spans="1:17" x14ac:dyDescent="0.25">
      <c r="A69" s="31" t="s">
        <v>271</v>
      </c>
      <c r="B69" s="32">
        <f t="shared" si="1"/>
        <v>4504</v>
      </c>
      <c r="C69" s="33" t="s">
        <v>206</v>
      </c>
      <c r="D69" s="34" t="s">
        <v>272</v>
      </c>
      <c r="E69" s="33" t="s">
        <v>206</v>
      </c>
      <c r="F69" s="34" t="s">
        <v>273</v>
      </c>
      <c r="G69" s="35" t="s">
        <v>85</v>
      </c>
      <c r="H69" s="36">
        <v>14020</v>
      </c>
      <c r="I69" s="36">
        <v>33090</v>
      </c>
      <c r="J69" s="36">
        <v>19070</v>
      </c>
      <c r="K69" s="35" t="s">
        <v>14</v>
      </c>
      <c r="L69" s="35" t="s">
        <v>226</v>
      </c>
      <c r="M69" s="37" t="s">
        <v>210</v>
      </c>
      <c r="N69" s="32" t="s">
        <v>58</v>
      </c>
      <c r="O69" s="38" t="s">
        <v>66</v>
      </c>
      <c r="P69" s="38" t="s">
        <v>67</v>
      </c>
      <c r="Q69" s="39">
        <f t="shared" si="0"/>
        <v>19.07</v>
      </c>
    </row>
  </sheetData>
  <mergeCells count="1">
    <mergeCell ref="A1:M1"/>
  </mergeCells>
  <conditionalFormatting sqref="K7:K69">
    <cfRule type="expression" dxfId="25" priority="1">
      <formula>AND(#REF!&gt;0,#REF!="QC")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G5" sqref="G5"/>
    </sheetView>
  </sheetViews>
  <sheetFormatPr defaultColWidth="7.77734375" defaultRowHeight="18.75" x14ac:dyDescent="0.3"/>
  <cols>
    <col min="1" max="1" width="13.21875" style="183" customWidth="1"/>
    <col min="2" max="2" width="7.77734375" style="184"/>
    <col min="3" max="3" width="16.33203125" style="182" customWidth="1"/>
    <col min="4" max="4" width="7.77734375" style="182"/>
    <col min="5" max="5" width="16.88671875" style="182" customWidth="1"/>
    <col min="6" max="6" width="16.109375" style="182" customWidth="1"/>
    <col min="7" max="7" width="20.33203125" style="182" customWidth="1"/>
    <col min="8" max="16384" width="7.77734375" style="182"/>
  </cols>
  <sheetData>
    <row r="1" spans="1:8" ht="36" customHeight="1" x14ac:dyDescent="0.3">
      <c r="A1" s="274" t="s">
        <v>3082</v>
      </c>
      <c r="B1" s="274"/>
      <c r="C1" s="274"/>
      <c r="D1" s="274"/>
      <c r="E1" s="274"/>
      <c r="F1" s="274"/>
      <c r="G1" s="274"/>
    </row>
    <row r="2" spans="1:8" x14ac:dyDescent="0.3">
      <c r="A2" s="183" t="s">
        <v>15</v>
      </c>
      <c r="B2" s="184" t="s">
        <v>21</v>
      </c>
      <c r="C2" s="182" t="s">
        <v>22</v>
      </c>
      <c r="D2" s="182" t="s">
        <v>16</v>
      </c>
      <c r="E2" s="182" t="s">
        <v>18</v>
      </c>
      <c r="F2" s="182" t="s">
        <v>19</v>
      </c>
      <c r="G2" s="182" t="s">
        <v>20</v>
      </c>
      <c r="H2" s="182" t="s">
        <v>24</v>
      </c>
    </row>
    <row r="3" spans="1:8" x14ac:dyDescent="0.3">
      <c r="A3" s="241">
        <v>46285</v>
      </c>
      <c r="B3" s="182" t="s">
        <v>4031</v>
      </c>
      <c r="C3" s="239" t="s">
        <v>3105</v>
      </c>
      <c r="D3" s="182" t="s">
        <v>334</v>
      </c>
      <c r="E3" s="240">
        <v>447</v>
      </c>
      <c r="F3" s="174">
        <v>29940</v>
      </c>
      <c r="G3" s="245">
        <v>46282</v>
      </c>
      <c r="H3" s="218" t="s">
        <v>4340</v>
      </c>
    </row>
    <row r="4" spans="1:8" x14ac:dyDescent="0.3">
      <c r="A4" s="241">
        <v>46285</v>
      </c>
      <c r="B4" s="216" t="s">
        <v>4031</v>
      </c>
      <c r="C4" s="239" t="s">
        <v>3104</v>
      </c>
      <c r="D4" s="217" t="s">
        <v>334</v>
      </c>
      <c r="E4" s="240">
        <v>427</v>
      </c>
      <c r="F4" s="174">
        <v>29940</v>
      </c>
      <c r="G4" s="245">
        <v>46282</v>
      </c>
      <c r="H4" s="218" t="s">
        <v>4340</v>
      </c>
    </row>
    <row r="5" spans="1:8" x14ac:dyDescent="0.3">
      <c r="A5" s="241">
        <v>46286</v>
      </c>
      <c r="B5" s="216" t="s">
        <v>4031</v>
      </c>
      <c r="C5" s="239" t="s">
        <v>3105</v>
      </c>
      <c r="D5" s="217" t="s">
        <v>334</v>
      </c>
      <c r="E5" s="240">
        <v>367</v>
      </c>
      <c r="F5" s="174">
        <v>29940</v>
      </c>
      <c r="G5" s="245">
        <v>46282</v>
      </c>
      <c r="H5" s="218" t="s">
        <v>4340</v>
      </c>
    </row>
    <row r="6" spans="1:8" x14ac:dyDescent="0.3">
      <c r="A6" s="241">
        <v>46287</v>
      </c>
      <c r="B6" s="216" t="s">
        <v>4031</v>
      </c>
      <c r="C6" s="239" t="s">
        <v>301</v>
      </c>
      <c r="D6" s="217" t="s">
        <v>334</v>
      </c>
      <c r="E6" s="240">
        <v>336</v>
      </c>
      <c r="F6" s="174">
        <v>29940</v>
      </c>
      <c r="G6" s="238">
        <v>46287</v>
      </c>
      <c r="H6" s="218" t="s">
        <v>4340</v>
      </c>
    </row>
    <row r="7" spans="1:8" x14ac:dyDescent="0.3">
      <c r="A7" s="241">
        <v>46288</v>
      </c>
      <c r="B7" s="216" t="s">
        <v>4031</v>
      </c>
      <c r="C7" s="239" t="s">
        <v>3101</v>
      </c>
      <c r="D7" s="217" t="s">
        <v>334</v>
      </c>
      <c r="E7" s="240">
        <v>370</v>
      </c>
      <c r="F7" s="174">
        <v>29940</v>
      </c>
      <c r="G7" s="238">
        <v>46287</v>
      </c>
      <c r="H7" s="218" t="s">
        <v>4340</v>
      </c>
    </row>
    <row r="8" spans="1:8" x14ac:dyDescent="0.3">
      <c r="A8" s="241">
        <v>46284</v>
      </c>
      <c r="B8" s="216" t="s">
        <v>4031</v>
      </c>
      <c r="C8" s="229" t="s">
        <v>4337</v>
      </c>
      <c r="D8" s="217" t="s">
        <v>334</v>
      </c>
      <c r="E8" s="230">
        <v>465</v>
      </c>
      <c r="F8" s="231">
        <v>28480</v>
      </c>
      <c r="G8" s="232">
        <v>46280</v>
      </c>
      <c r="H8" s="218" t="s">
        <v>4340</v>
      </c>
    </row>
    <row r="9" spans="1:8" x14ac:dyDescent="0.3">
      <c r="A9" s="241">
        <v>46285</v>
      </c>
      <c r="B9" s="216" t="s">
        <v>4031</v>
      </c>
      <c r="C9" s="229" t="s">
        <v>4336</v>
      </c>
      <c r="D9" s="217" t="s">
        <v>334</v>
      </c>
      <c r="E9" s="230">
        <v>355.06</v>
      </c>
      <c r="F9" s="231">
        <v>28480</v>
      </c>
      <c r="G9" s="232">
        <v>46280</v>
      </c>
      <c r="H9" s="218" t="s">
        <v>4340</v>
      </c>
    </row>
    <row r="10" spans="1:8" x14ac:dyDescent="0.3">
      <c r="A10" s="241">
        <v>46285</v>
      </c>
      <c r="B10" s="216" t="s">
        <v>4031</v>
      </c>
      <c r="C10" s="229" t="s">
        <v>4339</v>
      </c>
      <c r="D10" s="217" t="s">
        <v>334</v>
      </c>
      <c r="E10" s="230">
        <v>355</v>
      </c>
      <c r="F10" s="231">
        <v>28480</v>
      </c>
      <c r="G10" s="232">
        <v>46280</v>
      </c>
      <c r="H10" s="218" t="s">
        <v>4340</v>
      </c>
    </row>
    <row r="11" spans="1:8" x14ac:dyDescent="0.3">
      <c r="A11" s="241">
        <v>46286</v>
      </c>
      <c r="B11" s="216" t="s">
        <v>4031</v>
      </c>
      <c r="C11" s="229" t="s">
        <v>4337</v>
      </c>
      <c r="D11" s="217" t="s">
        <v>334</v>
      </c>
      <c r="E11" s="230">
        <v>440.01</v>
      </c>
      <c r="F11" s="231">
        <v>28480</v>
      </c>
      <c r="G11" s="232">
        <v>46280</v>
      </c>
      <c r="H11" s="218" t="s">
        <v>4340</v>
      </c>
    </row>
    <row r="12" spans="1:8" x14ac:dyDescent="0.3">
      <c r="A12" s="241">
        <v>46287</v>
      </c>
      <c r="B12" s="216" t="s">
        <v>4031</v>
      </c>
      <c r="C12" s="229" t="s">
        <v>4335</v>
      </c>
      <c r="D12" s="217" t="s">
        <v>334</v>
      </c>
      <c r="E12" s="230">
        <v>370</v>
      </c>
      <c r="F12" s="231">
        <v>29940</v>
      </c>
      <c r="G12" s="232">
        <v>46287</v>
      </c>
      <c r="H12" s="218" t="s">
        <v>4340</v>
      </c>
    </row>
    <row r="13" spans="1:8" x14ac:dyDescent="0.3">
      <c r="A13" s="241">
        <v>46287</v>
      </c>
      <c r="B13" s="216" t="s">
        <v>4031</v>
      </c>
      <c r="C13" s="229" t="s">
        <v>4336</v>
      </c>
      <c r="D13" s="217" t="s">
        <v>334</v>
      </c>
      <c r="E13" s="230">
        <v>336.26</v>
      </c>
      <c r="F13" s="231">
        <v>29940</v>
      </c>
      <c r="G13" s="232">
        <v>46287</v>
      </c>
      <c r="H13" s="218" t="s">
        <v>4340</v>
      </c>
    </row>
    <row r="14" spans="1:8" x14ac:dyDescent="0.3">
      <c r="A14" s="241">
        <v>46287</v>
      </c>
      <c r="B14" s="216" t="s">
        <v>4031</v>
      </c>
      <c r="C14" s="229" t="s">
        <v>4339</v>
      </c>
      <c r="D14" s="217" t="s">
        <v>334</v>
      </c>
      <c r="E14" s="230">
        <v>405.01</v>
      </c>
      <c r="F14" s="231">
        <v>29940</v>
      </c>
      <c r="G14" s="232">
        <v>46287</v>
      </c>
      <c r="H14" s="218" t="s">
        <v>4340</v>
      </c>
    </row>
    <row r="15" spans="1:8" x14ac:dyDescent="0.3">
      <c r="A15" s="242">
        <v>46288</v>
      </c>
      <c r="B15" s="216" t="s">
        <v>4031</v>
      </c>
      <c r="C15" s="234" t="s">
        <v>4338</v>
      </c>
      <c r="D15" s="217" t="s">
        <v>334</v>
      </c>
      <c r="E15" s="236">
        <v>415.01</v>
      </c>
      <c r="F15" s="231">
        <v>29940</v>
      </c>
      <c r="G15" s="232">
        <v>46287</v>
      </c>
      <c r="H15" s="218" t="s">
        <v>4340</v>
      </c>
    </row>
    <row r="16" spans="1:8" x14ac:dyDescent="0.3">
      <c r="A16" s="242"/>
      <c r="B16" s="233"/>
      <c r="C16" s="234"/>
      <c r="D16" s="235"/>
      <c r="E16" s="248"/>
      <c r="F16" s="237"/>
      <c r="G16" s="238"/>
      <c r="H16" s="218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1AB6-1B8F-4AD4-B593-3488DAC44DEC}">
  <dimension ref="A1:I52"/>
  <sheetViews>
    <sheetView view="pageBreakPreview" topLeftCell="A34" zoomScale="60" zoomScaleNormal="100" workbookViewId="0">
      <selection activeCell="E51" sqref="E51"/>
    </sheetView>
  </sheetViews>
  <sheetFormatPr defaultRowHeight="18.75" x14ac:dyDescent="0.3"/>
  <cols>
    <col min="1" max="1" width="14.88671875" customWidth="1"/>
    <col min="2" max="2" width="14" customWidth="1"/>
    <col min="3" max="3" width="14.88671875" customWidth="1"/>
    <col min="4" max="4" width="11.88671875" customWidth="1"/>
    <col min="5" max="5" width="15.77734375" customWidth="1"/>
    <col min="6" max="6" width="13.5546875" customWidth="1"/>
    <col min="7" max="7" width="18.44140625" customWidth="1"/>
  </cols>
  <sheetData>
    <row r="1" spans="1:7" s="4" customFormat="1" ht="39.75" customHeight="1" x14ac:dyDescent="0.3">
      <c r="A1" s="277" t="s">
        <v>3082</v>
      </c>
      <c r="B1" s="278"/>
      <c r="C1" s="278"/>
      <c r="D1" s="278"/>
      <c r="E1" s="278"/>
      <c r="F1" s="278"/>
      <c r="G1" s="279"/>
    </row>
    <row r="2" spans="1:7" s="189" customFormat="1" x14ac:dyDescent="0.3">
      <c r="A2" s="181" t="s">
        <v>15</v>
      </c>
      <c r="B2" s="181" t="s">
        <v>22</v>
      </c>
      <c r="C2" s="181" t="s">
        <v>16</v>
      </c>
      <c r="D2" s="181" t="s">
        <v>18</v>
      </c>
      <c r="E2" s="181" t="s">
        <v>19</v>
      </c>
      <c r="F2" s="181" t="s">
        <v>20</v>
      </c>
      <c r="G2" s="181" t="s">
        <v>24</v>
      </c>
    </row>
    <row r="3" spans="1:7" x14ac:dyDescent="0.3">
      <c r="A3" s="190">
        <v>46193</v>
      </c>
      <c r="B3" s="188" t="s">
        <v>524</v>
      </c>
      <c r="C3" s="188" t="s">
        <v>334</v>
      </c>
      <c r="D3" s="188">
        <v>296</v>
      </c>
      <c r="E3" s="191">
        <v>25870</v>
      </c>
      <c r="F3" s="190">
        <v>46186</v>
      </c>
      <c r="G3" s="187" t="s">
        <v>527</v>
      </c>
    </row>
    <row r="4" spans="1:7" x14ac:dyDescent="0.3">
      <c r="A4" s="190">
        <v>46194</v>
      </c>
      <c r="B4" s="188" t="s">
        <v>903</v>
      </c>
      <c r="C4" s="188" t="s">
        <v>334</v>
      </c>
      <c r="D4" s="188">
        <v>179</v>
      </c>
      <c r="E4" s="191">
        <v>25870</v>
      </c>
      <c r="F4" s="190">
        <v>46186</v>
      </c>
      <c r="G4" s="187" t="s">
        <v>527</v>
      </c>
    </row>
    <row r="5" spans="1:7" x14ac:dyDescent="0.3">
      <c r="A5" s="190">
        <v>46195</v>
      </c>
      <c r="B5" s="188" t="s">
        <v>827</v>
      </c>
      <c r="C5" s="188" t="s">
        <v>334</v>
      </c>
      <c r="D5" s="188">
        <v>334</v>
      </c>
      <c r="E5" s="191">
        <v>25870</v>
      </c>
      <c r="F5" s="190">
        <v>46186</v>
      </c>
      <c r="G5" s="187" t="s">
        <v>527</v>
      </c>
    </row>
    <row r="6" spans="1:7" x14ac:dyDescent="0.3">
      <c r="A6" s="190">
        <v>46195</v>
      </c>
      <c r="B6" s="188" t="s">
        <v>904</v>
      </c>
      <c r="C6" s="188" t="s">
        <v>334</v>
      </c>
      <c r="D6" s="188">
        <v>485</v>
      </c>
      <c r="E6" s="191">
        <v>25870</v>
      </c>
      <c r="F6" s="190">
        <v>46186</v>
      </c>
      <c r="G6" s="187" t="s">
        <v>527</v>
      </c>
    </row>
    <row r="7" spans="1:7" x14ac:dyDescent="0.3">
      <c r="A7" s="190">
        <v>46195</v>
      </c>
      <c r="B7" s="188" t="s">
        <v>905</v>
      </c>
      <c r="C7" s="188" t="s">
        <v>334</v>
      </c>
      <c r="D7" s="188">
        <v>274</v>
      </c>
      <c r="E7" s="191">
        <v>25870</v>
      </c>
      <c r="F7" s="190">
        <v>46186</v>
      </c>
      <c r="G7" s="187" t="s">
        <v>527</v>
      </c>
    </row>
    <row r="8" spans="1:7" x14ac:dyDescent="0.3">
      <c r="A8" s="190">
        <v>46195</v>
      </c>
      <c r="B8" s="188" t="s">
        <v>823</v>
      </c>
      <c r="C8" s="188" t="s">
        <v>334</v>
      </c>
      <c r="D8" s="188">
        <v>330</v>
      </c>
      <c r="E8" s="191">
        <v>25870</v>
      </c>
      <c r="F8" s="190">
        <v>46186</v>
      </c>
      <c r="G8" s="187" t="s">
        <v>527</v>
      </c>
    </row>
    <row r="9" spans="1:7" x14ac:dyDescent="0.3">
      <c r="A9" s="190">
        <v>46196</v>
      </c>
      <c r="B9" s="188" t="s">
        <v>827</v>
      </c>
      <c r="C9" s="188" t="s">
        <v>334</v>
      </c>
      <c r="D9" s="188">
        <v>395</v>
      </c>
      <c r="E9" s="191">
        <v>23530</v>
      </c>
      <c r="F9" s="190">
        <v>46195</v>
      </c>
      <c r="G9" s="187" t="s">
        <v>527</v>
      </c>
    </row>
    <row r="10" spans="1:7" x14ac:dyDescent="0.3">
      <c r="A10" s="190">
        <v>46196</v>
      </c>
      <c r="B10" s="188" t="s">
        <v>904</v>
      </c>
      <c r="C10" s="188" t="s">
        <v>334</v>
      </c>
      <c r="D10" s="188">
        <v>260</v>
      </c>
      <c r="E10" s="191">
        <v>23530</v>
      </c>
      <c r="F10" s="190">
        <v>46195</v>
      </c>
      <c r="G10" s="187" t="s">
        <v>527</v>
      </c>
    </row>
    <row r="11" spans="1:7" x14ac:dyDescent="0.3">
      <c r="A11" s="190">
        <v>46196</v>
      </c>
      <c r="B11" s="188" t="s">
        <v>906</v>
      </c>
      <c r="C11" s="188" t="s">
        <v>334</v>
      </c>
      <c r="D11" s="188">
        <v>184</v>
      </c>
      <c r="E11" s="191">
        <v>23530</v>
      </c>
      <c r="F11" s="190">
        <v>46195</v>
      </c>
      <c r="G11" s="187" t="s">
        <v>527</v>
      </c>
    </row>
    <row r="12" spans="1:7" x14ac:dyDescent="0.3">
      <c r="A12" s="190">
        <v>46196</v>
      </c>
      <c r="B12" s="188" t="s">
        <v>903</v>
      </c>
      <c r="C12" s="188" t="s">
        <v>334</v>
      </c>
      <c r="D12" s="188">
        <v>368</v>
      </c>
      <c r="E12" s="191">
        <v>23530</v>
      </c>
      <c r="F12" s="190">
        <v>46195</v>
      </c>
      <c r="G12" s="187" t="s">
        <v>527</v>
      </c>
    </row>
    <row r="13" spans="1:7" x14ac:dyDescent="0.3">
      <c r="A13" s="190">
        <v>46196</v>
      </c>
      <c r="B13" s="188" t="s">
        <v>905</v>
      </c>
      <c r="C13" s="188" t="s">
        <v>334</v>
      </c>
      <c r="D13" s="188">
        <v>297</v>
      </c>
      <c r="E13" s="191">
        <v>23530</v>
      </c>
      <c r="F13" s="190">
        <v>46195</v>
      </c>
      <c r="G13" s="187" t="s">
        <v>527</v>
      </c>
    </row>
    <row r="14" spans="1:7" x14ac:dyDescent="0.3">
      <c r="A14" s="190">
        <v>46196</v>
      </c>
      <c r="B14" s="188" t="s">
        <v>823</v>
      </c>
      <c r="C14" s="188" t="s">
        <v>334</v>
      </c>
      <c r="D14" s="188">
        <v>187</v>
      </c>
      <c r="E14" s="191">
        <v>23530</v>
      </c>
      <c r="F14" s="190">
        <v>46195</v>
      </c>
      <c r="G14" s="187" t="s">
        <v>527</v>
      </c>
    </row>
    <row r="15" spans="1:7" x14ac:dyDescent="0.3">
      <c r="A15" s="190">
        <v>46196</v>
      </c>
      <c r="B15" s="188" t="s">
        <v>526</v>
      </c>
      <c r="C15" s="188" t="s">
        <v>334</v>
      </c>
      <c r="D15" s="188">
        <v>446</v>
      </c>
      <c r="E15" s="191">
        <v>23530</v>
      </c>
      <c r="F15" s="190">
        <v>46195</v>
      </c>
      <c r="G15" s="187" t="s">
        <v>527</v>
      </c>
    </row>
    <row r="16" spans="1:7" x14ac:dyDescent="0.3">
      <c r="A16" s="190">
        <v>46196</v>
      </c>
      <c r="B16" s="188" t="s">
        <v>907</v>
      </c>
      <c r="C16" s="188" t="s">
        <v>334</v>
      </c>
      <c r="D16" s="188">
        <v>450</v>
      </c>
      <c r="E16" s="191">
        <v>23530</v>
      </c>
      <c r="F16" s="190">
        <v>46195</v>
      </c>
      <c r="G16" s="187" t="s">
        <v>527</v>
      </c>
    </row>
    <row r="17" spans="1:7" x14ac:dyDescent="0.3">
      <c r="A17" s="190">
        <v>46196</v>
      </c>
      <c r="B17" s="188" t="s">
        <v>904</v>
      </c>
      <c r="C17" s="188" t="s">
        <v>334</v>
      </c>
      <c r="D17" s="188">
        <v>402</v>
      </c>
      <c r="E17" s="191">
        <v>23530</v>
      </c>
      <c r="F17" s="190">
        <v>46195</v>
      </c>
      <c r="G17" s="187" t="s">
        <v>527</v>
      </c>
    </row>
    <row r="18" spans="1:7" x14ac:dyDescent="0.3">
      <c r="A18" s="190">
        <v>46196</v>
      </c>
      <c r="B18" s="188" t="s">
        <v>524</v>
      </c>
      <c r="C18" s="188" t="s">
        <v>334</v>
      </c>
      <c r="D18" s="188">
        <v>398</v>
      </c>
      <c r="E18" s="191">
        <v>23530</v>
      </c>
      <c r="F18" s="190">
        <v>46195</v>
      </c>
      <c r="G18" s="187" t="s">
        <v>527</v>
      </c>
    </row>
    <row r="19" spans="1:7" x14ac:dyDescent="0.3">
      <c r="A19" s="190">
        <v>46196</v>
      </c>
      <c r="B19" s="188" t="s">
        <v>523</v>
      </c>
      <c r="C19" s="188" t="s">
        <v>334</v>
      </c>
      <c r="D19" s="188">
        <v>385</v>
      </c>
      <c r="E19" s="191">
        <v>23530</v>
      </c>
      <c r="F19" s="190">
        <v>46195</v>
      </c>
      <c r="G19" s="187" t="s">
        <v>527</v>
      </c>
    </row>
    <row r="20" spans="1:7" x14ac:dyDescent="0.3">
      <c r="A20" s="190">
        <v>46196</v>
      </c>
      <c r="B20" s="188" t="s">
        <v>825</v>
      </c>
      <c r="C20" s="188" t="s">
        <v>334</v>
      </c>
      <c r="D20" s="188">
        <v>303</v>
      </c>
      <c r="E20" s="191">
        <v>23530</v>
      </c>
      <c r="F20" s="190">
        <v>46195</v>
      </c>
      <c r="G20" s="187" t="s">
        <v>527</v>
      </c>
    </row>
    <row r="21" spans="1:7" x14ac:dyDescent="0.3">
      <c r="A21" s="190">
        <v>46196</v>
      </c>
      <c r="B21" s="188" t="s">
        <v>525</v>
      </c>
      <c r="C21" s="188" t="s">
        <v>334</v>
      </c>
      <c r="D21" s="188">
        <v>248</v>
      </c>
      <c r="E21" s="191">
        <v>23530</v>
      </c>
      <c r="F21" s="190">
        <v>46195</v>
      </c>
      <c r="G21" s="187" t="s">
        <v>527</v>
      </c>
    </row>
    <row r="22" spans="1:7" x14ac:dyDescent="0.3">
      <c r="A22" s="190">
        <v>46197</v>
      </c>
      <c r="B22" s="188" t="s">
        <v>827</v>
      </c>
      <c r="C22" s="188" t="s">
        <v>334</v>
      </c>
      <c r="D22" s="188">
        <v>315</v>
      </c>
      <c r="E22" s="191">
        <v>23530</v>
      </c>
      <c r="F22" s="190">
        <v>46195</v>
      </c>
      <c r="G22" s="187" t="s">
        <v>527</v>
      </c>
    </row>
    <row r="23" spans="1:7" x14ac:dyDescent="0.3">
      <c r="A23" s="190">
        <v>46197</v>
      </c>
      <c r="B23" s="188" t="s">
        <v>908</v>
      </c>
      <c r="C23" s="188" t="s">
        <v>334</v>
      </c>
      <c r="D23" s="188">
        <v>400</v>
      </c>
      <c r="E23" s="191">
        <v>23530</v>
      </c>
      <c r="F23" s="190">
        <v>46195</v>
      </c>
      <c r="G23" s="187" t="s">
        <v>527</v>
      </c>
    </row>
    <row r="24" spans="1:7" x14ac:dyDescent="0.3">
      <c r="A24" s="190">
        <v>46197</v>
      </c>
      <c r="B24" s="188" t="s">
        <v>909</v>
      </c>
      <c r="C24" s="188" t="s">
        <v>334</v>
      </c>
      <c r="D24" s="188">
        <v>475</v>
      </c>
      <c r="E24" s="191">
        <v>23530</v>
      </c>
      <c r="F24" s="190">
        <v>46195</v>
      </c>
      <c r="G24" s="187" t="s">
        <v>527</v>
      </c>
    </row>
    <row r="25" spans="1:7" x14ac:dyDescent="0.3">
      <c r="A25" s="190">
        <v>46197</v>
      </c>
      <c r="B25" s="188" t="s">
        <v>827</v>
      </c>
      <c r="C25" s="188" t="s">
        <v>334</v>
      </c>
      <c r="D25" s="188">
        <v>269</v>
      </c>
      <c r="E25" s="191">
        <v>23530</v>
      </c>
      <c r="F25" s="190">
        <v>46195</v>
      </c>
      <c r="G25" s="187" t="s">
        <v>527</v>
      </c>
    </row>
    <row r="26" spans="1:7" x14ac:dyDescent="0.3">
      <c r="A26" s="190">
        <v>46197</v>
      </c>
      <c r="B26" s="188" t="s">
        <v>524</v>
      </c>
      <c r="C26" s="188" t="s">
        <v>334</v>
      </c>
      <c r="D26" s="188">
        <v>195</v>
      </c>
      <c r="E26" s="191">
        <v>23530</v>
      </c>
      <c r="F26" s="190">
        <v>46195</v>
      </c>
      <c r="G26" s="187" t="s">
        <v>527</v>
      </c>
    </row>
    <row r="27" spans="1:7" x14ac:dyDescent="0.3">
      <c r="A27" s="190">
        <v>46198</v>
      </c>
      <c r="B27" s="188" t="s">
        <v>907</v>
      </c>
      <c r="C27" s="188" t="s">
        <v>334</v>
      </c>
      <c r="D27" s="188">
        <v>306</v>
      </c>
      <c r="E27" s="191">
        <v>23530</v>
      </c>
      <c r="F27" s="190">
        <v>46195</v>
      </c>
      <c r="G27" s="187" t="s">
        <v>527</v>
      </c>
    </row>
    <row r="28" spans="1:7" x14ac:dyDescent="0.3">
      <c r="A28" s="190">
        <v>46199</v>
      </c>
      <c r="B28" s="188" t="s">
        <v>904</v>
      </c>
      <c r="C28" s="188" t="s">
        <v>334</v>
      </c>
      <c r="D28" s="188">
        <v>344</v>
      </c>
      <c r="E28" s="191">
        <v>23530</v>
      </c>
      <c r="F28" s="190">
        <v>46195</v>
      </c>
      <c r="G28" s="187" t="s">
        <v>527</v>
      </c>
    </row>
    <row r="29" spans="1:7" x14ac:dyDescent="0.3">
      <c r="A29" s="190">
        <v>46199</v>
      </c>
      <c r="B29" s="188" t="s">
        <v>903</v>
      </c>
      <c r="C29" s="188" t="s">
        <v>334</v>
      </c>
      <c r="D29" s="188">
        <v>464</v>
      </c>
      <c r="E29" s="191">
        <v>23530</v>
      </c>
      <c r="F29" s="190">
        <v>46195</v>
      </c>
      <c r="G29" s="187" t="s">
        <v>527</v>
      </c>
    </row>
    <row r="30" spans="1:7" x14ac:dyDescent="0.3">
      <c r="A30" s="190">
        <v>46199</v>
      </c>
      <c r="B30" s="188" t="s">
        <v>824</v>
      </c>
      <c r="C30" s="188" t="s">
        <v>334</v>
      </c>
      <c r="D30" s="188">
        <v>134</v>
      </c>
      <c r="E30" s="191">
        <v>23530</v>
      </c>
      <c r="F30" s="190">
        <v>46195</v>
      </c>
      <c r="G30" s="187" t="s">
        <v>527</v>
      </c>
    </row>
    <row r="31" spans="1:7" x14ac:dyDescent="0.3">
      <c r="A31" s="190">
        <v>46200</v>
      </c>
      <c r="B31" s="188" t="s">
        <v>905</v>
      </c>
      <c r="C31" s="188" t="s">
        <v>334</v>
      </c>
      <c r="D31" s="188">
        <v>175</v>
      </c>
      <c r="E31" s="191">
        <v>21860</v>
      </c>
      <c r="F31" s="190">
        <v>46199</v>
      </c>
      <c r="G31" s="187" t="s">
        <v>527</v>
      </c>
    </row>
    <row r="32" spans="1:7" x14ac:dyDescent="0.3">
      <c r="A32" s="190">
        <v>46200</v>
      </c>
      <c r="B32" s="188" t="s">
        <v>526</v>
      </c>
      <c r="C32" s="188" t="s">
        <v>334</v>
      </c>
      <c r="D32" s="188">
        <v>200</v>
      </c>
      <c r="E32" s="191">
        <v>21860</v>
      </c>
      <c r="F32" s="190">
        <v>46199</v>
      </c>
      <c r="G32" s="187" t="s">
        <v>527</v>
      </c>
    </row>
    <row r="33" spans="1:9" x14ac:dyDescent="0.3">
      <c r="A33" s="190">
        <v>46200</v>
      </c>
      <c r="B33" s="188" t="s">
        <v>823</v>
      </c>
      <c r="C33" s="188" t="s">
        <v>334</v>
      </c>
      <c r="D33" s="188">
        <v>256</v>
      </c>
      <c r="E33" s="191">
        <v>21860</v>
      </c>
      <c r="F33" s="190">
        <v>46199</v>
      </c>
      <c r="G33" s="187" t="s">
        <v>527</v>
      </c>
    </row>
    <row r="34" spans="1:9" x14ac:dyDescent="0.3">
      <c r="A34" s="190">
        <v>46200</v>
      </c>
      <c r="B34" s="188" t="s">
        <v>906</v>
      </c>
      <c r="C34" s="188" t="s">
        <v>334</v>
      </c>
      <c r="D34" s="188">
        <v>500</v>
      </c>
      <c r="E34" s="191">
        <v>21860</v>
      </c>
      <c r="F34" s="190">
        <v>46199</v>
      </c>
      <c r="G34" s="187" t="s">
        <v>527</v>
      </c>
    </row>
    <row r="35" spans="1:9" x14ac:dyDescent="0.3">
      <c r="A35" s="190">
        <v>46200</v>
      </c>
      <c r="B35" s="188" t="s">
        <v>524</v>
      </c>
      <c r="C35" s="188" t="s">
        <v>334</v>
      </c>
      <c r="D35" s="188">
        <v>451</v>
      </c>
      <c r="E35" s="191">
        <v>21860</v>
      </c>
      <c r="F35" s="190">
        <v>46199</v>
      </c>
      <c r="G35" s="187" t="s">
        <v>527</v>
      </c>
    </row>
    <row r="36" spans="1:9" x14ac:dyDescent="0.3">
      <c r="A36" s="190">
        <v>46200</v>
      </c>
      <c r="B36" s="188" t="s">
        <v>909</v>
      </c>
      <c r="C36" s="188" t="s">
        <v>334</v>
      </c>
      <c r="D36" s="188">
        <v>349</v>
      </c>
      <c r="E36" s="191">
        <v>21860</v>
      </c>
      <c r="F36" s="190">
        <v>46199</v>
      </c>
      <c r="G36" s="187" t="s">
        <v>527</v>
      </c>
    </row>
    <row r="37" spans="1:9" x14ac:dyDescent="0.3">
      <c r="A37" s="190">
        <v>46200</v>
      </c>
      <c r="B37" s="188" t="s">
        <v>827</v>
      </c>
      <c r="C37" s="188" t="s">
        <v>334</v>
      </c>
      <c r="D37" s="188">
        <v>374</v>
      </c>
      <c r="E37" s="191">
        <v>21860</v>
      </c>
      <c r="F37" s="190">
        <v>46199</v>
      </c>
      <c r="G37" s="187" t="s">
        <v>527</v>
      </c>
    </row>
    <row r="38" spans="1:9" x14ac:dyDescent="0.3">
      <c r="A38" s="190">
        <v>46200</v>
      </c>
      <c r="B38" s="188" t="s">
        <v>523</v>
      </c>
      <c r="C38" s="188" t="s">
        <v>334</v>
      </c>
      <c r="D38" s="188">
        <v>396</v>
      </c>
      <c r="E38" s="191">
        <v>21860</v>
      </c>
      <c r="F38" s="190">
        <v>46199</v>
      </c>
      <c r="G38" s="187" t="s">
        <v>527</v>
      </c>
    </row>
    <row r="39" spans="1:9" x14ac:dyDescent="0.3">
      <c r="A39" s="190">
        <v>46200</v>
      </c>
      <c r="B39" s="188" t="s">
        <v>907</v>
      </c>
      <c r="C39" s="188" t="s">
        <v>334</v>
      </c>
      <c r="D39" s="188">
        <v>412</v>
      </c>
      <c r="E39" s="191">
        <v>21860</v>
      </c>
      <c r="F39" s="190">
        <v>46199</v>
      </c>
      <c r="G39" s="187" t="s">
        <v>527</v>
      </c>
    </row>
    <row r="40" spans="1:9" x14ac:dyDescent="0.3">
      <c r="A40" s="190">
        <v>46200</v>
      </c>
      <c r="B40" s="188" t="s">
        <v>904</v>
      </c>
      <c r="C40" s="188" t="s">
        <v>334</v>
      </c>
      <c r="D40" s="188">
        <v>309</v>
      </c>
      <c r="E40" s="191">
        <v>21860</v>
      </c>
      <c r="F40" s="190">
        <v>46199</v>
      </c>
      <c r="G40" s="187" t="s">
        <v>527</v>
      </c>
    </row>
    <row r="41" spans="1:9" x14ac:dyDescent="0.3">
      <c r="A41" s="190">
        <v>46200</v>
      </c>
      <c r="B41" s="188" t="s">
        <v>908</v>
      </c>
      <c r="C41" s="188" t="s">
        <v>334</v>
      </c>
      <c r="D41" s="188">
        <v>380</v>
      </c>
      <c r="E41" s="191">
        <v>21860</v>
      </c>
      <c r="F41" s="190">
        <v>46199</v>
      </c>
      <c r="G41" s="187" t="s">
        <v>527</v>
      </c>
    </row>
    <row r="42" spans="1:9" x14ac:dyDescent="0.3">
      <c r="A42" s="190">
        <v>46200</v>
      </c>
      <c r="B42" s="188" t="s">
        <v>824</v>
      </c>
      <c r="C42" s="188" t="s">
        <v>334</v>
      </c>
      <c r="D42" s="188">
        <v>371</v>
      </c>
      <c r="E42" s="191">
        <v>21860</v>
      </c>
      <c r="F42" s="190">
        <v>46199</v>
      </c>
      <c r="G42" s="187" t="s">
        <v>527</v>
      </c>
    </row>
    <row r="43" spans="1:9" x14ac:dyDescent="0.3">
      <c r="A43" s="190">
        <v>46201</v>
      </c>
      <c r="B43" s="188" t="s">
        <v>825</v>
      </c>
      <c r="C43" s="188" t="s">
        <v>334</v>
      </c>
      <c r="D43" s="188">
        <v>450</v>
      </c>
      <c r="E43" s="191">
        <v>21860</v>
      </c>
      <c r="F43" s="190">
        <v>46199</v>
      </c>
      <c r="G43" s="187" t="s">
        <v>527</v>
      </c>
    </row>
    <row r="44" spans="1:9" x14ac:dyDescent="0.3">
      <c r="A44" s="280" t="s">
        <v>320</v>
      </c>
      <c r="B44" s="281"/>
      <c r="C44" s="282"/>
      <c r="D44" s="197">
        <v>13746</v>
      </c>
      <c r="E44" s="187"/>
      <c r="F44" s="187"/>
      <c r="G44" s="187"/>
    </row>
    <row r="45" spans="1:9" x14ac:dyDescent="0.3">
      <c r="A45" s="151"/>
      <c r="B45" s="151"/>
      <c r="C45" s="151"/>
      <c r="D45" s="4"/>
    </row>
    <row r="46" spans="1:9" x14ac:dyDescent="0.3">
      <c r="A46" s="192" t="s">
        <v>333</v>
      </c>
      <c r="B46" s="192"/>
      <c r="C46" s="192"/>
      <c r="D46" s="192"/>
      <c r="E46" s="272" t="s">
        <v>45</v>
      </c>
      <c r="F46" s="272"/>
      <c r="G46" s="272"/>
      <c r="H46" s="272"/>
      <c r="I46" s="194"/>
    </row>
    <row r="47" spans="1:9" x14ac:dyDescent="0.3">
      <c r="A47" s="272" t="s">
        <v>829</v>
      </c>
      <c r="B47" s="272"/>
      <c r="C47" s="272" t="s">
        <v>325</v>
      </c>
      <c r="D47" s="272"/>
      <c r="E47" s="272" t="s">
        <v>830</v>
      </c>
      <c r="F47" s="272"/>
      <c r="G47" s="272" t="s">
        <v>325</v>
      </c>
      <c r="H47" s="272"/>
    </row>
    <row r="48" spans="1:9" x14ac:dyDescent="0.3">
      <c r="A48" s="193"/>
      <c r="B48" s="193"/>
      <c r="C48" s="193"/>
      <c r="D48" s="193"/>
      <c r="E48" s="193"/>
      <c r="F48" s="193"/>
      <c r="G48" s="193"/>
      <c r="H48" s="193"/>
    </row>
    <row r="49" spans="1:8" x14ac:dyDescent="0.3">
      <c r="A49" s="193"/>
      <c r="B49" s="193"/>
      <c r="C49" s="193"/>
      <c r="D49" s="193"/>
      <c r="E49" s="193"/>
      <c r="F49" s="193"/>
      <c r="G49" s="193"/>
      <c r="H49" s="193"/>
    </row>
    <row r="50" spans="1:8" x14ac:dyDescent="0.3">
      <c r="A50" s="195"/>
      <c r="B50" s="195"/>
      <c r="C50" s="195"/>
      <c r="D50" s="195"/>
      <c r="F50" s="195"/>
      <c r="G50" s="195"/>
      <c r="H50" s="196"/>
    </row>
    <row r="51" spans="1:8" x14ac:dyDescent="0.3">
      <c r="A51" s="195"/>
      <c r="B51" s="195"/>
      <c r="C51" s="195"/>
      <c r="D51" s="195"/>
      <c r="F51" s="195"/>
      <c r="G51" s="195"/>
      <c r="H51" s="196"/>
    </row>
    <row r="52" spans="1:8" x14ac:dyDescent="0.3">
      <c r="A52" s="272" t="s">
        <v>832</v>
      </c>
      <c r="B52" s="272"/>
      <c r="C52" s="272" t="s">
        <v>836</v>
      </c>
      <c r="D52" s="272"/>
      <c r="E52" s="272" t="s">
        <v>833</v>
      </c>
      <c r="F52" s="272"/>
      <c r="G52" s="273" t="s">
        <v>831</v>
      </c>
      <c r="H52" s="273"/>
    </row>
  </sheetData>
  <mergeCells count="11">
    <mergeCell ref="A52:B52"/>
    <mergeCell ref="C52:D52"/>
    <mergeCell ref="E52:F52"/>
    <mergeCell ref="G52:H52"/>
    <mergeCell ref="A1:G1"/>
    <mergeCell ref="A44:C44"/>
    <mergeCell ref="E46:H46"/>
    <mergeCell ref="A47:B47"/>
    <mergeCell ref="C47:D47"/>
    <mergeCell ref="E47:F47"/>
    <mergeCell ref="G47:H47"/>
  </mergeCells>
  <pageMargins left="0.7" right="0.7" top="0.75" bottom="0.75" header="0.3" footer="0.3"/>
  <pageSetup paperSize="9" scale="62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workbookViewId="0">
      <selection activeCell="A2" sqref="A2:R2"/>
    </sheetView>
  </sheetViews>
  <sheetFormatPr defaultColWidth="7.109375" defaultRowHeight="18.75" outlineLevelRow="2" x14ac:dyDescent="0.3"/>
  <cols>
    <col min="1" max="2" width="1.109375" customWidth="1"/>
    <col min="3" max="3" width="11.6640625" customWidth="1"/>
    <col min="4" max="4" width="11.6640625" hidden="1" customWidth="1"/>
    <col min="5" max="5" width="23.33203125" hidden="1" customWidth="1"/>
    <col min="6" max="6" width="10" customWidth="1"/>
    <col min="7" max="8" width="10.5546875" style="1" customWidth="1"/>
    <col min="9" max="9" width="11.109375" customWidth="1"/>
    <col min="10" max="10" width="23.33203125" customWidth="1"/>
    <col min="11" max="11" width="8.33203125" customWidth="1"/>
    <col min="12" max="13" width="13.33203125" style="3" hidden="1" customWidth="1"/>
    <col min="14" max="15" width="12.21875" style="2" hidden="1" customWidth="1"/>
    <col min="16" max="16" width="13.33203125" style="3" hidden="1" customWidth="1"/>
    <col min="17" max="17" width="12.21875" style="2" customWidth="1"/>
    <col min="18" max="18" width="11.109375" customWidth="1"/>
  </cols>
  <sheetData>
    <row r="1" spans="1:18" x14ac:dyDescent="0.3">
      <c r="A1" s="250" t="s">
        <v>274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</row>
    <row r="2" spans="1:18" x14ac:dyDescent="0.3">
      <c r="A2" s="283" t="s">
        <v>275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</row>
    <row r="3" spans="1:18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>
        <f>SUBTOTAL(9,Q6:Q10)</f>
        <v>1851</v>
      </c>
      <c r="R3" s="42"/>
    </row>
    <row r="4" spans="1:18" x14ac:dyDescent="0.3">
      <c r="C4" s="284" t="s">
        <v>276</v>
      </c>
      <c r="D4" s="284" t="s">
        <v>277</v>
      </c>
      <c r="E4" s="284" t="s">
        <v>278</v>
      </c>
      <c r="F4" s="284" t="s">
        <v>279</v>
      </c>
      <c r="G4" s="286" t="s">
        <v>280</v>
      </c>
      <c r="H4" s="286" t="s">
        <v>281</v>
      </c>
      <c r="I4" s="284" t="s">
        <v>282</v>
      </c>
      <c r="J4" s="284" t="s">
        <v>283</v>
      </c>
      <c r="K4" s="284" t="s">
        <v>16</v>
      </c>
      <c r="L4" s="288" t="s">
        <v>284</v>
      </c>
      <c r="M4" s="288" t="s">
        <v>285</v>
      </c>
      <c r="N4" s="290" t="s">
        <v>286</v>
      </c>
      <c r="O4" s="291"/>
      <c r="P4" s="292"/>
      <c r="Q4" s="45" t="s">
        <v>287</v>
      </c>
      <c r="R4" s="284" t="s">
        <v>288</v>
      </c>
    </row>
    <row r="5" spans="1:18" x14ac:dyDescent="0.3">
      <c r="C5" s="285"/>
      <c r="D5" s="285"/>
      <c r="E5" s="285"/>
      <c r="F5" s="285"/>
      <c r="G5" s="287"/>
      <c r="H5" s="287"/>
      <c r="I5" s="285"/>
      <c r="J5" s="285"/>
      <c r="K5" s="285"/>
      <c r="L5" s="289"/>
      <c r="M5" s="289"/>
      <c r="N5" s="46" t="s">
        <v>289</v>
      </c>
      <c r="O5" s="46" t="s">
        <v>290</v>
      </c>
      <c r="P5" s="44" t="s">
        <v>291</v>
      </c>
      <c r="Q5" s="46" t="s">
        <v>289</v>
      </c>
      <c r="R5" s="285"/>
    </row>
    <row r="6" spans="1:18" outlineLevel="2" x14ac:dyDescent="0.3">
      <c r="C6" s="47" t="s">
        <v>292</v>
      </c>
      <c r="D6" s="47" t="s">
        <v>293</v>
      </c>
      <c r="E6" s="47" t="s">
        <v>294</v>
      </c>
      <c r="F6" s="47" t="s">
        <v>295</v>
      </c>
      <c r="G6" s="48">
        <v>45969</v>
      </c>
      <c r="H6" s="48">
        <v>45969</v>
      </c>
      <c r="I6" s="47" t="s">
        <v>296</v>
      </c>
      <c r="J6" s="47" t="s">
        <v>297</v>
      </c>
      <c r="K6" s="47" t="s">
        <v>17</v>
      </c>
      <c r="L6" s="49">
        <v>0</v>
      </c>
      <c r="M6" s="49">
        <v>0</v>
      </c>
      <c r="N6" s="50">
        <v>0</v>
      </c>
      <c r="O6" s="50">
        <v>0</v>
      </c>
      <c r="P6" s="49">
        <v>0</v>
      </c>
      <c r="Q6" s="50">
        <v>367</v>
      </c>
      <c r="R6" s="47" t="s">
        <v>298</v>
      </c>
    </row>
    <row r="7" spans="1:18" outlineLevel="2" x14ac:dyDescent="0.3">
      <c r="C7" s="47" t="s">
        <v>292</v>
      </c>
      <c r="D7" s="47" t="s">
        <v>293</v>
      </c>
      <c r="E7" s="47" t="s">
        <v>294</v>
      </c>
      <c r="F7" s="47" t="s">
        <v>295</v>
      </c>
      <c r="G7" s="48">
        <v>45969</v>
      </c>
      <c r="H7" s="48">
        <v>45969</v>
      </c>
      <c r="I7" s="47" t="s">
        <v>299</v>
      </c>
      <c r="J7" s="47" t="s">
        <v>300</v>
      </c>
      <c r="K7" s="47" t="s">
        <v>17</v>
      </c>
      <c r="L7" s="49">
        <v>0</v>
      </c>
      <c r="M7" s="49">
        <v>0</v>
      </c>
      <c r="N7" s="50">
        <v>0</v>
      </c>
      <c r="O7" s="50">
        <v>0</v>
      </c>
      <c r="P7" s="49">
        <v>0</v>
      </c>
      <c r="Q7" s="50">
        <v>361</v>
      </c>
      <c r="R7" s="47" t="s">
        <v>301</v>
      </c>
    </row>
    <row r="8" spans="1:18" outlineLevel="2" x14ac:dyDescent="0.3">
      <c r="C8" s="47" t="s">
        <v>292</v>
      </c>
      <c r="D8" s="47" t="s">
        <v>293</v>
      </c>
      <c r="E8" s="47" t="s">
        <v>294</v>
      </c>
      <c r="F8" s="47" t="s">
        <v>295</v>
      </c>
      <c r="G8" s="48">
        <v>45969</v>
      </c>
      <c r="H8" s="48">
        <v>45969</v>
      </c>
      <c r="I8" s="47" t="s">
        <v>302</v>
      </c>
      <c r="J8" s="47" t="s">
        <v>303</v>
      </c>
      <c r="K8" s="47" t="s">
        <v>17</v>
      </c>
      <c r="L8" s="49">
        <v>0</v>
      </c>
      <c r="M8" s="49">
        <v>0</v>
      </c>
      <c r="N8" s="50">
        <v>0</v>
      </c>
      <c r="O8" s="50">
        <v>0</v>
      </c>
      <c r="P8" s="49">
        <v>0</v>
      </c>
      <c r="Q8" s="50">
        <v>281</v>
      </c>
      <c r="R8" s="47" t="s">
        <v>304</v>
      </c>
    </row>
    <row r="9" spans="1:18" outlineLevel="2" x14ac:dyDescent="0.3">
      <c r="C9" s="47" t="s">
        <v>292</v>
      </c>
      <c r="D9" s="47" t="s">
        <v>293</v>
      </c>
      <c r="E9" s="47" t="s">
        <v>294</v>
      </c>
      <c r="F9" s="47" t="s">
        <v>295</v>
      </c>
      <c r="G9" s="48">
        <v>45969</v>
      </c>
      <c r="H9" s="48">
        <v>45969</v>
      </c>
      <c r="I9" s="47" t="s">
        <v>305</v>
      </c>
      <c r="J9" s="47" t="s">
        <v>306</v>
      </c>
      <c r="K9" s="47" t="s">
        <v>17</v>
      </c>
      <c r="L9" s="49">
        <v>0</v>
      </c>
      <c r="M9" s="49">
        <v>0</v>
      </c>
      <c r="N9" s="50">
        <v>0</v>
      </c>
      <c r="O9" s="50">
        <v>0</v>
      </c>
      <c r="P9" s="49">
        <v>0</v>
      </c>
      <c r="Q9" s="50">
        <v>441</v>
      </c>
      <c r="R9" s="47" t="s">
        <v>307</v>
      </c>
    </row>
    <row r="10" spans="1:18" outlineLevel="2" x14ac:dyDescent="0.3">
      <c r="C10" s="47" t="s">
        <v>292</v>
      </c>
      <c r="D10" s="47" t="s">
        <v>293</v>
      </c>
      <c r="E10" s="47" t="s">
        <v>294</v>
      </c>
      <c r="F10" s="47" t="s">
        <v>295</v>
      </c>
      <c r="G10" s="48">
        <v>45969</v>
      </c>
      <c r="H10" s="48">
        <v>45969</v>
      </c>
      <c r="I10" s="47" t="s">
        <v>308</v>
      </c>
      <c r="J10" s="47" t="s">
        <v>309</v>
      </c>
      <c r="K10" s="47" t="s">
        <v>17</v>
      </c>
      <c r="L10" s="49">
        <v>0</v>
      </c>
      <c r="M10" s="49">
        <v>0</v>
      </c>
      <c r="N10" s="50">
        <v>0</v>
      </c>
      <c r="O10" s="50">
        <v>0</v>
      </c>
      <c r="P10" s="49">
        <v>0</v>
      </c>
      <c r="Q10" s="50">
        <v>401</v>
      </c>
      <c r="R10" s="47" t="s">
        <v>310</v>
      </c>
    </row>
    <row r="11" spans="1:18" x14ac:dyDescent="0.3">
      <c r="C11" s="51" t="s">
        <v>311</v>
      </c>
      <c r="N11" s="52">
        <v>0</v>
      </c>
      <c r="O11" s="52">
        <v>0</v>
      </c>
      <c r="P11" s="53">
        <v>0</v>
      </c>
      <c r="Q11" s="52">
        <v>1851</v>
      </c>
    </row>
  </sheetData>
  <mergeCells count="15">
    <mergeCell ref="A1:R1"/>
    <mergeCell ref="A2:R2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P4"/>
    <mergeCell ref="R4:R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FF7D4B-D1CA-465F-A655-628A12A41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BK</vt:lpstr>
      <vt:lpstr>Sheet2</vt:lpstr>
      <vt:lpstr>Sheet1</vt:lpstr>
      <vt:lpstr>BKCT (2)</vt:lpstr>
      <vt:lpstr>NL_GIAONHANDAU (2)</vt:lpstr>
      <vt:lpstr>BKCT</vt:lpstr>
      <vt:lpstr>QR_DGVC (2)</vt:lpstr>
      <vt:lpstr>NL_VC</vt:lpstr>
      <vt:lpstr>CAN</vt:lpstr>
      <vt:lpstr>NL_GIAONHANDAU</vt:lpstr>
      <vt:lpstr>Sheet6</vt:lpstr>
      <vt:lpstr>Sheet3</vt:lpstr>
      <vt:lpstr>'NL_GIAONHANDAU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Phú Thủy Lê</dc:creator>
  <cp:lastModifiedBy>AdminB</cp:lastModifiedBy>
  <cp:lastPrinted>2026-08-07T03:27:10Z</cp:lastPrinted>
  <dcterms:created xsi:type="dcterms:W3CDTF">2025-11-01T02:41:43Z</dcterms:created>
  <dcterms:modified xsi:type="dcterms:W3CDTF">2026-09-24T10:20:12Z</dcterms:modified>
</cp:coreProperties>
</file>