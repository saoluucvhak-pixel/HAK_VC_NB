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_CU_GIA_HD" state="visible" r:id="rId4"/>
  </sheets>
  <definedNames>
    <definedName name="_xlnm.Print_Area" localSheetId="0">'CAN_CU_GIA_HD'!$A1:$P36</definedName>
  </definedNames>
  <calcPr calcId="171027"/>
</workbook>
</file>

<file path=xl/sharedStrings.xml><?xml version="1.0" encoding="utf-8"?>
<sst xmlns="http://schemas.openxmlformats.org/spreadsheetml/2006/main" count="86" uniqueCount="75">
  <si>
    <t>CÔNG TY TNHH SXTMDV ĐẠI HIỆP</t>
  </si>
  <si>
    <t>CỘNG HÒA XÃ HỘI CHỦ NGHĨA VIỆT NAM</t>
  </si>
  <si>
    <t>Thôn Phú Quý, Xã Đại Lộc, TP. Đà Nẵng</t>
  </si>
  <si>
    <t>Độc lập – Tự do – Hạnh phúc</t>
  </si>
  <si>
    <t>MST: 4000858740</t>
  </si>
  <si>
    <t>CĂN CỨ TÍNH ĐƠN GIÁ VẬN CHUYỂN KÝ HỢP ĐỒNG</t>
  </si>
  <si>
    <t>(Áp dụng từ ngày 25/09/2026 — kèm theo Hợp đồng vận chuyển số DH-HAKQN)</t>
  </si>
  <si>
    <t>STT</t>
  </si>
  <si>
    <t>Mã tuyến</t>
  </si>
  <si>
    <t>Tuyến vận chuyển</t>
  </si>
  <si>
    <t>Cự ly chuyến (km)</t>
  </si>
  <si>
    <t>ĐVT</t>
  </si>
  <si>
    <t xml:space="preserve">Đơn giá cước (đ)
(1)</t>
  </si>
  <si>
    <t xml:space="preserve">KL TB / chuyến
(2)</t>
  </si>
  <si>
    <t xml:space="preserve">ĐG 1 chuyến (đ)
(3)=(1)×(2)</t>
  </si>
  <si>
    <t xml:space="preserve">Định mức (lít/km)
(4)</t>
  </si>
  <si>
    <t xml:space="preserve">Dầu / chuyến (lít)
(5)=CL×(4)</t>
  </si>
  <si>
    <t xml:space="preserve">ĐG dầu chưa VAT
(6)</t>
  </si>
  <si>
    <t xml:space="preserve">Tiền dầu / chuyến
(7)=(5)×(6)</t>
  </si>
  <si>
    <t xml:space="preserve">Tỷ lệ dầu
(8)=(7)/(3)</t>
  </si>
  <si>
    <t xml:space="preserve">ĐGVC chưa dầu
(9)=[(3)−(7)]/KL_TB</t>
  </si>
  <si>
    <t xml:space="preserve">ĐƠN GIÁ HĐ
(10)=ROUND((9);-3)</t>
  </si>
  <si>
    <t>Bảng giá</t>
  </si>
  <si>
    <t>VC.002</t>
  </si>
  <si>
    <t>Xã Bà Nà - Tiên Sa</t>
  </si>
  <si>
    <t>Tấn</t>
  </si>
  <si>
    <t>PR-VC.002-v1 · 10/07/2025</t>
  </si>
  <si>
    <t>VC.003</t>
  </si>
  <si>
    <t>Xã Đại Lộc - Tiên Sa</t>
  </si>
  <si>
    <t>PR-VC.003-v1 · 10/07/2025</t>
  </si>
  <si>
    <t>VC.004</t>
  </si>
  <si>
    <t>Xã Quế Sơn Trung - Dung Quất</t>
  </si>
  <si>
    <t>PR-VC.004-v1 · 10/07/2025</t>
  </si>
  <si>
    <t>VC.005</t>
  </si>
  <si>
    <t>Xã Quế Sơn - Dung Quất</t>
  </si>
  <si>
    <t>PR-VC.005-v1 · 10/07/2025</t>
  </si>
  <si>
    <t>VC.007</t>
  </si>
  <si>
    <t>Xã Quế Sơn - Tiên Sa</t>
  </si>
  <si>
    <t>PR-VC.007-v1 · 10/07/2025</t>
  </si>
  <si>
    <t>VC.008</t>
  </si>
  <si>
    <t>Xã Quế Sơn Trung - Tiên Sa</t>
  </si>
  <si>
    <t>PR-VC.008-v1 · 10/07/2025</t>
  </si>
  <si>
    <t>VC.009</t>
  </si>
  <si>
    <t>Xã Quế Sơn Trung - Hòa Nhơn</t>
  </si>
  <si>
    <t>PR-VC.009-v1 · 10/07/2025</t>
  </si>
  <si>
    <t>VC.010</t>
  </si>
  <si>
    <t>Xã Quế Sơn - Hòa Nhơn</t>
  </si>
  <si>
    <t>PR-VC.010-v1 · 10/07/2025</t>
  </si>
  <si>
    <t>VC.012</t>
  </si>
  <si>
    <t>Dung Quất lên tàu</t>
  </si>
  <si>
    <t>PR-VC.012-v1 · 10/07/2025</t>
  </si>
  <si>
    <t>VC.013</t>
  </si>
  <si>
    <t>Nhất Hưng - Tiên Sa</t>
  </si>
  <si>
    <t>PR-VC.013-v1 · 10/07/2025</t>
  </si>
  <si>
    <t>VC.014</t>
  </si>
  <si>
    <t>Nam Vạn Lý - Tiên Sa</t>
  </si>
  <si>
    <t>PR-VC.014-v1 · 10/07/2025</t>
  </si>
  <si>
    <t>VC.015</t>
  </si>
  <si>
    <t>M3</t>
  </si>
  <si>
    <t>PR-VC.015-v1 · 10/07/2025</t>
  </si>
  <si>
    <t>Ghi chú:</t>
  </si>
  <si>
    <t>• Ô nền xanh nhạt là số nhập (sửa được để thử phương án); các cột (3), (5), (7), (8), (9), (10) là công thức, tự tính lại.</t>
  </si>
  <si>
    <t>• Đơn giá cước (1) đã gồm tiền dầu theo định mức, chưa VAT. Đơn giá hợp đồng (10) là phần CHƯA GỒM NHIÊN LIỆU.</t>
  </si>
  <si>
    <t>• Hằng kỳ: Đơn giá vận chuyển = (10) + (Dầu định mức − Dầu thực nhận) × Đơn giá dầu thực tế / Tổng khối lượng, làm tròn đến hàng trăm.</t>
  </si>
  <si>
    <t>• Hàm ROUND của Excel làm tròn …500 lên; phần mềm làm tròn kiểu ngân hàng (…500 về số chẵn) — chỉ khác khi (9) có đúng …500.</t>
  </si>
  <si>
    <t>• Tuyến tính theo m³: (9) chia cho KL_TB (tấn), không chia Thể tích TB.</t>
  </si>
  <si>
    <t>Quế Sơn Trung, ngày 25 tháng 09 năm 2026</t>
  </si>
  <si>
    <t xml:space="preserve">BÊN VẬN CHUYỂN
CÔNG TY TNHH SXTMDV ĐẠI HIỆP</t>
  </si>
  <si>
    <t xml:space="preserve">BÊN THUÊ VẬN CHUYỂN
CÔNG TY TNHH HOÀNG ANH KHÔI QUẢNG NAM</t>
  </si>
  <si>
    <t>Phó Giám đốc</t>
  </si>
  <si>
    <t>Giám đốc</t>
  </si>
  <si>
    <t>Kế toán</t>
  </si>
  <si>
    <t>VÕ THỊ NHƯ NGỌC</t>
  </si>
  <si>
    <t>VÕ VĂN PHỤNG</t>
  </si>
  <si>
    <t>TRẦN THỊ HẸN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</si>
</sst>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7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0"/>
      <name val="Times New Roman"/>
    </font>
    <font>
      <b/>
      <u/>
      <sz val="11"/>
      <name val="Times New Roman"/>
    </font>
    <font>
      <b/>
      <sz val="15"/>
      <name val="Times New Roman"/>
    </font>
    <font>
      <i/>
      <sz val="11"/>
      <name val="Times New Roman"/>
    </font>
    <font>
      <b/>
      <sz val="9.5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EF3"/>
      </patternFill>
    </fill>
    <fill>
      <patternFill patternType="solid">
        <fgColor rgb="FFEFF8F9"/>
      </patternFill>
    </fill>
    <fill>
      <patternFill patternType="solid">
        <fgColor rgb="FFEAF4F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3" fontId="1" fillId="4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6"/>
  <sheetViews>
    <sheetView workbookViewId="0">
      <pane xSplit="3" ySplit="8" topLeftCell="D9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3" max="3" width="30" customWidth="1"/>
    <col min="5" max="5" width="6" customWidth="1"/>
    <col min="6" max="6" width="12" customWidth="1"/>
    <col min="8" max="8" width="13" customWidth="1"/>
    <col min="10" max="10" width="10" customWidth="1"/>
    <col min="11" max="11" width="11" customWidth="1"/>
    <col min="12" max="12" width="12" customWidth="1"/>
    <col min="14" max="15" width="14" customWidth="1"/>
    <col min="16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</row>
    <row r="2" spans="1:16" x14ac:dyDescent="0.25">
      <c r="A2" s="3" t="s">
        <v>2</v>
      </c>
      <c r="B2" s="3"/>
      <c r="C2" s="3"/>
      <c r="D2" s="3"/>
      <c r="E2" s="3"/>
      <c r="F2" s="3"/>
      <c r="G2" s="3"/>
      <c r="H2" s="3"/>
      <c r="I2" s="4" t="s">
        <v>3</v>
      </c>
      <c r="J2" s="4"/>
      <c r="K2" s="4"/>
      <c r="L2" s="4"/>
      <c r="M2" s="4"/>
      <c r="N2" s="4"/>
      <c r="O2" s="4"/>
      <c r="P2" s="4"/>
    </row>
    <row r="3" spans="1:8" x14ac:dyDescent="0.25">
      <c r="A3" s="3" t="s">
        <v>4</v>
      </c>
      <c r="B3" s="3"/>
      <c r="C3" s="3"/>
      <c r="D3" s="3"/>
      <c r="E3" s="3"/>
      <c r="F3" s="3"/>
      <c r="G3" s="3"/>
      <c r="H3" s="3"/>
    </row>
    <row r="5" ht="24" customHeight="1" spans="1:16" x14ac:dyDescent="0.25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6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8" ht="44" customHeight="1" spans="1:16" x14ac:dyDescent="0.25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  <c r="O8" s="7" t="s">
        <v>21</v>
      </c>
      <c r="P8" s="7" t="s">
        <v>22</v>
      </c>
    </row>
    <row r="9" spans="1:16" x14ac:dyDescent="0.25">
      <c r="A9" s="8">
        <v>1</v>
      </c>
      <c r="B9" s="8" t="s">
        <v>23</v>
      </c>
      <c r="C9" s="9" t="s">
        <v>24</v>
      </c>
      <c r="D9" s="10">
        <v>54</v>
      </c>
      <c r="E9" s="8" t="s">
        <v>25</v>
      </c>
      <c r="F9" s="11">
        <v>71000</v>
      </c>
      <c r="G9" s="11">
        <v>18</v>
      </c>
      <c r="H9" s="10">
        <f>F9*G9</f>
        <v>1278000</v>
      </c>
      <c r="I9" s="12">
        <v>0.4</v>
      </c>
      <c r="J9" s="13">
        <f>D9*I9</f>
        <v>21.6</v>
      </c>
      <c r="K9" s="11">
        <v>15500</v>
      </c>
      <c r="L9" s="10">
        <f>K9*J9</f>
        <v>334800</v>
      </c>
      <c r="M9" s="14">
        <f>IF(H9=0,0,L9/H9)</f>
        <v>0.2619718309859155</v>
      </c>
      <c r="N9" s="15">
        <f>(H9-L9)/G9</f>
        <v>52400</v>
      </c>
      <c r="O9" s="16">
        <f>ROUND(N9,-3)</f>
        <v>52000</v>
      </c>
      <c r="P9" s="9" t="s">
        <v>26</v>
      </c>
    </row>
    <row r="10" spans="1:16" x14ac:dyDescent="0.25">
      <c r="A10" s="8">
        <v>2</v>
      </c>
      <c r="B10" s="8" t="s">
        <v>27</v>
      </c>
      <c r="C10" s="9" t="s">
        <v>28</v>
      </c>
      <c r="D10" s="10">
        <v>76</v>
      </c>
      <c r="E10" s="8" t="s">
        <v>25</v>
      </c>
      <c r="F10" s="11">
        <v>96000</v>
      </c>
      <c r="G10" s="11">
        <v>18</v>
      </c>
      <c r="H10" s="10">
        <f>F10*G10</f>
        <v>1728000</v>
      </c>
      <c r="I10" s="12">
        <v>0.4</v>
      </c>
      <c r="J10" s="13">
        <f>D10*I10</f>
        <v>30.400000000000002</v>
      </c>
      <c r="K10" s="11">
        <v>15500</v>
      </c>
      <c r="L10" s="10">
        <f>K10*J10</f>
        <v>471200.00000000006</v>
      </c>
      <c r="M10" s="14">
        <f>IF(H10=0,0,L10/H10)</f>
        <v>0.2726851851851852</v>
      </c>
      <c r="N10" s="15">
        <f>(H10-L10)/G10</f>
        <v>69822.22222222222</v>
      </c>
      <c r="O10" s="16">
        <f>ROUND(N10,-3)</f>
        <v>70000</v>
      </c>
      <c r="P10" s="9" t="s">
        <v>29</v>
      </c>
    </row>
    <row r="11" spans="1:16" x14ac:dyDescent="0.25">
      <c r="A11" s="8">
        <v>3</v>
      </c>
      <c r="B11" s="8" t="s">
        <v>30</v>
      </c>
      <c r="C11" s="9" t="s">
        <v>31</v>
      </c>
      <c r="D11" s="10">
        <v>170</v>
      </c>
      <c r="E11" s="8" t="s">
        <v>25</v>
      </c>
      <c r="F11" s="11">
        <v>194792</v>
      </c>
      <c r="G11" s="11">
        <v>18</v>
      </c>
      <c r="H11" s="10">
        <f>F11*G11</f>
        <v>3506256</v>
      </c>
      <c r="I11" s="12">
        <v>0.4</v>
      </c>
      <c r="J11" s="13">
        <f>D11*I11</f>
        <v>68</v>
      </c>
      <c r="K11" s="11">
        <v>15500</v>
      </c>
      <c r="L11" s="10">
        <f>K11*J11</f>
        <v>1054000</v>
      </c>
      <c r="M11" s="14">
        <f>IF(H11=0,0,L11/H11)</f>
        <v>0.30060554620084784</v>
      </c>
      <c r="N11" s="15">
        <f>(H11-L11)/G11</f>
        <v>136236.44444444444</v>
      </c>
      <c r="O11" s="16">
        <f>ROUND(N11,-3)</f>
        <v>136000</v>
      </c>
      <c r="P11" s="9" t="s">
        <v>32</v>
      </c>
    </row>
    <row r="12" spans="1:16" x14ac:dyDescent="0.25">
      <c r="A12" s="8">
        <v>4</v>
      </c>
      <c r="B12" s="8" t="s">
        <v>33</v>
      </c>
      <c r="C12" s="9" t="s">
        <v>34</v>
      </c>
      <c r="D12" s="10">
        <v>204</v>
      </c>
      <c r="E12" s="8" t="s">
        <v>25</v>
      </c>
      <c r="F12" s="11">
        <v>233750</v>
      </c>
      <c r="G12" s="11">
        <v>18</v>
      </c>
      <c r="H12" s="10">
        <f>F12*G12</f>
        <v>4207500</v>
      </c>
      <c r="I12" s="12">
        <v>0.4</v>
      </c>
      <c r="J12" s="13">
        <f>D12*I12</f>
        <v>81.60000000000001</v>
      </c>
      <c r="K12" s="11">
        <v>15500</v>
      </c>
      <c r="L12" s="10">
        <f>K12*J12</f>
        <v>1264800.0000000002</v>
      </c>
      <c r="M12" s="14">
        <f>IF(H12=0,0,L12/H12)</f>
        <v>0.30060606060606065</v>
      </c>
      <c r="N12" s="15">
        <f>(H12-L12)/G12</f>
        <v>163483.33333333334</v>
      </c>
      <c r="O12" s="16">
        <f>ROUND(N12,-3)</f>
        <v>163000</v>
      </c>
      <c r="P12" s="9" t="s">
        <v>35</v>
      </c>
    </row>
    <row r="13" spans="1:16" x14ac:dyDescent="0.25">
      <c r="A13" s="8">
        <v>5</v>
      </c>
      <c r="B13" s="8" t="s">
        <v>36</v>
      </c>
      <c r="C13" s="9" t="s">
        <v>37</v>
      </c>
      <c r="D13" s="10">
        <v>144</v>
      </c>
      <c r="E13" s="8" t="s">
        <v>25</v>
      </c>
      <c r="F13" s="11">
        <v>165000</v>
      </c>
      <c r="G13" s="11">
        <v>18</v>
      </c>
      <c r="H13" s="10">
        <f>F13*G13</f>
        <v>2970000</v>
      </c>
      <c r="I13" s="12">
        <v>0.4</v>
      </c>
      <c r="J13" s="13">
        <f>D13*I13</f>
        <v>57.6</v>
      </c>
      <c r="K13" s="11">
        <v>15500</v>
      </c>
      <c r="L13" s="10">
        <f>K13*J13</f>
        <v>892800</v>
      </c>
      <c r="M13" s="14">
        <f>IF(H13=0,0,L13/H13)</f>
        <v>0.3006060606060606</v>
      </c>
      <c r="N13" s="15">
        <f>(H13-L13)/G13</f>
        <v>115400</v>
      </c>
      <c r="O13" s="16">
        <f>ROUND(N13,-3)</f>
        <v>115000</v>
      </c>
      <c r="P13" s="9" t="s">
        <v>38</v>
      </c>
    </row>
    <row r="14" spans="1:16" x14ac:dyDescent="0.25">
      <c r="A14" s="8">
        <v>6</v>
      </c>
      <c r="B14" s="8" t="s">
        <v>39</v>
      </c>
      <c r="C14" s="9" t="s">
        <v>40</v>
      </c>
      <c r="D14" s="10">
        <v>108</v>
      </c>
      <c r="E14" s="8" t="s">
        <v>25</v>
      </c>
      <c r="F14" s="11">
        <v>123750</v>
      </c>
      <c r="G14" s="11">
        <v>18</v>
      </c>
      <c r="H14" s="10">
        <f>F14*G14</f>
        <v>2227500</v>
      </c>
      <c r="I14" s="12">
        <v>0.4</v>
      </c>
      <c r="J14" s="13">
        <f>D14*I14</f>
        <v>43.2</v>
      </c>
      <c r="K14" s="11">
        <v>15500</v>
      </c>
      <c r="L14" s="10">
        <f>K14*J14</f>
        <v>669600</v>
      </c>
      <c r="M14" s="14">
        <f>IF(H14=0,0,L14/H14)</f>
        <v>0.3006060606060606</v>
      </c>
      <c r="N14" s="15">
        <f>(H14-L14)/G14</f>
        <v>86550</v>
      </c>
      <c r="O14" s="16">
        <f>ROUND(N14,-3)</f>
        <v>87000</v>
      </c>
      <c r="P14" s="9" t="s">
        <v>41</v>
      </c>
    </row>
    <row r="15" spans="1:16" x14ac:dyDescent="0.25">
      <c r="A15" s="8">
        <v>7</v>
      </c>
      <c r="B15" s="8" t="s">
        <v>42</v>
      </c>
      <c r="C15" s="9" t="s">
        <v>43</v>
      </c>
      <c r="D15" s="10">
        <v>80</v>
      </c>
      <c r="E15" s="8" t="s">
        <v>25</v>
      </c>
      <c r="F15" s="11">
        <v>91667</v>
      </c>
      <c r="G15" s="11">
        <v>18</v>
      </c>
      <c r="H15" s="10">
        <f>F15*G15</f>
        <v>1650006</v>
      </c>
      <c r="I15" s="12">
        <v>0.4</v>
      </c>
      <c r="J15" s="13">
        <f>D15*I15</f>
        <v>32</v>
      </c>
      <c r="K15" s="11">
        <v>15500</v>
      </c>
      <c r="L15" s="10">
        <f>K15*J15</f>
        <v>496000</v>
      </c>
      <c r="M15" s="14">
        <f>IF(H15=0,0,L15/H15)</f>
        <v>0.30060496749708787</v>
      </c>
      <c r="N15" s="15">
        <f>(H15-L15)/G15</f>
        <v>64111.444444444445</v>
      </c>
      <c r="O15" s="16">
        <f>ROUND(N15,-3)</f>
        <v>64000</v>
      </c>
      <c r="P15" s="9" t="s">
        <v>44</v>
      </c>
    </row>
    <row r="16" spans="1:16" x14ac:dyDescent="0.25">
      <c r="A16" s="8">
        <v>8</v>
      </c>
      <c r="B16" s="8" t="s">
        <v>45</v>
      </c>
      <c r="C16" s="9" t="s">
        <v>46</v>
      </c>
      <c r="D16" s="10">
        <v>114</v>
      </c>
      <c r="E16" s="8" t="s">
        <v>25</v>
      </c>
      <c r="F16" s="11">
        <v>130625</v>
      </c>
      <c r="G16" s="11">
        <v>18</v>
      </c>
      <c r="H16" s="10">
        <f>F16*G16</f>
        <v>2351250</v>
      </c>
      <c r="I16" s="12">
        <v>0.4</v>
      </c>
      <c r="J16" s="13">
        <f>D16*I16</f>
        <v>45.6</v>
      </c>
      <c r="K16" s="11">
        <v>15500</v>
      </c>
      <c r="L16" s="10">
        <f>K16*J16</f>
        <v>706800</v>
      </c>
      <c r="M16" s="14">
        <f>IF(H16=0,0,L16/H16)</f>
        <v>0.3006060606060606</v>
      </c>
      <c r="N16" s="15">
        <f>(H16-L16)/G16</f>
        <v>91358.33333333333</v>
      </c>
      <c r="O16" s="16">
        <f>ROUND(N16,-3)</f>
        <v>91000</v>
      </c>
      <c r="P16" s="9" t="s">
        <v>47</v>
      </c>
    </row>
    <row r="17" spans="1:16" x14ac:dyDescent="0.25">
      <c r="A17" s="8">
        <v>9</v>
      </c>
      <c r="B17" s="8" t="s">
        <v>48</v>
      </c>
      <c r="C17" s="9" t="s">
        <v>49</v>
      </c>
      <c r="D17" s="10">
        <v>2</v>
      </c>
      <c r="E17" s="8" t="s">
        <v>25</v>
      </c>
      <c r="F17" s="11">
        <v>8900</v>
      </c>
      <c r="G17" s="11">
        <v>18</v>
      </c>
      <c r="H17" s="10">
        <f>F17*G17</f>
        <v>160200</v>
      </c>
      <c r="I17" s="12">
        <v>0.4</v>
      </c>
      <c r="J17" s="13">
        <f>D17*I17</f>
        <v>0.8</v>
      </c>
      <c r="K17" s="11">
        <v>15500</v>
      </c>
      <c r="L17" s="10">
        <f>K17*J17</f>
        <v>12400</v>
      </c>
      <c r="M17" s="14">
        <f>IF(H17=0,0,L17/H17)</f>
        <v>0.07740324594257178</v>
      </c>
      <c r="N17" s="15">
        <f>(H17-L17)/G17</f>
        <v>8211.111111111111</v>
      </c>
      <c r="O17" s="16">
        <f>ROUND(N17,-3)</f>
        <v>8000</v>
      </c>
      <c r="P17" s="9" t="s">
        <v>50</v>
      </c>
    </row>
    <row r="18" spans="1:16" x14ac:dyDescent="0.25">
      <c r="A18" s="8">
        <v>10</v>
      </c>
      <c r="B18" s="8" t="s">
        <v>51</v>
      </c>
      <c r="C18" s="9" t="s">
        <v>52</v>
      </c>
      <c r="D18" s="10">
        <v>84</v>
      </c>
      <c r="E18" s="8" t="s">
        <v>25</v>
      </c>
      <c r="F18" s="11">
        <v>75000</v>
      </c>
      <c r="G18" s="11">
        <v>18</v>
      </c>
      <c r="H18" s="10">
        <f>F18*G18</f>
        <v>1350000</v>
      </c>
      <c r="I18" s="12">
        <v>0.4</v>
      </c>
      <c r="J18" s="13">
        <f>D18*I18</f>
        <v>33.6</v>
      </c>
      <c r="K18" s="11">
        <v>15500</v>
      </c>
      <c r="L18" s="10">
        <f>K18*J18</f>
        <v>520800</v>
      </c>
      <c r="M18" s="14">
        <f>IF(H18=0,0,L18/H18)</f>
        <v>0.3857777777777778</v>
      </c>
      <c r="N18" s="15">
        <f>(H18-L18)/G18</f>
        <v>46066.666666666664</v>
      </c>
      <c r="O18" s="16">
        <f>ROUND(N18,-3)</f>
        <v>46000</v>
      </c>
      <c r="P18" s="9" t="s">
        <v>53</v>
      </c>
    </row>
    <row r="19" spans="1:16" x14ac:dyDescent="0.25">
      <c r="A19" s="8">
        <v>11</v>
      </c>
      <c r="B19" s="8" t="s">
        <v>54</v>
      </c>
      <c r="C19" s="9" t="s">
        <v>55</v>
      </c>
      <c r="D19" s="10">
        <v>48</v>
      </c>
      <c r="E19" s="8" t="s">
        <v>25</v>
      </c>
      <c r="F19" s="11">
        <v>55000</v>
      </c>
      <c r="G19" s="11">
        <v>18</v>
      </c>
      <c r="H19" s="10">
        <f>F19*G19</f>
        <v>990000</v>
      </c>
      <c r="I19" s="12">
        <v>0.4</v>
      </c>
      <c r="J19" s="13">
        <f>D19*I19</f>
        <v>19.200000000000003</v>
      </c>
      <c r="K19" s="11">
        <v>15500</v>
      </c>
      <c r="L19" s="10">
        <f>K19*J19</f>
        <v>297600.00000000006</v>
      </c>
      <c r="M19" s="14">
        <f>IF(H19=0,0,L19/H19)</f>
        <v>0.30060606060606065</v>
      </c>
      <c r="N19" s="15">
        <f>(H19-L19)/G19</f>
        <v>38466.666666666664</v>
      </c>
      <c r="O19" s="16">
        <f>ROUND(N19,-3)</f>
        <v>38000</v>
      </c>
      <c r="P19" s="9" t="s">
        <v>56</v>
      </c>
    </row>
    <row r="20" spans="1:16" x14ac:dyDescent="0.25">
      <c r="A20" s="8">
        <v>12</v>
      </c>
      <c r="B20" s="8" t="s">
        <v>57</v>
      </c>
      <c r="C20" s="9" t="s">
        <v>52</v>
      </c>
      <c r="D20" s="10">
        <v>84</v>
      </c>
      <c r="E20" s="8" t="s">
        <v>58</v>
      </c>
      <c r="F20" s="11">
        <v>25000</v>
      </c>
      <c r="G20" s="17">
        <v>57.82</v>
      </c>
      <c r="H20" s="10">
        <f>F20*G20</f>
        <v>1445500</v>
      </c>
      <c r="I20" s="12">
        <v>0.4</v>
      </c>
      <c r="J20" s="13">
        <f>D20*I20</f>
        <v>33.6</v>
      </c>
      <c r="K20" s="11">
        <v>15500</v>
      </c>
      <c r="L20" s="10">
        <f>K20*J20</f>
        <v>520800</v>
      </c>
      <c r="M20" s="14">
        <f>IF(H20=0,0,L20/H20)</f>
        <v>0.36029055690072637</v>
      </c>
      <c r="N20" s="15">
        <f>(H20-L20)/18</f>
        <v>51372.22222222222</v>
      </c>
      <c r="O20" s="16">
        <f>ROUND(N20,-3)</f>
        <v>51000</v>
      </c>
      <c r="P20" s="9" t="s">
        <v>59</v>
      </c>
    </row>
    <row r="22" spans="1:16" x14ac:dyDescent="0.25">
      <c r="A22" s="1" t="s">
        <v>60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" t="s">
        <v>61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3" t="s">
        <v>62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 t="s">
        <v>63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 t="s">
        <v>64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3" t="s">
        <v>65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9" spans="9:16" x14ac:dyDescent="0.25">
      <c r="I29" s="6" t="s">
        <v>66</v>
      </c>
      <c r="J29" s="6"/>
      <c r="K29" s="6"/>
      <c r="L29" s="6"/>
      <c r="M29" s="6"/>
      <c r="N29" s="6"/>
      <c r="O29" s="6"/>
      <c r="P29" s="6"/>
    </row>
    <row r="30" ht="44" customHeight="1" spans="1:16" x14ac:dyDescent="0.25">
      <c r="A30" s="2" t="s">
        <v>67</v>
      </c>
      <c r="B30" s="2"/>
      <c r="C30" s="2"/>
      <c r="D30" s="2"/>
      <c r="E30" s="2"/>
      <c r="F30" s="2"/>
      <c r="G30" s="2"/>
      <c r="H30" s="2"/>
      <c r="I30" s="2" t="s">
        <v>68</v>
      </c>
      <c r="J30" s="2"/>
      <c r="K30" s="2"/>
      <c r="L30" s="2"/>
      <c r="M30" s="2"/>
      <c r="N30" s="2"/>
      <c r="O30" s="2"/>
      <c r="P30" s="2"/>
    </row>
    <row r="31" spans="1:16" x14ac:dyDescent="0.25">
      <c r="A31" s="2" t="s">
        <v>69</v>
      </c>
      <c r="B31" s="2"/>
      <c r="C31" s="2"/>
      <c r="D31" s="2"/>
      <c r="E31" s="2"/>
      <c r="F31" s="2"/>
      <c r="G31" s="2"/>
      <c r="H31" s="2"/>
      <c r="I31" s="2" t="s">
        <v>70</v>
      </c>
      <c r="J31" s="2"/>
      <c r="K31" s="2"/>
      <c r="L31" s="2"/>
      <c r="M31" s="2" t="s">
        <v>71</v>
      </c>
      <c r="N31" s="2"/>
      <c r="O31" s="2"/>
      <c r="P31" s="2"/>
    </row>
    <row r="36" spans="1:16" x14ac:dyDescent="0.25">
      <c r="A36" s="2" t="s">
        <v>72</v>
      </c>
      <c r="B36" s="2"/>
      <c r="C36" s="2"/>
      <c r="D36" s="2"/>
      <c r="E36" s="2"/>
      <c r="F36" s="2"/>
      <c r="G36" s="2"/>
      <c r="H36" s="2"/>
      <c r="I36" s="2" t="s">
        <v>73</v>
      </c>
      <c r="J36" s="2"/>
      <c r="K36" s="2"/>
      <c r="L36" s="2"/>
      <c r="M36" s="2" t="s">
        <v>74</v>
      </c>
      <c r="N36" s="2"/>
      <c r="O36" s="2"/>
      <c r="P36" s="2"/>
    </row>
  </sheetData>
  <mergeCells count="22">
    <mergeCell ref="A1:H1"/>
    <mergeCell ref="I1:P1"/>
    <mergeCell ref="A2:H2"/>
    <mergeCell ref="I2:P2"/>
    <mergeCell ref="A3:H3"/>
    <mergeCell ref="A5:P5"/>
    <mergeCell ref="A6:P6"/>
    <mergeCell ref="A22:P22"/>
    <mergeCell ref="A23:P23"/>
    <mergeCell ref="A24:P24"/>
    <mergeCell ref="A25:P25"/>
    <mergeCell ref="A26:P26"/>
    <mergeCell ref="A27:P27"/>
    <mergeCell ref="I29:P29"/>
    <mergeCell ref="A30:H30"/>
    <mergeCell ref="I30:P30"/>
    <mergeCell ref="A31:H31"/>
    <mergeCell ref="I31:L31"/>
    <mergeCell ref="M31:P31"/>
    <mergeCell ref="A36:H36"/>
    <mergeCell ref="I36:L36"/>
    <mergeCell ref="M36:P36"/>
  </mergeCells>
  <pageMargins left="0.4" right="0.3" top="0.5" bottom="0.5" header="0.2" footer="0.2"/>
  <pageSetup paperSize="9" orientation="landscape" horizontalDpi="4294967295" verticalDpi="4294967295" scale="100" fitToWidth="1" fitToHeight="0"/>
  <headerFooter>
    <oddFooter>&amp;L&amp;8Căn cứ tính đơn giá ký hợp đồng&amp;R&amp;8Trang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CAN_CU_GIA_HD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2026-09-25T12:52:16Z</dcterms:created>
  <dcterms:modified xsi:type="dcterms:W3CDTF">2026-09-25T12:52:16Z</dcterms:modified>
</cp:coreProperties>
</file>